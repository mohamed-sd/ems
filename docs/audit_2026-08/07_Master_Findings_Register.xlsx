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الملخص التنفيذي" sheetId="1" state="visible" r:id="rId3"/>
    <sheet name="السجل الجامع" sheetId="2" state="visible" r:id="rId4"/>
    <sheet name="أول 20 إصلاحًا" sheetId="3" state="visible" r:id="rId5"/>
    <sheet name="إحصاءات حسب الإدارة" sheetId="4" state="visible" r:id="rId6"/>
    <sheet name="إحصاءات حسب الفجوة والوثيقة" sheetId="5" state="visible" r:id="rId7"/>
    <sheet name="مرفوضة بعد التحقق" sheetId="6" state="visible" r:id="rId8"/>
    <sheet name="دليل الاستخدام" sheetId="7" state="visible" r:id="rId9"/>
  </sheets>
  <definedNames>
    <definedName function="false" hidden="true" localSheetId="2" name="_xlnm._FilterDatabase" vbProcedure="false">'أول 20 إصلاحًا'!$A$4:$J$24</definedName>
    <definedName function="false" hidden="true" localSheetId="1" name="_xlnm._FilterDatabase" vbProcedure="false">'السجل الجامع'!$A$4:$AD$599</definedName>
    <definedName function="false" hidden="true" localSheetId="5" name="_xlnm._FilterDatabase" vbProcedure="false">'مرفوضة بعد التحقق'!$A$4:$I$99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<sst xmlns="http://schemas.openxmlformats.org/spreadsheetml/2006/main" count="18454" uniqueCount="7926">
  <si>
    <t xml:space="preserve">الملخص التنفيذي — تدقيق نظام إنجاز مقابل الحزمة الحاكمة الست</t>
  </si>
  <si>
    <t xml:space="preserve">تدقيق نظام إنجاز (EMS) — شركة تشغيل المعدات · تاريخ التدقيق 2026-08-09 · 595 ملاحظة مؤكَّدة بعد تحقق مضاد مستقل لكل ملاحظة · الدليل من الكود الحي تحت C:\xampp\htdocs\ems</t>
  </si>
  <si>
    <t xml:space="preserve">١ — حجم الفحص</t>
  </si>
  <si>
    <t xml:space="preserve">عدد الوثائق الحاكمة المقروءة كاملة</t>
  </si>
  <si>
    <t xml:space="preserve">INJAZ-CORE-01 · INJAZ-DELIVERY-01 · INJAZ-FRD-01 · INJAZ-UX-01 · UXR-01 · M-14 — بإجمالي ٥٧٢١ سطرًا و٩٦٠ كيلوبايت نصًّا</t>
  </si>
  <si>
    <t xml:space="preserve">عدد الإدارات المفحوصة</t>
  </si>
  <si>
    <t xml:space="preserve">كل الإدارات المطلوبة، ومنها مساحة عملي والمراجع الداخلي المستقل</t>
  </si>
  <si>
    <t xml:space="preserve">عدد ملفات الكود المفحوصة</t>
  </si>
  <si>
    <t xml:space="preserve">PHP · JS · CSS · SQL · Migrations — باستثناء vendor و.git</t>
  </si>
  <si>
    <t xml:space="preserve">عدد الشاشات المجرودة</t>
  </si>
  <si>
    <t xml:space="preserve">٣٩٣ مربوطة بالسايدبار · ٩٨ يتيمة · ٤٦٤ نقطة API/AJAX</t>
  </si>
  <si>
    <t xml:space="preserve">عدد معالجات الكتابة المفحوصة</t>
  </si>
  <si>
    <t xml:space="preserve">من ٥٥ معالج فعل رئيسًا + نقاط CMP-03</t>
  </si>
  <si>
    <t xml:space="preserve">عدد الأحداث المفحوصة</t>
  </si>
  <si>
    <t xml:space="preserve">٦٥ موضع نشر في الإنتاج · ٨٥ حدثًا بلا مستهلك</t>
  </si>
  <si>
    <t xml:space="preserve">٢ — نتيجة التدقيق</t>
  </si>
  <si>
    <t xml:space="preserve">إجمالي الملاحظات المؤكَّدة</t>
  </si>
  <si>
    <t xml:space="preserve">بعد إسقاط ٩٥ ملاحظة سقطت في التحقق المضاد (شيت «مرفوضة بعد التحقق»)</t>
  </si>
  <si>
    <t xml:space="preserve">P0 — حاجب إطلاق</t>
  </si>
  <si>
    <t xml:space="preserve">أثر مالي أو قانوني ينفَّذ بلا تفويض · تسريب بيانات · فقدان مصدر الحقيقة · شاشة حاكمة غائبة</t>
  </si>
  <si>
    <t xml:space="preserve">P1 — خطر جوهري</t>
  </si>
  <si>
    <t xml:space="preserve">P2 — مهم</t>
  </si>
  <si>
    <t xml:space="preserve">P3 — متوسط</t>
  </si>
  <si>
    <t xml:space="preserve">P4 — تحسين</t>
  </si>
  <si>
    <t xml:space="preserve">ملاحظات تمنع الإطلاق</t>
  </si>
  <si>
    <t xml:space="preserve">ملاحظات تمنع العرض الخارجي</t>
  </si>
  <si>
    <t xml:space="preserve">مؤكَّدة بالتحقق المضاد</t>
  </si>
  <si>
    <t xml:space="preserve">المحقق فتح الملف عند السطر المذكور وأثبت الادعاء</t>
  </si>
  <si>
    <t xml:space="preserve">مرجَّحة (صحيحة جوهرًا · صياغة أو خطورة عُدِّلت)</t>
  </si>
  <si>
    <t xml:space="preserve">٣ — أضعف الإدارات (بعدد P0+P1)</t>
  </si>
  <si>
    <t xml:space="preserve">إدارة الحوكمة والالتزام</t>
  </si>
  <si>
    <t xml:space="preserve">من إجمالي 77 ملاحظة في هذه الإدارة</t>
  </si>
  <si>
    <t xml:space="preserve">التمويل والملكية</t>
  </si>
  <si>
    <t xml:space="preserve">من إجمالي 27 ملاحظة في هذه الإدارة</t>
  </si>
  <si>
    <t xml:space="preserve">المالية والخزينة</t>
  </si>
  <si>
    <t xml:space="preserve">من إجمالي 41 ملاحظة في هذه الإدارة</t>
  </si>
  <si>
    <t xml:space="preserve">المشتريات التشغيلية</t>
  </si>
  <si>
    <t xml:space="preserve">من إجمالي 42 ملاحظة في هذه الإدارة</t>
  </si>
  <si>
    <t xml:space="preserve">إدارة التشغيل</t>
  </si>
  <si>
    <t xml:space="preserve">من إجمالي 26 ملاحظة في هذه الإدارة</t>
  </si>
  <si>
    <t xml:space="preserve">النقل والترحيل</t>
  </si>
  <si>
    <t xml:space="preserve">من إجمالي 44 ملاحظة في هذه الإدارة</t>
  </si>
  <si>
    <t xml:space="preserve">٤ — أكثر الوثائق عدمَ تطبيق</t>
  </si>
  <si>
    <t xml:space="preserve">M-14</t>
  </si>
  <si>
    <t xml:space="preserve">INJAZ-FRD-01</t>
  </si>
  <si>
    <t xml:space="preserve">INJAZ-UX-01</t>
  </si>
  <si>
    <t xml:space="preserve">INJAZ-CORE-01</t>
  </si>
  <si>
    <t xml:space="preserve">UXR-01</t>
  </si>
  <si>
    <t xml:space="preserve">INJAZ-DELIVERY-01</t>
  </si>
  <si>
    <t xml:space="preserve">٥ — أكثر العيوب تكرارًا</t>
  </si>
  <si>
    <t xml:space="preserve">Permission Gap</t>
  </si>
  <si>
    <t xml:space="preserve">Governance Gap</t>
  </si>
  <si>
    <t xml:space="preserve">UX/UI Defect</t>
  </si>
  <si>
    <t xml:space="preserve">Missing Screen</t>
  </si>
  <si>
    <t xml:space="preserve">Missing Evidence</t>
  </si>
  <si>
    <t xml:space="preserve">Data Mismatch</t>
  </si>
  <si>
    <t xml:space="preserve">Wrong Sidebar Placement</t>
  </si>
  <si>
    <t xml:space="preserve">Event/Integration Gap</t>
  </si>
  <si>
    <t xml:space="preserve">٦ — هل النظام جاهز للعرض الخارجي؟</t>
  </si>
  <si>
    <t xml:space="preserve">لا — النظام غير جاهز للعرض الخارجي ولا للإطلاق، وثلاثة أسباب تكفي وحدها:
◆ الحارس المركزي يفشل مفتوحًا: get_current_page_permissions() تُعيد can_view/add/edit/delete = true لأي شاشة لا صف لها في جدول modules (includes/permissions_helper.php:810-818)، وقرابة أربعين شاشة حية — منها ملف العميل وملف المورد وملف عملية التمويل — تعمل بهذا الفرع فعلًا.
◆ آثار مالية ومخزونية تُنفَّذ قبل وصول الحارس: الترسية وتحويل المخزون والجرد وإقفال أمر الترحيل بتكلفته كلُّها تكتب في قاعدة البيانات في أسطر تسبق سطر include '../insidebar.php'، فيُرحَّل الأثر ثم يُعاد توجيه المستخدم برسالة «لا صلاحية».
◆ التصدير الموحَّد يعمل بلا طبقة صلاحيات إطلاقًا: excel.php لا يحمّل permissions_helper.php، فيسقط ExcelService::authorize() في فرعه المفتوح، وتُصدَّر الحقول الحسّاسة كاملة بعد تسجيلها لا حجبها (excel.php:86-99).
وفوق ذلك بوابتا الفحص الذاتي tools/u13_gate.php:1172 وtools/m10_ac_gate.php:190 تمرّان خضراوين على شرطين خاويين، أي أنّ تقارير الجاهزية الحالية ليست دليلًا. أمّا بصريًّا فسبعُ قشرات تطبيق متنافسة و7291 لونًا حرفيًّا و4588 نمطًا مضمّنًا تجعل العرض الخارجي غير مقبول قبل إعادة بناء القشرة والشاشات التمثيلية الثماني.</t>
  </si>
  <si>
    <t xml:space="preserve">السجل الجامع النهائي — 595 ملاحظة مرقَّمة بلا تكرار</t>
  </si>
  <si>
    <t xml:space="preserve">رقم الملاحظة</t>
  </si>
  <si>
    <t xml:space="preserve">الوثيقة</t>
  </si>
  <si>
    <t xml:space="preserve">بند الوثيقة</t>
  </si>
  <si>
    <t xml:space="preserve">الإدارة</t>
  </si>
  <si>
    <t xml:space="preserve">اسم الشاشة</t>
  </si>
  <si>
    <t xml:space="preserve">رابط الشاشة</t>
  </si>
  <si>
    <t xml:space="preserve">مجموعة السايدبار</t>
  </si>
  <si>
    <t xml:space="preserve">المتوقَّع حسب الوثيقة</t>
  </si>
  <si>
    <t xml:space="preserve">الواقع في النظام</t>
  </si>
  <si>
    <t xml:space="preserve">نوع الفجوة</t>
  </si>
  <si>
    <t xml:space="preserve">الخطورة</t>
  </si>
  <si>
    <t xml:space="preserve">الأثر</t>
  </si>
  <si>
    <t xml:space="preserve">السبب الجذري</t>
  </si>
  <si>
    <t xml:space="preserve">الدليل (ملف:سطر)</t>
  </si>
  <si>
    <t xml:space="preserve">لقطة الشاشة</t>
  </si>
  <si>
    <t xml:space="preserve">خطوات إعادة الإنتاج</t>
  </si>
  <si>
    <t xml:space="preserve">الإصلاح الموصى به</t>
  </si>
  <si>
    <t xml:space="preserve">المالك المقترح</t>
  </si>
  <si>
    <t xml:space="preserve">يمنع الإطلاق</t>
  </si>
  <si>
    <t xml:space="preserve">يمنع العرض الخارجي</t>
  </si>
  <si>
    <t xml:space="preserve">اختبار القبول</t>
  </si>
  <si>
    <t xml:space="preserve">الحالة</t>
  </si>
  <si>
    <t xml:space="preserve">نتيجة التحقق المضاد</t>
  </si>
  <si>
    <t xml:space="preserve">ملاحظة المحقق</t>
  </si>
  <si>
    <t xml:space="preserve">الخطورة قبل التحقق</t>
  </si>
  <si>
    <t xml:space="preserve">الإصلاح قابل للتنفيذ</t>
  </si>
  <si>
    <t xml:space="preserve">الاختبار قابل للتشغيل</t>
  </si>
  <si>
    <t xml:space="preserve">ملف التدقيق</t>
  </si>
  <si>
    <t xml:space="preserve">تصنيف الفجوة</t>
  </si>
  <si>
    <t xml:space="preserve">حالة الإغلاق</t>
  </si>
  <si>
    <t xml:space="preserve">INJ-0001</t>
  </si>
  <si>
    <t xml:space="preserve">INJAZ-FRD-01 §١١-٣ · المرحلة ٣ — مراجعةُ العقد وتوقيعُه</t>
  </si>
  <si>
    <t xml:space="preserve">المبيعات والعقود</t>
  </si>
  <si>
    <t xml:space="preserve">عقود العملاء</t>
  </si>
  <si>
    <t xml:space="preserve">http://localhost/ems/Contracts/contracts.php</t>
  </si>
  <si>
    <t xml:space="preserve">ثالثًا: مراجعة العقد وتوقيعه</t>
  </si>
  <si>
    <t xml:space="preserve">دورةُ الإدارة: «سجلُّ عميلٍ ← عرضُ سعرٍ ← عقدٌ نافذٌ ← تغطيةٌ ووحداتٌ وأحكامٌ ← أداءٌ شهريٌّ ← مستخلصٌ ← مطالبة»، ومخرَجُ المرحلة الثالثة «عقدٌ نافذ» يعتمده «المخوَّلُ ضمن سقفِه ويُرفع للرئيس التنفيذيِّ إن تجاوز السقفَ».</t>
  </si>
  <si>
    <t xml:space="preserve">العمودُ الحاكمُ لحالة العقد `contracts.contract_status` (آلةُ الحالة الاثنتا عشرةَ حالة) لا يكتبه إلا `app/Services/Contract/ContractStateMachine`، ومستدعيها الوحيدُ في المستودع كلِّه هو `Portal/ceo_contracts.php:167`. وشاشةُ «عقود العملاء» — الشاشةُ الأمُّ للإدارة — لا تذكر `contract_status` ولا مرةً واحدة، ولا تملك فعلًا لنقل العقد من «مسودة» إلى «تفاوض» إلى «معتمد».</t>
  </si>
  <si>
    <t xml:space="preserve">Wrong Workflow</t>
  </si>
  <si>
    <t xml:space="preserve">P0</t>
  </si>
  <si>
    <t xml:space="preserve">لا يوجد في النظام مسارٌ لجعلِ عقدٍ «معتمدًا»، وشاشةُ توقيع القمة تقرأ `WHERE contract_status='معتمد'` — فقائمةُ العقود القابلة للتوقيع تبقى فارغةً أبدًا ولا يمكن توقيعُ عقدٍ واحدٍ من داخل النظام. وبلا «نافذ» لا تُفتح حاويةُ تشغيلٍ (`OperationalTransformService::isEffective`) فتنقطع السلسلةُ كلُّها من أولها.</t>
  </si>
  <si>
    <t xml:space="preserve">آلةُ حالةٍ بُنيت كاملةً وربطت بنقطة اختناقٍ واحدةٍ في شاشة القمة، ولم تُزرع أفعالُها (تقديمٌ للمراجعة · اعتماد) في شاشة العقود المالكة.</t>
  </si>
  <si>
    <t xml:space="preserve">app/Services/Contract/ContractStateMachine.php:148; :219; Portal/ceo_contracts.php:167; Portal/ceo_contracts.php:243-246; Contracts/contracts.php:1; app/Services/Operations/OperationalTransformService.php:76</t>
  </si>
  <si>
    <t xml:space="preserve">١) ادخل بدور 12 وأنشئ عقدًا من Contracts/contracts.php. ٢) ابحث عن زرِّ «رفع للمراجعة» أو «اعتماد» ⇒ لا يوجد وحالةُ العقد تبقى NULL. ٣) ادخل بدور 9 وافتح Portal/ceo_contracts.php ⇒ قائمةُ «العقود القابلة للتوقيع» فارغة.</t>
  </si>
  <si>
    <t xml:space="preserve">أضِف في `Contracts/contracts.php` فعلَين محروسَين يستدعيان `ContractStateMachine::transition()`: «رفع للتفاوض» (DRAFT→NEGOTIATION) و«اعتماد» (NEGOTIATION→APPROVED) بحارسِ سقفٍ يقارن قيمةَ العقد بسقف المخوَّل ويُصعّد تلقائيًّا عند التجاوز، واعرِض عمودَ `contract_status` في الشبكة.</t>
  </si>
  <si>
    <t xml:space="preserve">فريق الباك-إند — وحدة العقود</t>
  </si>
  <si>
    <t xml:space="preserve">نعم</t>
  </si>
  <si>
    <t xml:space="preserve">مستخدمُ المبيعات ينقل عقدًا من مسودة إلى معتمد بفعلين مسجَّلين، ويظهر العقدُ فورًا في قائمة التوقيع لدى القمة.</t>
  </si>
  <si>
    <t xml:space="preserve">مفتوح</t>
  </si>
  <si>
    <t xml:space="preserve">مؤكَّدة</t>
  </si>
  <si>
    <t xml:space="preserve">بحثٌ شاملٌ عن `ContractStateMachine::transition` يُرجع مستدعيًا إنتاجيًّا واحدًا هو Portal/ceo_contracts.php:167 وهو ينقل إلى SIGNED حصرًا، وجدولُ TRANSITIONS يشترط APPROVED قبله، ولا موضعَ في المستودع يكتب «تفاوض» أو «معتمد» (schema.sql:1853 يجعل contract_status DEFAULT NULL، وContracts/contracts.php لا يذكر العمود)؛ فسلسلةُ مسودة→تفاوض→معتمد→موقَّع→نافذ لا تكتمل، وOperationalTransformService.php:76 يمنع فتحَ أيِّ حاويةٍ تبعًا لذلك.</t>
  </si>
  <si>
    <t xml:space="preserve">02_FRD</t>
  </si>
  <si>
    <t xml:space="preserve">فجوة تنفيذ (Implementation)</t>
  </si>
  <si>
    <t xml:space="preserve">Decision Closed · Implementation Open</t>
  </si>
  <si>
    <t xml:space="preserve">INJ-0002</t>
  </si>
  <si>
    <t xml:space="preserve">PR-05 · «إخفاءُ الزرِّ تحسينُ تجربةٍ لا حماية» — الحارسُ قبل الكتابة</t>
  </si>
  <si>
    <t xml:space="preserve">إدارة الموردين</t>
  </si>
  <si>
    <t xml:space="preserve">طلب العروض ومقارنتها (الترسية)</t>
  </si>
  <si>
    <t xml:space="preserve">http://localhost/ems/Procurement/rfq_compare_award.php</t>
  </si>
  <si>
    <t xml:space="preserve">ثالثًا: طلب العروض والترسية</t>
  </si>
  <si>
    <t xml:space="preserve">الحارسُ في الخادمِ يسبق الأثرَ؛ والترسيةُ قرارٌ ماليٌّ يُحرَس بصلاحيةٍ وسقفٍ ومرجعِ تفويض.</t>
  </si>
  <si>
    <t xml:space="preserve">صحيحٌ عدا وصفِ حقنِ SQL: القيمُ مُمَرَّرةٌ بـintval/floatval/mysqli_real_escape_string فلا حقنَ عمليًّا — والخللُ هو الأثرُ قبل الحارس وغيابُ فحصِ can_edit. — [مُصحَّح بعد التحقق] الصياغة الأولى: الشاشةُ الوحيدةُ في مجموعة «ثالثًا: طلب العروض والترسية» لدى دور الموردين تنفّذ الترسيةَ في معالجٍ يبدأ في السطر 20: يُدرج `INSERT INTO rfq_awards` في السطر 33 ويحدّث `UPDATE supplier_rfqs SET state='</t>
  </si>
  <si>
    <t xml:space="preserve">أيُّ مستخدمٍ مسجَّلِ الدخول يُرسي أيَّ طلبِ عروضٍ على أيِّ موردٍ بأيِّ سعرٍ ثم يُعاد توجيهُه برسالة «لا تملك صلاحية» بعد استقرار الترسية — وهي أخطرُ نقطةِ تسريبٍ ماليٍّ في وحدة الموردين. والاستعلاماتُ مبنيةٌ بدمجٍ نصيٍّ مباشرٍ للمتغيرات.</t>
  </si>
  <si>
    <t xml:space="preserve">ترتيبُ الملف: المعالجُ في الأعلى والحارسُ في الأسفل مع تضمين السايدبار، مع كتابةٍ خامٍّ بـmysqli بلا بوابة العزل.</t>
  </si>
  <si>
    <t xml:space="preserve">Procurement/rfq_compare_award.php:20; :26; :33-36; :37-38; :66</t>
  </si>
  <si>
    <t xml:space="preserve">١) ادخل بحسابٍ بلا أيِّ منحةٍ على الشاشة. ٢) أرسل POST بـ award_quote=&lt;quote_id&gt; و award_reason=نص. ٣) لاحظ رسالةَ الرفض، ثم افحص rfq_awards و supplier_rfqs ⇒ الترسيةُ مسجَّلةٌ والحالةُ awarded.</t>
  </si>
  <si>
    <t xml:space="preserve">انقل إلى أعلى `Procurement/rfq_compare_award.php` (قبل السطر 20) كتلةَ `check_page_permissions($conn,'Procurement/rfq_compare_award.php')` مع منعِ POST بلا can_edit، وحوّل الكتابتين إلى `ems_tenant_db()` بعباراتٍ مُعدَّة، وأضِف فحصَ سقفٍ عبر `AuthorityGuard::sign()` بقيمة الترسية.</t>
  </si>
  <si>
    <t xml:space="preserve">فريق الباك-إند — وحدة المشتريات والموردين</t>
  </si>
  <si>
    <t xml:space="preserve">POST إلى الشاشة بحسابٍ بلا can_edit لا ينشئ صفَّ ترسيةٍ ولا يغيّر حالةَ الطلب، ويُسجَّل الرفض.</t>
  </si>
  <si>
    <t xml:space="preserve">معالجُ POST في السطر 20 ينفّذ INSERT INTO rfq_awards (33-37) وUPDATE supplier_rfqs SET state='awarded' (38-39) قبل include '../insidebar.php' في السطر 66 حيث الحارسُ الوحيد؛ والموديول 298 مسجَّلٌ لكن مصفوفةَ الصلاحيات تمنح الأدوار 16 و2 و8 can_view فقط ولا تمنح can_add/can_edit لأيِّ دور — فأيُّ مستخدمٍ مصادَقٍ يُرسي ترسيةً لا يملكها أحد.</t>
  </si>
  <si>
    <t xml:space="preserve">06_M14</t>
  </si>
  <si>
    <t xml:space="preserve">INJ-0003</t>
  </si>
  <si>
    <t xml:space="preserve">PR-01 · مصدرُ الحقيقة الواحد — «ولا يُدخَل بيانٌ مرتين في شاشتين مختلفتين»</t>
  </si>
  <si>
    <t xml:space="preserve">نماذج التمويل ومعالجتها</t>
  </si>
  <si>
    <t xml:space="preserve">http://localhost/ems/Financing/fin_models.php</t>
  </si>
  <si>
    <t xml:space="preserve">أولًا: النموذج والممول</t>
  </si>
  <si>
    <t xml:space="preserve">«لكل بيانٍ موضعٌ واحدٌ يُنشأ فيه ويُعدَّل، وكلُّ عرضٍ آخرَ له قراءةٌ لا نسخة»؛ ونموذجُ التمويل هو أولُ مستندٍ في دورة الإدارة («نموذج بمعالجته») ولا اعتمادَ لعمليةٍ بلا نموذج.</t>
  </si>
  <si>
    <t xml:space="preserve">شاشةُ «نماذج التمويل ومعالجتها» تكتب وتقرأ من scr_fin_models عبر cmp03_store_insert/cmp03_store_rows (الأسطر 28 · 80 · 87)، بينما جدولُ المجال الحقيقيُّ financing_models هو الذي يقرؤه منشئُ العملية: Financing/financing_operation_new.php:62 يملأ قائمةَ النماذج منه، و FinancingService::createOperation:169 يتحقق من وجود النموذج فيه ويرفض 422 إن لم يجده.</t>
  </si>
  <si>
    <t xml:space="preserve">نموذجٌ يُنشأ من الشاشة المخصَّصة له لا يظهر أبدًا في قائمة إنشاء عملية التمويل، وإنشاءُ العملية به يُرفض برسالة «نموذج تمويل غير معرَّف» — فالمرحلةُ الأولى من دورة الإدارة معطَّلةٌ عمليًّا ولا سبيلَ لإضافة نموذجٍ إلا بإدخالٍ مباشرٍ في القاعدة.</t>
  </si>
  <si>
    <t xml:space="preserve">موجةُ CMP-03 وجّهت الشاشةَ إلى المخزن البيني scr_* ولم تُوصل بجدول المجال القائم financing_models.</t>
  </si>
  <si>
    <t xml:space="preserve">Financing/fin_models.php:28; Financing/fin_models.php:80; Financing/fin_models.php:87; includes/cmp03_registry.php:252; includes/cmp03_registry.php:254; Financing/financing_operation_new.php:62; app/Services/Financing/FinancingService.php:169; app/Services/Financing/FinancingService.php:174</t>
  </si>
  <si>
    <t xml:space="preserve">١) بدور ٢٦ افتح «نماذج التمويل ومعالجتها» وأضِف نموذجًا برمزٍ جديدٍ واعتمده. ٢) افتح «إنشاء عملية تمويل» → النموذجُ غيرُ موجودٍ في القائمة. ٣) أرسل الرمزَ يدويًّا في الطلب → يُرفض 422 «نموذج تمويل غير معرَّف».</t>
  </si>
  <si>
    <t xml:space="preserve">غيّر خريطةَ 'fin_models.php' في includes/cmp03_registry.php:252 لتشير إلى جدول financing_models بأعمدته الدلالية، أو استبدل معالجَ الحفظ في Financing/fin_models.php:80 بكتابةٍ مباشرةٍ في financing_models عبر بوابة العزل.</t>
  </si>
  <si>
    <t xml:space="preserve">فريق الباك-إند — وحدة التمويل</t>
  </si>
  <si>
    <t xml:space="preserve">نموذجٌ يُضاف من الشاشة يظهر فورًا في قائمة إنشاء العملية، وإنشاءُ عمليةٍ به ينجح؛ وصفرُ صفٍّ جديدٍ في scr_fin_models.</t>
  </si>
  <si>
    <t xml:space="preserve">محقَّقٌ بالكامل: includes/cmp03_registry.php:252-254 يربط `fin_models.php` بجدول `scr_fin_models`، بينما Financing/financing_operation_new.php:62 وFinancingService::createOperation:169-174 يقرآن `financing_models` ويرفضان 422 بلا نموذج — ولا يوجد في المستودع كلِّه أيُّ INSERT في `financing_models` (ولا بذرةٌ في database/seeds خارج قائمة الملء الآلي) — فإنشاءُ أيِّ عمليةِ تمويلٍ متعذّرٌ بنيويًّا والشاشةُ الحاكمةُ تكتب في جدولٍ موازٍ لا يقرؤه أحد.</t>
  </si>
  <si>
    <t xml:space="preserve">01_CORE</t>
  </si>
  <si>
    <t xml:space="preserve">INJ-0004</t>
  </si>
  <si>
    <t xml:space="preserve">§٢٧ · الحقلُ الحساس — «لا يُعرض ولا يُصدَّر إلا بمنحٍ فردي»</t>
  </si>
  <si>
    <t xml:space="preserve">الموارد البشرية</t>
  </si>
  <si>
    <t xml:space="preserve">سجل الموظفين</t>
  </si>
  <si>
    <t xml:space="preserve">http://localhost/ems/Employees/employees.php</t>
  </si>
  <si>
    <t xml:space="preserve">ثانيًا: التعاقد والمباشرة</t>
  </si>
  <si>
    <t xml:space="preserve">«الحقلُ الحساس | حقلٌ لا يُعرض ولا يُصدَّر إلا بمنحٍ فردي | ليس المخفيَّ» — والراتبُ من الحقول التي تفرض M-14 على الموارد البشرية «قراءةً مسجَّلة» عليها (SCN-872).</t>
  </si>
  <si>
    <t xml:space="preserve">السطرُ 982 عمودُ ترشيحٍ لـ«نوع الراتب» لا عمودُ راتبٍ في الجدول؛ ومنفذُ الكشف الحقيقيُّ get_employee_data.php الذي يرسل الصفَّ كاملًا (بما فيه monthly_salary ورقمُ الهوية) لأيِّ جلسةٍ مصادَقةٍ بلا فحصِ صلاحيةٍ إطلاقًا. — [مُصحَّح بعد التحقق] الصياغة الأولى: شاشةُ سجل الموظفين تعرض وتحفظ monthly_salary و salary_type مباشرةً (الإدخالُ في السطر 92 والحقلُ في 724 وعمودُ الجدول في 982) لكل من يملك can_view/can_edit على الوحدة، بلا أي فحصِ منحةٍ فرديةٍ وبلا سط</t>
  </si>
  <si>
    <t xml:space="preserve">راتبُ كل موظفٍ مكشوفٌ في الشاشة الأكثر استعمالًا في الإدارة لكل من يملك عرضَ سجل الموظفين، بينما البيانُ نفسُه محجوبٌ في بطاقة الموظف؛ فالحجبُ يُلتفّ عليه بفتح الشاشة الأخرى، ولا يُسجَّل الاطّلاع.</t>
  </si>
  <si>
    <t xml:space="preserve">طُبِّق حارسُ الرؤية على شاشةٍ واحدةٍ (بطاقة الموظف) ولم يُعمَّم على شاشة السجل التي تعرض الحقلَ نفسَه.</t>
  </si>
  <si>
    <t xml:space="preserve">Employees/employees.php:92,724,1376; Employees/get_employee_data.php:8-13,31-50; Employees/employee_card.php:164-175</t>
  </si>
  <si>
    <t xml:space="preserve">١) ادخل بحسابٍ يملك عرضَ سجل الموظفين وبلا صلاحية الأجور. ٢) افتح «سجل الموظفين» → عمودُ «نوع الراتب» وقيمةُ الراتب في نموذج التعديل ظاهرة. ٣) افتح بطاقةَ الموظف نفسِه → تبويبُ الأجور محجوب. ٤) ابحث عن سطر اطّلاع → لا يوجد.</t>
  </si>
  <si>
    <t xml:space="preserve">في Employees/employees.php لفَّ حقلَ monthly_salary وعمودَه بفحص VisibilityGuard::check('card.payroll') كما في employee_card.php:164، ولا تُرسل القيمةَ في HTML لغير المخوَّل، وسجّل الاطّلاعَ عبر ems_log_sensitive_read لمن يراها.</t>
  </si>
  <si>
    <t xml:space="preserve">فريق الحوكمة — وحدة الصلاحيات</t>
  </si>
  <si>
    <t xml:space="preserve">حسابٌ بلا صلاحية الأجور لا يجد قيمةَ الراتب في جسم استجابة سجل الموظفين ولا في نموذج التعديل؛ ومن يراها يُكتب له سطرُ اطّلاع.</t>
  </si>
  <si>
    <t xml:space="preserve">مؤكَّدٌ بل أشدّ: employees.php يحفظ monthly_salary (:92) ويعرض حقلَه (:724) بلا أيِّ VisibilityGuard أو ems_log_sensitive_read (بحثٌ = صفر)، والأخطرُ أن Employees/get_employee_data.php:31-50 يعيد صفَّ employees كاملًا (الراتبُ والهوية) لأيِّ مستخدمٍ مصادَقٍ بلا أيِّ فحصِ موديول — بينما employee_card.php:164-175 يحجب التبويبَ نفسَه بـVG::check ويسجّل الاطّلاع.</t>
  </si>
  <si>
    <t xml:space="preserve">INJ-0005</t>
  </si>
  <si>
    <t xml:space="preserve">PR-05 · الحارسُ في الخادم · ٤-١ المبادئُ الاثنا عشرَ الحاكمة</t>
  </si>
  <si>
    <t xml:space="preserve">طبقة الصلاحيات المشتركة</t>
  </si>
  <si>
    <t xml:space="preserve">http://localhost/ems/includes/permissions_helper.php</t>
  </si>
  <si>
    <t xml:space="preserve">-</t>
  </si>
  <si>
    <t xml:space="preserve">«كلُّ منعٍ يُنفَّذ في الخادم قبل الحفظ … والنداءُ المخالفُ يُرفض ولو جاء بمساره مباشرةً أو من أداةٍ خارجية — ويُسجَّل الرفضُ بالمستخدم والوقت والرمز».</t>
  </si>
  <si>
    <t xml:space="preserve">get_current_page_permissions() تُرجع can_view/add/edit/delete = true حين لا تُحَلّ الشاشةُ إلى موديول (id = null)، و_default_full_permissions() تفعل الشيءَ نفسه، وenforce_current_page_view_permission() لا تحجب إلا حين id !== null. الصمّامُ المضادّ ems_failclosed_screen_guard مقودٌ بـEMS_FAILCLOSED_ENFORCE_PREFIXES وهو فارغٌ افتراضيًّا. النتيجة: أيُّ شاشةٍ غيرِ مسجَّلةٍ في modules مفتوحةٌ لكل مستخدمٍ بصلاحياتٍ كاملة.</t>
  </si>
  <si>
    <t xml:space="preserve">الافتراضُ المركزي في النظام هو «السماح عند الجهل» — عكسُ PR-05 نصًّا. وكلُّ شاشةٍ جديدةٍ تُنشَر قبل تسجيلها موديولًا تكون مفتوحةً للجميع بلا رفضٍ ولا سجل. وهذا هو الجذرُ الذي يجعل عشراتِ الملاحظات في هذا التقرير قابلةً للاستغلال.</t>
  </si>
  <si>
    <t xml:space="preserve">قرارُ توافقيةٍ قديم: أُريد ألّا تنكسر شاشاتٌ موروثةٌ غيرُ مسجَّلة، فجُعل الافتراضُ مفتوحًا بدل تسجيلِ الشاشات.</t>
  </si>
  <si>
    <t xml:space="preserve">includes/permissions_helper.php:621; :622; :810; :811; :766; :793</t>
  </si>
  <si>
    <t xml:space="preserve">١) أنشئ ملفًا جديدًا تحت Settings/ يستدعي get_current_page_permissions ويطبع النتيجة. ٢) لا تسجّله في modules. ٣) افتحه بأيِّ حسابٍ ⇐ can_view وcan_add وcan_edit وcan_delete كلُّها true.</t>
  </si>
  <si>
    <t xml:space="preserve">قلبُ الافتراض في includes/permissions_helper.php:621-629 و810-818 إلى صلاحياتٍ صفريةٍ (كلُّها false) مع تسجيلِ رفضٍ باسم الشاشة، وتشغيلُ ems_failclosed_screen_guard على كلِّ البادئات افتراضيًّا، وإضافةُ فاحصٍ في الإصدار يمنع نشرَ ملفِّ شاشةٍ غيرِ مسجَّلٍ في modules.</t>
  </si>
  <si>
    <t xml:space="preserve">مكتب الهندسة — طبقة الحراس المشتركة</t>
  </si>
  <si>
    <t xml:space="preserve">شاشةٌ غيرُ مسجَّلةٍ في modules تُعيد 403 لكل الأدوار عدا السوبر، وتكتب صفَّ رفضٍ فيه المستخدمُ والوقتُ والرمز.</t>
  </si>
  <si>
    <t xml:space="preserve">تحققتُ حرفيًّا: get_current_page_permissions (621-629) تُرجع الأربعَ true حين لا تُحَلّ الشاشة، و_default_full_permissions (810-818) مثلُها، و enforce_current_page_view_permission لا يحجب إلا حين id !== null (770)، والصمّامُ مقودٌ بـEMS_FAILCLOSED_ENFORCE_PREFIXES الفارغِ افتراضًا (والوثيقةُ docs/SUPPLIERS_DEPARTMENT_AUDIT_REPORT_ar.md:323 تقتبس .env:53 فارغًا). والأثرُ حيٌّ لا نظري: نحوُ ٤٠ شاشةً تضمّن insidebar وغيرُ مسجَّلةٍ في modules — منها Clients/client_profile.php و Suppliers/supplier_profile.php و Financing/operation_profile.php و Timesheet/aprovment.php — مفتوحةٌ لكل مصادَقٍ بصلاحياتٍ كاملة.</t>
  </si>
  <si>
    <t xml:space="preserve">INJ-0006</t>
  </si>
  <si>
    <t xml:space="preserve">TABLE 46 (لأفعال التصدير) · ▐ ٨-٤</t>
  </si>
  <si>
    <t xml:space="preserve">مركز التقارير / التصدير الموحَّد</t>
  </si>
  <si>
    <t xml:space="preserve">http://localhost/ems/excel.php</t>
  </si>
  <si>
    <t xml:space="preserve">متابعة وتقارير الحوكمة</t>
  </si>
  <si>
    <t xml:space="preserve">«صلاحيةُ التصديرِ + حدُّ الحقولِ الحساسة — لأفعال audit.export · rpt.export»، أي صلاحيةُ تصديرٍ مستقلةٌ عن صلاحية العرض، وحجبُ الحقول الحساسة في الملف.</t>
  </si>
  <si>
    <t xml:space="preserve">فرعُ الفشلِ المفتوح حيٌّ لا نظري: لا مسارَ في excel.php يحمّل permissions_helper.php، ولا يلتقطه حارسُ AJAX المركزي (اسمُ السكربت ليس get_*/‏*_handler)، فالتصديرُ محكومٌ بعزل الشركة وحدَه دون أيِّ راية دور. — [مُصحَّح بعد التحقق] الصياغة الأولى: excel.php يفحص وجودَ الجلسة فقط، وExcelService::authorize يفحص can_view (صلاحيةَ عرضٍ لا تصدير). والأسوأ: `if (!function_exists('check_page_permissions')) { return; }` يجعل الفحصَ يفشل مفتوحًا إن لم ي</t>
  </si>
  <si>
    <t xml:space="preserve">من يملك عرضَ شاشةٍ يملك تصديرَها كاملةً بحقولها الحساسة — وهو عكسُ الحكم صراحةً: «فقد يملك المستخدمُ حقَّ التصديرِ لجزءٍ دون عرضِ بعضِ الحقولِ أو العكس — صلاحيتان منفصلتان لا واحدة». الحقلُ الحساس يُسجَّل اطّلاعُه ثم يُسلَّم في الملف.</t>
  </si>
  <si>
    <t xml:space="preserve">نموذج الصلاحيات رباعيُّ الأفعال (view/add/edit/delete) بلا فعلِ export، وصنفُ Column بلا خاصيةِ حساسية.</t>
  </si>
  <si>
    <t xml:space="preserve">excel.php:16; :65; :99; app/Services/Excel/ExcelService.php:61-63; :91; :150-158</t>
  </si>
  <si>
    <t xml:space="preserve">١) امنح دورًا can_view على كيانٍ فيه حقلٌ مصنَّف حساسًا في scr_sensitive_fields. ٢) صدّر الكيان من الشاشة. ٣) افتح الملف ⇐ الحقلُ الحساس ظاهرٌ بقيمته.</t>
  </si>
  <si>
    <t xml:space="preserve">إضافة عمودٍ can_export إلى role_permissions وفحصُه في app/Services/Excel/ExcelService::authorize() بدل can_view، وحذفُ فرع الفشلِ المفتوح في السطر 61-63، وتصفيةُ الأعمدة في Exporter::write وفق نتيجة استعلام scr_sensitive_fields بدل الاكتفاء بتسجيلها.</t>
  </si>
  <si>
    <t xml:space="preserve">فريق الباك-إند — وحدة الحوكمة والصلاحيات</t>
  </si>
  <si>
    <t xml:space="preserve">دورٌ بـcan_view وبلا can_export يُرفض تصديرُه 403؛ ودورٌ بـcan_export بلا منحةِ حقلٍ حساس يحصل على ملفٍّ بلا ذلك العمود.</t>
  </si>
  <si>
    <t xml:space="preserve">أشدُّ ممّا وُصف: excel.php لا يحمّل includes/permissions_helper.php إطلاقًا (config.php لا يضمّنه) فشرطُ function_exists يفشل ويعود authorize() بلا فحص — تصديرُ أيِّ كيانٍ متاحٌ لأيِّ حسابٍ مسجَّل، وهو تسريبُ بياناتٍ بين الإدارات.</t>
  </si>
  <si>
    <t xml:space="preserve">P1</t>
  </si>
  <si>
    <t xml:space="preserve">INJ-0007</t>
  </si>
  <si>
    <t xml:space="preserve">▐ ١١-١ الحوكمةُ والملكيةُ والحدود · ما لا تملكه: أيَّ قرارٍ تشغيليٍّ</t>
  </si>
  <si>
    <t xml:space="preserve">صفحات النظام والإدارات / الأدوار وقوالب صلاحياتها</t>
  </si>
  <si>
    <t xml:space="preserve">http://localhost/ems/Settings/modules.php</t>
  </si>
  <si>
    <t xml:space="preserve">رابعًا: الظهور والبوابة والصفحات</t>
  </si>
  <si>
    <t xml:space="preserve">الحوكمة والالتزام تملك «الكياناتِ · التفويضَ · قوالبَ الصلاحيات · مفاتيحَ الظهور · مكوّناتِ البوابة · صفحاتِ النظام · الحساب» — وهي وحدَها مَن يملك هذه السجلات؛ وإدارةُ التشغيل إدارةٌ تشغيليةٌ لا حوكمية.</t>
  </si>
  <si>
    <t xml:space="preserve">check_page_permissions (112 شاشة) تفشل مغلقةً منذ 2026-08-05، فالفشلُ المفتوحُ محصورٌ في get_current_page_permissions وستِّ شاشاتٍ تستعملها — لكن منها Settings/role_permissions.php وSettings/roles.php وmain/users.php، فسلسلةُ التصعيد مكتملةٌ ومن أخطر ما يكون. — [مُصحَّح بعد التحقق] الصياغة الأولى: الدالة ems_governance_admin_roles() تُرجع الدورين 1 (ادارة التشغيل) و15 (مدير الصلاحيات)، وems_require_governance_screen ترجع لهما صلاحياتٍ كاملةً (can_view/add/edit/delete = true) قبل أيِّ استعلامِ م</t>
  </si>
  <si>
    <t xml:space="preserve">Wrong Owner</t>
  </si>
  <si>
    <t xml:space="preserve">مديرُ التشغيل يستطيع حذفَ صفِّ موديولٍ من سجل الشاشات — والشاشةُ غيرُ المسجَّلة تصير مفتوحةً للجميع بسبب الفشل المفتوح في permissions_helper. مسارُ تصعيدِ امتيازٍ مكتمل من دورٍ تشغيليٍّ إلى فتحِ أيِّ شاشةٍ في النظام.</t>
  </si>
  <si>
    <t xml:space="preserve">تعليقُ الملف يشرح السبب صراحةً: «الشركةُ 1 ليس فيها أيُّ حسابٍ بالدور 15 — أرضيةٌ بالدور 15 وحدَه تقفلها خارج نظامها». عولجت مشكلةُ بياناتٍ بتوسيعِ أرضيةِ الصلاحية في الكود بدل إنشاء حسابِ حوكمة.</t>
  </si>
  <si>
    <t xml:space="preserve">includes/governance_guard.php:42,71,94-97; Settings/modules.php:20-21; includes/permissions_helper.php:614-628; Settings/role_permissions.php:21-28; Settings/roles.php:17-25; main/users.php:32</t>
  </si>
  <si>
    <t xml:space="preserve">١) ادخل بدور 1 (ادارة التشغيل). ٢) افتح http://localhost/ems/Settings/modules.php ⇐ تُفتح بصلاحياتٍ كاملة. ٣) احذف صفَّ موديولٍ لشاشةٍ ما. ٤) ادخل بأيِّ دورٍ آخر وافتح تلك الشاشة ⇐ تُفتح بصلاحياتٍ كاملة بسبب _default_full_permissions.</t>
  </si>
  <si>
    <t xml:space="preserve">حصرُ ems_governance_admin_roles() في EMS_ROLE_PERMISSIONS_MGR وحدَه في includes/governance_guard.php:42، وإنشاءُ حسابِ حوكمةٍ بالدور 15 في كل شركةٍ ضمن هجرةِ بياناتٍ بدل توسيع الأرضية، وإبقاءُ الدور 1 عارضًا بمنحةٍ صريحةٍ إن لزم.</t>
  </si>
  <si>
    <t xml:space="preserve">الدور 1 يُرفض 403 عند فتح Settings/modules.php ما لم تُمنَح له can_view صراحةً، ولا يملك can_delete عليه في أيِّ حال؛ ويُسجَّل الرفضُ في سجل الأمن.</t>
  </si>
  <si>
    <t xml:space="preserve">مؤكَّدٌ بالكامل: governance_guard.php:42 يُرجع array(EMS_ROLE_OPERATIONS_MGR, EMS_ROLE_PERMISSIONS_MGR) أي '1' و'15'، وems_require_governance_screen:96-97 تعيد لهما $full (كلُّ الصلاحيات) قبل أيِّ استعلامِ منح، وSettings/modules.php:21 هي هذه البوابةُ نفسُها. وسلسلةُ التصعيد قائمةٌ فعلًا: get_current_page_permissions (permissions_helper.php:621-628) تفشل مفتوحةً، وSettings/role_permissions.php:21-28 يشترط $rp_perms['id'] !== null قبل المنع — فحذفُ صفِّ الموديول 123 من داخل modules.php يفتح شاشةَ منحِ الصلاحيات للجميع.</t>
  </si>
  <si>
    <t xml:space="preserve">INJ-0008</t>
  </si>
  <si>
    <t xml:space="preserve">BR-GOV-01 · الحارسُ المركزي · CORE PR-05/AR-05</t>
  </si>
  <si>
    <t xml:space="preserve">حارس الصلاحيات المركزي</t>
  </si>
  <si>
    <t xml:space="preserve">CORE AR-05: «المنعُ يُنفَّذ ثلاثَ مرات … والحارسُ في الخادم يرفض النداءَ ولو جاء بمساره مباشرةً» — والحارسُ **مغلقٌ افتراضًا** (fail-closed).</t>
  </si>
  <si>
    <t xml:space="preserve">الحارسُ المركزيُّ مفتوحٌ افتراضًا: `_default_full_permissions()` تُرجع `can_view/can_add/can_edit/can_delete = true` لأيِّ شاشةٍ غيرِ مسجَّلةٍ في `modules` (`includes/permissions_helper.php:810-818`)، وتُستدعى مرتين: عند فشلِ تجهيزِ الاستعلام (`:897-899`) وعند عدمِ العثورِ على الشاشة (`:909-911`). والنمطُ نفسُه في `get_current_page_permissions` (`:621-629`). والتعليقُ يقرُّ بذلك: «إذا لم توجد الصفحة في قاعدة البيانات تُرجع كل الصلاحيات للتوافقية».</t>
  </si>
  <si>
    <t xml:space="preserve">أيُّ شاشةٍ جديدةٍ أو مُعادةِ التسميةِ أو غيرِ مسجَّلةٍ تُمنح تلقائيًّا صلاحياتٍ كاملةً لكلِّ الأدوار — إضافةً وتعديلًا وحذفًا. ونسيانُ صفٍّ واحدٍ في `modules` يفتح شاشةً حاكمةً للجميع. وفشلُ الاستعلامِ نفسُه (خطأُ قاعدة) يفتح كلَّ شيء.</t>
  </si>
  <si>
    <t xml:space="preserve">قرارُ «توافقيةٍ» مع شاشاتٍ قديمةٍ غيرِ مسجَّلةٍ بقي في المسارِ الحرِج بدل هجرةِ تلك الشاشاتِ وإغلاقِ الحارس.</t>
  </si>
  <si>
    <t xml:space="preserve">includes/permissions_helper.php:803; :810; :813; :816; :818; :897; :898; :909; :910; :621; :624; :628</t>
  </si>
  <si>
    <t xml:space="preserve">١) أنشئ ملفًّا `Test/unregistered.php` يستدعي `check_page_permissions($conn,'Test/unregistered.php')`.
٢) لا تُسجّله في `modules`.
٣) افتحه بأيِّ دور: القيمُ الأربعُ `true`.
٤) كرِّر بعد قطعِ الاتصالِ بالقاعدةِ فيفشل `prepare`: النتيجةُ نفسُها (`:897-899`).</t>
  </si>
  <si>
    <t xml:space="preserve">اقلِب الافتراضَ في `includes/permissions_helper.php`: اجعل `_default_full_permissions()` تُرجع الأربعَ `false` (وأعِد تسميتَها `_default_denied_permissions`)، وسجِّل حدثَ أمنٍ `PERM_UNREGISTERED_SCREEN`؛ وفي حالةِ فشلِ `prepare` (`:897`) ارمِ استثناءً بدل الفتح. ثم هاجِر الشاشاتِ غيرَ المسجَّلةِ إلى `modules` قبل النشر بعلَمِ تفعيلٍ تدريجي.</t>
  </si>
  <si>
    <t xml:space="preserve">فريق الباك-إند — الحوكمة والمنصة</t>
  </si>
  <si>
    <t xml:space="preserve">شاشةٌ غيرُ مسجَّلةٍ في `modules` تُعيد `can_view=false` وتُحجب لكلِّ دورٍ عدا السوبر، ويُكتب حدثُ أمنٍ بكلِّ محاولة.</t>
  </si>
  <si>
    <t xml:space="preserve">مؤكَّدٌ سطرًا سطرًا: _default_full_permissions (810-818) تُرجع الأربعَ true، وتُستدعى عند فشل prepare (897-899) وعند عدم العثور على الشاشة (909-911)، والنمطُ نفسُه في get_current_page_permissions (621-629)، والتعليقُ 825 يقرُّ به. والأثرُ حيٌّ: نحوُ ٤٠ شاشةً تضمّن insidebar وليست في modules تُمنح صلاحياتٍ كاملةً لكل مصادَق، والصمّامُ المضادُّ فارغُ البادئات في .env حسب docs/SUPPLIERS_DEPARTMENT_AUDIT_REPORT_ar.md:323.</t>
  </si>
  <si>
    <t xml:space="preserve">INJ-0009</t>
  </si>
  <si>
    <t xml:space="preserve">▐ ١٠ الحرّاس · الحكمُ الرابع «الحارسُ في الخادم ويُفشَل مغلقًا»</t>
  </si>
  <si>
    <t xml:space="preserve">إقفال الأمر وتحميل تكلفته</t>
  </si>
  <si>
    <t xml:space="preserve">http://localhost/ems/Transport/transfer_close_cost.php</t>
  </si>
  <si>
    <t xml:space="preserve">خامسًا: الإقفال وتحميل التكلفة</t>
  </si>
  <si>
    <t xml:space="preserve">الحارسُ في الخادمِ قبل الأثر — ولا يُكتفى بإخفاء الزر؛ ولكلِّ فعلٍ حارسٌ مُثبَتٌ بمُنفِّذه</t>
  </si>
  <si>
    <t xml:space="preserve">معالجُ POST في السطر ١٩ ينفّذ UPDATE على transfer_orders و INSERT في transfer_events و transfer_cost_lines قبل السطر ٥٥ الذي يُضمِّن insidebar.php (وفيه الحارسُ الوحيدُ enforce_current_page_view_permission عند insidebar.php:14) — فالأثرُ يقع ثم يُعاد التوجيه؛ ولا فحصَ can_edit ولا رمزَ صلاحيةٍ ولا CSRF</t>
  </si>
  <si>
    <t xml:space="preserve">أيُّ مستخدمٍ مسجَّلِ الدخولِ — من أيِّ إدارةٍ — يستطيع إقفالَ أمرِ ترحيلٍ وتحميلَ تكلفةٍ فعليةٍ بأيِّ مبلغٍ على مركزِ تكلفة؛ أثرٌ ماليٌّ بلا صلاحية</t>
  </si>
  <si>
    <t xml:space="preserve">الشاشةُ من موجة update0007 كُتبت بنمطٍ مختصرٍ (فحصُ الجلسة فقط) ولم تستدعِ trs_page_perms كأخواتها، والحارسُ المركزيُّ يفحص can_view وحدَه ويأتي متأخرًا في ترتيب التضمين</t>
  </si>
  <si>
    <t xml:space="preserve">Transport/transfer_close_cost.php:11; Transport/transfer_close_cost.php:19; Transport/transfer_close_cost.php:25; Transport/transfer_close_cost.php:34; Transport/transfer_close_cost.php:55; insidebar.php:14</t>
  </si>
  <si>
    <t xml:space="preserve">١) ادخل بأيِّ حسابٍ لا يملك صلاحيةَ النقل (مثلًا دور الموارد البشرية).
٢) أرسِل POST إلى /ems/Transport/transfer_close_cost.php بالحقلين close_id=&lt;رقم أمرٍ حالتُه arrived&gt; و actual_cost=999999.
٣) استعلِم transfer_orders: الحالةُ صارت closed و actual_cost_usd=999999.</t>
  </si>
  <si>
    <t xml:space="preserve">في Transport/transfer_close_cost.php أضِف قبل السطر ١٩: require_once trs_helpers.php ثم $perms = trs_page_perms($conn,'Transport/transfer_close_cost.php',$is_super); وارفض بـ403 إن !$perms['can_edit']؛ وأضِف تحققَ رمزِ CSRF، وانقل التحققَ كلَّه قبل أيِّ كتابة</t>
  </si>
  <si>
    <t xml:space="preserve">فريق الباك-إند — وحدة النقل والترحيل</t>
  </si>
  <si>
    <t xml:space="preserve">POST من حسابٍ بلا can_edit على الموديول ٣٠٩ يعيد ٤٠٣ ولا يغيّر صفًّا واحدًا في transfer_orders ولا transfer_cost_lines.</t>
  </si>
  <si>
    <t xml:space="preserve">تحققتُ: السطر 19 يفتح معالجَ POST، والسطور 25-28 UPDATE transfer_orders، و30-31 INSERT transfer_events، و33-34 INSERT transfer_cost_lines بمبلغٍ من $_POST — كلُّها قبل include '../insidebar.php' في السطر 55 حيث الحارسُ الوحيد. لا can_edit ولا رمزَ CSRF، ومصفوفةُ الصلاحيات تحصر الموديول 309 بالدور 23 كتابةً — فالأثرُ الماليُّ يقع لأيِّ مصادَق.</t>
  </si>
  <si>
    <t xml:space="preserve">INJ-0010</t>
  </si>
  <si>
    <t xml:space="preserve">▐ ١٠ الحرّاس · الحكمُ الرابع «الحارسُ في الخادم قبل الأثر»</t>
  </si>
  <si>
    <t xml:space="preserve">ثانيًا: العروض والترسية</t>
  </si>
  <si>
    <t xml:space="preserve">لا فعلَ يقع قبل حارسٍ خادميٍّ يفحص صلاحيةَ الكتابة؛ والترسيةُ فعلٌ حاكمٌ بأثرٍ تعاقديٍّ ومالي</t>
  </si>
  <si>
    <t xml:space="preserve">معالجُ الترسية بلا فحصِ صلاحيةٍ إطلاقًا؛ أمّا CSRF فيغطّيه `ems_enforce_csrf_protection` المركزيُّ في config.php:468 حسب وضعه. — [مُصحَّح بعد التحقق] الصياغة الأولى: معالجُ POST في السطر ٢٠ يُدرج صفَّ ترسيةٍ في rfq_awards (السطر ٣٣) ويحدّث supplier_rfqs إلى 'awarded' (السطر ٣٨) داخل معاملة، وكلُّ ذلك قبل السطر ٦٦ الذي يُضمِّن insidebar.php حيث الحارسُ الوحيدُ (enf</t>
  </si>
  <si>
    <t xml:space="preserve">أيُّ مستخدمٍ مسجَّلِ الدخولِ في النظام يستطيع ترسيةَ أيِّ طلبِ عروضٍ على أيِّ موردٍ بأيِّ سعر؛ الترسيةُ تُلتزم في القاعدة ثم يُعاد توجيهُ المستخدمِ فقط — أثرٌ تعاقديٌّ كاملٌ بلا صلاحية</t>
  </si>
  <si>
    <t xml:space="preserve">شاشةُ الترسيةِ كُتبت بالنمط المختصر (فحصُ الجلسة وحدَه) ولم تستدعِ proc_page_perms كأخواتِها في المجلد نفسِه</t>
  </si>
  <si>
    <t xml:space="preserve">Procurement/rfq_compare_award.php:11; Procurement/rfq_compare_award.php:20; Procurement/rfq_compare_award.php:33; Procurement/rfq_compare_award.php:38; Procurement/rfq_compare_award.php:66; insidebar.php:14; Procurement/orders_proc.php:29</t>
  </si>
  <si>
    <t xml:space="preserve">١) ادخل بحسابٍ من إدارةٍ بلا أيِّ صلة بالمشتريات (مثلًا دور الصيانة).
٢) أرسِل POST إلى /ems/Procurement/rfq_compare_award.php بالحقول award_quote=&lt;معرّف عرض&gt; و award_reason=«اختبار».
٣) استعلِم rfq_awards: صفٌّ جديد؛ واستعلِم supplier_rfqs: state='awarded'.</t>
  </si>
  <si>
    <t xml:space="preserve">في Procurement/rfq_compare_award.php أضِف قبل السطر ٢٠: require_once __DIR__.'/proc_helpers.php'; $ctx=proc_ctx(); $perms=proc_page_perms($conn,'Procurement/rfq_compare_award.php',$ctx['is_super']); if(!$perms['can_edit']) { ems_gov_flash_redirect('rfq_compare_award.php','لا صلاحية ترسية ❌','GOV-PERM-403',''); exit(); } وأضِف تحققَ رمز CSRF</t>
  </si>
  <si>
    <t xml:space="preserve">فريق الباك-إند — وحدة المشتريات</t>
  </si>
  <si>
    <t xml:space="preserve">POST من حسابٍ بلا can_edit على الموديول ٢٩٨ يعيد ٤٠٣ ولا يُدرج صفًّا في rfq_awards ولا يغيّر supplier_rfqs.</t>
  </si>
  <si>
    <t xml:space="preserve">محقَّقٌ بالكامل: Procurement/rfq_compare_award.php:20 يفتح معالجَ الترسية، و:33 يدرج صفًّا في rfq_awards و:38 يحوّل supplier_rfqs إلى 'awarded' داخل معاملة، وinsidebar في السطر 66 بعد ذلك كلِّه — بلا can_add/can_edit ولا رمزِ فعل؛ وأثرُه ترسيةُ عطاءٍ على موردٍ (أثرٌ ماليٌّ وقانونيٌّ) يقفلُه فحصُ التكرار فلا يُرسى البندُ ثانيةً. (ملاحظة: CSRF محروسٌ مركزيًّا في config.php لا في الشاشة، فالجزءُ الخاصُّ به من الادّعاء غيرُ دقيق.)</t>
  </si>
  <si>
    <t xml:space="preserve">INJ-0011</t>
  </si>
  <si>
    <t xml:space="preserve">المخازن</t>
  </si>
  <si>
    <t xml:space="preserve">التحويل بين المخازن</t>
  </si>
  <si>
    <t xml:space="preserve">http://localhost/ems/Procurement/wh_transfer.php</t>
  </si>
  <si>
    <t xml:space="preserve">ثانيًا: الإدخال والرصيد</t>
  </si>
  <si>
    <t xml:space="preserve">لا فعلَ يقع قبل حارسٍ خادميٍّ يفحص صلاحيةَ الكتابة — والرصيدُ أثرٌ مادّيٌّ لا يُمسّ بلا صلاحية</t>
  </si>
  <si>
    <t xml:space="preserve">معالجُ POST في السطر ١٨ يفتح معاملةً ويُدرج حركتَي مخزونٍ (تحويل صادر/وارد) في السطرين ٣٤ و٣٦ قبل السطر ٦٠ الذي يُضمِّن insidebar.php حيث الحارسُ الوحيدُ (can_view فقط، insidebar.php:14)؛ ولا فحصَ can_edit ولا رمزَ CSRF — رغم أن مصفوفةَ الصلاحيات تحصر الموديول ٣٠١ بدور «أمين المستودع» وحدَه</t>
  </si>
  <si>
    <t xml:space="preserve">أيُّ مستخدمٍ مسجَّلٍ في النظام يستطيع نقلَ أيِّ كميةٍ من أيِّ صنفٍ بين أيِّ مخزنين؛ ورصيدُ المخزون محسوبٌ من هذه الحركات، فالأثرُ مباشرٌ على قيمةِ المخزون وعلى تكلفةِ ما يُصرَف منه</t>
  </si>
  <si>
    <t xml:space="preserve">شاشةٌ من موجة update0007 كُتبت بالنمط المختصر (فحصُ الجلسة وحدَه) ولم تستدعِ proc_page_perms كأخواتها في المجلد نفسِه</t>
  </si>
  <si>
    <t xml:space="preserve">Procurement/wh_transfer.php:10; Procurement/wh_transfer.php:18; Procurement/wh_transfer.php:34; Procurement/wh_transfer.php:36; Procurement/wh_transfer.php:60; insidebar.php:14; database/schema/seed_reference.sql:349; database/schema/seed_reference.sql:1969</t>
  </si>
  <si>
    <t xml:space="preserve">١) ادخل بحسابٍ من إدارةٍ لا علاقةَ لها بالمخازن.
٢) أرسِل POST إلى /ems/Procurement/wh_transfer.php بالحقول item_id و from_wh و to_wh و qty.
٣) استعلِم proc_stock_move: حركتان جديدتان بمرجع TRF.</t>
  </si>
  <si>
    <t xml:space="preserve">في Procurement/wh_transfer.php أضِف قبل السطر ١٨: $ctx=proc_ctx(); $perms=proc_page_perms($conn,'Procurement/wh_transfer.php',$ctx['is_super']); if(!$perms['can_edit']) { ems_gov_flash_redirect('wh_transfer.php','لا صلاحية تحويل ❌','GOV-PERM-403',''); exit(); } مع تحققِ رمز CSRF</t>
  </si>
  <si>
    <t xml:space="preserve">فريق الباك-إند — وحدة المخازن</t>
  </si>
  <si>
    <t xml:space="preserve">POST من حسابٍ بلا can_edit على الموديول ٣٠١ يعيد ٤٠٣ ولا يُدرج أيَّ صفٍّ في proc_stock_move.</t>
  </si>
  <si>
    <t xml:space="preserve">تحققتُ: السطر 18 معالجُ POST، والسطور 32-37 تفتح معاملةً وتُدرج حركتَي proc_stock_move (تحويل صادر/وارد) قبل include '../insidebar.php' في السطر 60. لا فحصَ can_edit ولا رمزَ CSRF، ومصفوفةُ الصلاحيات تحصر الموديول 301 بالدور 25 وحدَه (seed_reference.sql:349,1969) — فأيُّ مصادَقٍ يحرّك رصيدَ المخازن.</t>
  </si>
  <si>
    <t xml:space="preserve">INJ-0012</t>
  </si>
  <si>
    <t xml:space="preserve">▐ ١٠ الحرّاس · «الحارسُ لا يثق بمدخلات العميل»</t>
  </si>
  <si>
    <t xml:space="preserve">الجرد ومعالجة الفروقات</t>
  </si>
  <si>
    <t xml:space="preserve">http://localhost/ems/Procurement/wh_count.php</t>
  </si>
  <si>
    <t xml:space="preserve">رابعًا: الجرد والرقابة</t>
  </si>
  <si>
    <t xml:space="preserve">«رابعًا: الجرد والرقابة | محضر جرد · قيد تسوية | المعتمِد: مدير المخازن» — والحارسُ في الخادم ولا يُحتسب فرقٌ من قيمةٍ يرسلها المتصفح</t>
  </si>
  <si>
    <t xml:space="preserve">الشاشةُ بلا أيِّ حارسِ صلاحيةٍ (فحصُ الجلسة وحدَه في السطر ١٠، والحارسُ المركزيُّ يأتي في السطر ٥٦ بعد الكتابة)، والأخطرُ أن «الرصيدَ الدفتري» يُرسَل من المتصفح في حقلٍ مخفيٍّ book_qty ويُحسب الفرقُ منه في الخادم ($diff = $actual - $book) بلا إعادةِ احتسابِ الرصيد من proc_stock_move — فالمهاجمُ يتحكم بطرفَي المعادلة</t>
  </si>
  <si>
    <t xml:space="preserve">أيُّ مستخدمٍ مسجَّلٍ يستطيع كتابةَ تسويةِ مخزونٍ بأيِّ مقدارٍ (زيادةً أو عجزًا) بإرسال book_qty=0 و actual_qty=1000 — أي إنشاءَ مخزونٍ من العدم أو إخفاءَ عجزٍ، بسببٍ نصيٍّ حرٍّ وبلا معتمِدٍ ولا محضرِ جرد</t>
  </si>
  <si>
    <t xml:space="preserve">حسابُ الفرق مبنيٌّ على قيمةٍ من العميل، والشاشةُ بلا حارسٍ خادميٍّ ولا اعتمادٍ من مدير المخازن</t>
  </si>
  <si>
    <t xml:space="preserve">Procurement/wh_count.php:10; Procurement/wh_count.php:19; Procurement/wh_count.php:22; Procurement/wh_count.php:24; Procurement/wh_count.php:29; Procurement/wh_count.php:116; Procurement/wh_count.php:56</t>
  </si>
  <si>
    <t xml:space="preserve">١) ادخل بأيِّ حسابٍ مسجَّل.
٢) أرسِل POST إلى /ems/Procurement/wh_count.php?wh=1 بالحقول adjust_item=&lt;صنف&gt; و book_qty=0 و actual_qty=1000 و reason=«جرد».
٣) استعلِم proc_stock_move: حركةُ «تسوية زيادة» بكمية ١٠٠٠.</t>
  </si>
  <si>
    <t xml:space="preserve">في Procurement/wh_count.php: (أ) أضِف حارسَ proc_page_perms + can_edit قبل معالج POST؛ (ب) احذف الحقلَ المخفي book_qty وأعِد احتسابَ الرصيد الدفتري في الخادم من proc_stock_move داخل المعاملة؛ (ج) اشترِط اعتمادَ دورِ مدير المخازن قبل كتابة حركة التسوية</t>
  </si>
  <si>
    <t xml:space="preserve">POST بقيمة book_qty ملفَّقةٍ يُنتج حركةَ تسويةٍ محسوبةً من الرصيد الحقيقيِّ لا من المُدخَل، ويُرفض كليًّا بلا can_edit وبلا اعتماد مدير المخازن.</t>
  </si>
  <si>
    <t xml:space="preserve">محقَّقٌ بالسطر: Procurement/wh_count.php بلا أيِّ فحصِ صلاحية (الجلسةُ وحدَها في السطر 10) والحارسُ المركزيُّ في السطر 56 بعد الكتابة، ومعالجُ السطر 19-32 يحسب `$diff = $actual - $book` من `book_qty` القادمِ في حقلٍ مخفيٍّ من المتصفح ثم يدرج حركةَ «تسوية زيادة/عجز» في `proc_stock_move` — وهو دفترُ الأرصدة الذي يُحسب منه الرصيدُ الدفتريُّ نفسُه (السطر 40-45)، فالمهاجمُ يتحكم بمقدار التسوية بالكامل.</t>
  </si>
  <si>
    <t xml:space="preserve">INJ-0013</t>
  </si>
  <si>
    <t xml:space="preserve">§١٢-٣ المرحلة ٤ · «متحقِّقٌ مستقل» — لا مرحلةَ بلا مخرَج</t>
  </si>
  <si>
    <t xml:space="preserve">المراجع الداخلي المستقل</t>
  </si>
  <si>
    <t xml:space="preserve">ميثاق المراجعة الداخلية / الكون الرقابي / خطة المراجعة / مهام المراجعة</t>
  </si>
  <si>
    <t xml:space="preserve">http://localhost/ems/Audit/iaf_charter.php</t>
  </si>
  <si>
    <t xml:space="preserve">غير موجود في السايدبار</t>
  </si>
  <si>
    <t xml:space="preserve">«لا مهمةَ بلا خطةٍ ولا خطةَ بلا كونٍ رقابيٍّ ولا كونَ بلا ميثاق» (IAF-0044) — ولكلِّ مرحلةٍ مستندٌ يُنتَج ومعتمِدٌ يشهد.</t>
  </si>
  <si>
    <t xml:space="preserve">من الشاشاتِ الستَّ عشرةَ في `Audit/` **شاشةٌ واحدةٌ فقط** تحمل كتلةَ `actions` هي `Audit/iaf_findings.php:32-55` (قبولُ دليلٍ وإغلاقُ ملاحظة). أمّا `iaf_charter` و`iaf_universe` و`iaf_plan` و`iaf_engagements` و`iaf_workpapers` و`iaf_independence` وسائرُها فبلا أيِّ فعل — فلا سبيلَ لإنشاءِ ميثاقٍ ولا اعتمادِه ولا بناءِ كونٍ رقابيٍّ ولا خطةٍ ولا مهمةٍ ولا ورقةِ عملٍ ولا حتى **رفعِ ملاحظة**. والدالةُ `assertCycle` (`InternalAuditService.php:99`) بلا نداءات.</t>
  </si>
  <si>
    <t xml:space="preserve">دورةُ المراجعةِ الداخليةِ كاملةً غيرُ قابلةٍ للبدء: لا ميثاقَ يُعتمد فلا كونَ فلا خطةَ فلا مهمةَ فلا ملاحظة — والشاشتانِ الوحيدتانِ ذواتا الأفعال (`iaf_findings`) تعملان على صفوفٍ لا يمكن إنشاؤها. النتيجةُ ستَّ عشرةَ شاشةً تعرض «لا بيانات» إلى الأبد.</t>
  </si>
  <si>
    <t xml:space="preserve">وُلِّدت الشاشاتُ من بيانِ `tools/u13_screens_manifest.php` بعقودِ عرضٍ فقط؛ ولم تُكتب عقودُ الأفعالِ إلا لشاشةٍ واحدة.</t>
  </si>
  <si>
    <t xml:space="preserve">Audit/iaf_charter.php:19; :30; Audit/iaf_universe.php:19; Audit/iaf_plan.php:19; Audit/iaf_engagements.php:19; Audit/iaf_findings.php:32; :55; app/Services/Audit/InternalAuditService.php:99; includes/u13_screen_kit.php:145; :254</t>
  </si>
  <si>
    <t xml:space="preserve">١) بحساب دور 33 افتح `Audit/iaf_charter.php`: لا كتلةَ «الأفعالُ المتاحةُ على هذه الشاشة» لأن `$U13['actions']` غيرُ معرَّفة.
٢) كرِّر على `iaf_universe` و`iaf_plan` و`iaf_engagements`: النتيجةُ نفسُها.
٣) افتح `Audit/iaf_findings.php`: فعلانِ فقط، وكلاهما يفترض ملاحظةً قائمةً لا سبيلَ لإنشائها.</t>
  </si>
  <si>
    <t xml:space="preserve">أضِف في `tools/u13_screens_manifest.php` عقودَ الأفعالِ الناقصةَ وأعِد التوليد: `iaf.charter.approve` · `iaf.universe.build` · `iaf.plan.approve` · `iaf.engagement.open` · `iaf.workpaper.attach` · `iaf.finding.raise` · `iaf.response.submit` · `iaf.actionplan.set`؛ ونفِّذ كلَّ فعلٍ عبر `InternalAuditService` مع نداءِ `assertCycle` قبله.</t>
  </si>
  <si>
    <t xml:space="preserve">فريق الباك-إند — وحدة المراجعة الداخلية (IAF-01)</t>
  </si>
  <si>
    <t xml:space="preserve">بحساب دور 33: اعتمِد ميثاقًا ← ابنِ كونًا ← اعتمِد خطةً ← افتح مهمةً ← ارفع ملاحظةً ← اقبل دليلًا ← أغلِق — السلسلةُ السبعُ تعمل من الشاشات، وكلُّ قفزةٍ في الترتيبِ تُرفض بـIAF-0044.</t>
  </si>
  <si>
    <t xml:space="preserve">تحققتُ بالجرد: من الستَّ عشرةَ شاشةً في Audit/ شاشةٌ واحدةٌ فقط (iaf_findings.php:32-55) تعلن كتلةَ actions، و includes/u13_screen_kit.php:145,254 لا يصيّر أفعالًا إلا للمعلَنة ولا يقدّم نموذجَ إنشاءٍ عامًّا، و assertCycle بلا نداءٍ خارجَ tools/u13_gate.php. فلا ميثاقَ يُنشأ ولا كونَ ولا خطةَ ولا مهمةَ ولا ملاحظةَ تُرفع — والفعلان الوحيدان يعملان على صفوفٍ لا تُنشأ.</t>
  </si>
  <si>
    <t xml:space="preserve">INJ-0014</t>
  </si>
  <si>
    <t xml:space="preserve">INJAZ-FRD-01 §٢-٢ · الأحكامُ التي لا تُخالَف</t>
  </si>
  <si>
    <t xml:space="preserve">مكتب الرئيس التنفيذي والنواب</t>
  </si>
  <si>
    <t xml:space="preserve">توقيع العقود والالتزامات</t>
  </si>
  <si>
    <t xml:space="preserve">http://localhost/ems/Portal/ceo_contracts.php</t>
  </si>
  <si>
    <t xml:space="preserve">ثالثًا: توقيع العقود</t>
  </si>
  <si>
    <t xml:space="preserve">«◆ لا يُثبَّت الرئيسُ التنفيذيُّ معتمِدًا لكل عقدٍ — بل المخوَّلُ ضمن سقفِه ويُصعَّد عند التجاوز.» و«نموذجُ القيادةِ الأحدثُ يقوم على الرئيس التنفيذيِّ وثلاثةِ نوابٍ بنطاقٍ وسقفٍ وتفويضٍ لكلٍّ … وإنابتُه».</t>
  </si>
  <si>
    <t xml:space="preserve">التوقيعُ والاعتمادُ وفتحُ المشروع كلُّها محروسةٌ بمقارنةٍ نصيةٍ صلبةٍ واحدة: `$actorRole !== '9'` — لا سقفَ مبلغٍ يُقاس، ولا جدولَ `signing_authorities` يُستشار، ولا نائبَ ولا مُناب. و`exec_dept_caps` تُقرأ في بوابة الطلب المالي فقط لا عند التوقيع.</t>
  </si>
  <si>
    <t xml:space="preserve">نموذجُ «الرئيس ونوابُه الثلاثة» غيرُ منفَّذٍ إطلاقًا: لا يستطيع نائبٌ توقيعَ عقدٍ في نطاقه، ويستطيع أيُّ حاملٍ للدور 9 توقيعَ عقدٍ بأيِّ مبلغٍ بلا سقف. وتوقُّفُ التوقيع على حسابٍ واحدٍ يجمّد التعاقدَ عند غيابه.</t>
  </si>
  <si>
    <t xml:space="preserve">تمثيلُ السلطةِ برقمِ دورٍ واحدٍ بدل مصفوفةِ (نطاق × سقف × تفويض)؛ و`app/Core/AuthorityGuard.php::sign()` القائمُ لا يُستدعى من أيِّ شاشةٍ من شاشات القمة.</t>
  </si>
  <si>
    <t xml:space="preserve">Portal/ceo_contracts.php:131; :138; :180-185; Portal/ceo_approvals.php:114; Portal/project_charter.php:148; Governance/signing_authority.php:23; Governance/signing_authority.php:63</t>
  </si>
  <si>
    <t xml:space="preserve">١) ادخل بحساب نائبٍ (أي دورٍ غير 9) له can_edit على Portal/ceo_contracts.php. ٢) افتح الشاشة ولاحظ اختفاءَ لوحة التوقيع. ٣) أرسل POST بـ cmp03_action=sign ⇒ رفضٌ بـ GOV-PERM-403 مهما كان مبلغُ العقد. ٤) ادخل بدور 9 ووقّع عقدًا بمبلغٍ خرافي ⇒ يُقبل بلا سقف.</t>
  </si>
  <si>
    <t xml:space="preserve">في `Portal/ceo_contracts.php` استبدل شرطَ الدور بمستدعٍ لـ`App\Core\AuthorityGuard::sign()` يقرأ `signing_authorities` (النطاق · السقف · التفويض · مدة الإنابة) ويقارن `amount` بسقف الموقِّع؛ وسجّل `authority_ref` من صفِّ التفويض لا من نصٍّ حر. طبّق النمطَ نفسَه في ceo_approvals.php:114 و project_charter.php:148.</t>
  </si>
  <si>
    <t xml:space="preserve">نائبٌ بسقف 100,000 يوقّع عقدًا بـ 90,000 ⇒ يُقبل ويُسجَّل مرجعُ تفويضه؛ ويوقّع عقدًا بـ 150,000 ⇒ يُرفض ويُصعَّد تلقائيًّا لصندوق الرئيس.</t>
  </si>
  <si>
    <t xml:space="preserve">تحققتُ من الأسطر: ceo_contracts.php:131 و ceo_approvals.php:114 و project_charter.php:148 كلُّها شرطٌ نصيٌّ واحد $actorRole !== '9' بلا قياسِ سقفٍ ولا قراءةِ signing_authorities. و AuthorityGuard::sign يُستدعى إنتاجيًّا من خدماتٍ أخرى لكن لا من شاشات القمة، وexec_dept_caps تُقرأ في FinRequests/_finreq_helpers.php:879 وحدَها.</t>
  </si>
  <si>
    <t xml:space="preserve">INJ-0015</t>
  </si>
  <si>
    <t xml:space="preserve">INJAZ-FRD-01 §٤-٥ · المستهلكُ في عقد الفعل السداسي</t>
  </si>
  <si>
    <t xml:space="preserve">اعتمادات المدير التنفيذي</t>
  </si>
  <si>
    <t xml:space="preserve">http://localhost/ems/Portal/ceo_approvals.php</t>
  </si>
  <si>
    <t xml:space="preserve">ثانيًا: الاعتمادات العليا</t>
  </si>
  <si>
    <t xml:space="preserve">عقدُ كلِّ فعلٍ سداسيٌّ يحدّد «المستهلكَ» — والإداراتُ المتأثرةُ بأفعال القمة تسعٌ: المالية والخزينة · المبيعات والعقود · إدارة الموردين · التمويل والملكية · الموارد البشرية · إدارة التشغيل · الحوكمة والالتزام · إدارة الأسطول · إدارة المخاطر.</t>
  </si>
  <si>
    <t xml:space="preserve">التصحيح: `ems_business_events` **يُقرأ** فعلًا (WorkspaceFeedService.php:206 · Portal/ceo_reports.php) لكنها قراءاتُ عرضٍ لا مستهلكٌ يغلق الحلقة. — [مُصحَّح بعد التحقق] الصياغة الأولى: لا مستهلكَ واحدًا لأيٍّ من مفاتيح القمة الأربعة: البحثُ في المستودع عن `exec.approval.granted` يعيد ناشرَين وقارئَي عدٍّ في لوحةٍ وتقرير؛ ولا مستهلكَ يقرأ من `ems_business_events` أصلًا. فالطلبُ المال</t>
  </si>
  <si>
    <t xml:space="preserve">حلقةُ التصعيد مفتوحةٌ من طرف: الطلبُ يُرفع آليًّا إلى صندوق القمة (BR-CEO-05) لكنّ نتيجةَ الاعتماد لا ترجع إلى الطلب الأصلي — فتبقى الطلباتُ عالقةً في «قيد الاعتماد» في بوابة الطلبات المالية بعد بتِّها فعليًّا.</t>
  </si>
  <si>
    <t xml:space="preserve">تصميمُ الجسر أحاديُّ الاتجاه: `finreq_gm_escalate()` يكتب في exec_approvals ويحمل `source_request_id`، ولا يوجد ما يقرأ هذا العمودَ عند البتّ.</t>
  </si>
  <si>
    <t xml:space="preserve">FinRequests/_finreq_helpers.php:938; FinRequests/_finreq_helpers.php:964; FinRequests/_finreq_helpers.php:986-995; Portal/ceo_approvals.php:170-197; Portal/ceo_reports.php:60</t>
  </si>
  <si>
    <t xml:space="preserve">١) أنشئ طلبًا ماليًّا يتجاوز سقفَ الإدارة ⇒ يُرفع صفٌّ إلى exec_approvals ويصل تنبيهٌ للتنفيذي. ٢) اعتمده من Portal/ceo_approvals.php. ٣) افتح FinRequests/my_requests.php ⇒ الطلبُ ما زال في حالته السابقة بلا أثرٍ للاعتماد.</t>
  </si>
  <si>
    <t xml:space="preserve">في `Portal/ceo_approvals.php` بعد نجاح فرع decide: إن كان `$row['source_request_id'] &gt; 0` فحدِّث الطلبَ الأصليَّ عبر خدمةِ الطلبات (تمريرُ القرار والسبب) وأصدِر إشعارًا لمنشئه؛ والأصحُّ معماريًّا: أنشئ مستهلكًا لـ`exec.approval.granted` في `app/Services/Work/RequestService.php` يفعل ذلك بمفتاح عطالة.</t>
  </si>
  <si>
    <t xml:space="preserve">فريق الباك-إند — وحدة الطلبات المالية</t>
  </si>
  <si>
    <t xml:space="preserve">لا</t>
  </si>
  <si>
    <t xml:space="preserve">اعتمادُ صفٍّ مرفوعٍ من طلبٍ مالي ينقل الطلبَ الأصليَّ إلى الحالة التالية ويصل إشعارٌ لمنشئه خلال دورةٍ واحدة.</t>
  </si>
  <si>
    <t xml:space="preserve">تحقّقت: قرارُ ceo_approvals لا يمسّ `source_request_id` ولا يحدّث الطلبَ المصدري، و`publishFact` يكتب في الجذر المحايد وحدَه بينما EventDispatcher يستهلك من `fin_financial_events` — فلا مستهلكَ لـexec.approval.granted.</t>
  </si>
  <si>
    <t xml:space="preserve">INJ-0016</t>
  </si>
  <si>
    <t xml:space="preserve">SEC-015-ب · فصلُ الواجبات — الزوجُ ⑥ إنشاءُ الصلاحيةِ واعتمادُها</t>
  </si>
  <si>
    <t xml:space="preserve">«لا يعتمد المرءُ ما أعدّ» — والاعتمادُ الأعلى فعلٌ محجوزٌ للإدارة التنفيذية بسلطتها أو بتفويضٍ موثَّق، ويُسجَّل المعتمِدُ بصفته ومرجعِ تفويضه.</t>
  </si>
  <si>
    <t xml:space="preserve">مسارُ «إضافة» (cmp03_action=add) يقبل الحقولَ f12..f16 (قراري · سبب القرار · تاريخ القرار · المعتمِد — الاسم والصفة · مرجع التفويض) وحقلَ الحالة f17 الذي تتضمن قائمتُه القيمةَ «معتمد»، ويُدرجها مباشرةً في `exec_approvals` بحارسٍ واحدٍ هو can_add/can_edit على الشاشة — بلا أيِّ فحصٍ للدور 9. فأيُّ مستخدمٍ يملك can_add يفبرك اعتمادًا أعلى كاملَ الحقول بحالة «معتمد».</t>
  </si>
  <si>
    <t xml:space="preserve">تُلتفّ حراسةُ الدور 9 الموضوعةُ على مسار «القرار» بالكامل: يظهر في سجل الاعتمادات العليا صفٌّ «معتمد» باسم معتمِدٍ ومرجعِ تفويضٍ يكتبهما المُدخِلُ بيده، ويُقرأ لاحقًا سندًا لصرفٍ أو تعاقدٍ تجاوز السقف.</t>
  </si>
  <si>
    <t xml:space="preserve">حارسان مختلفان لمسارين يكتبان الأعمدةَ نفسَها: مسارُ القرار محروسٌ بالدور (سطر 114) ومسارُ الإضافة محروسٌ بصلاحية CRUD فقط (سطر 37)، وقادحُ القاعدة BR-CEO-08 يمنع تعديلَ المقرَّر لا إنشاءَه مقرَّرًا.</t>
  </si>
  <si>
    <t xml:space="preserve">Portal/ceo_approvals.php:37; :76; :63-68; :87; :99; :114; :294</t>
  </si>
  <si>
    <t xml:space="preserve">١) امنح دورًا غيرَ 9 صلاحيةَ can_add على Portal/ceo_approvals.php. ٢) ادخل بذلك الدور وافتح الشاشة. ٣) اضغط «إضافة» واملأ «قراري=اعتماد» و«المعتمِد — الاسم والصفة» و«مرجع التفويض» واختر الحالة «معتمد». ٤) احفظ. ٥) لاحظ ظهور الصف معتمدًا في الجدول بلا مرور الدور 9.</t>
  </si>
  <si>
    <t xml:space="preserve">في `Portal/ceo_approvals.php` داخل فرع add (سطر 76): امنع كتابةَ الحقول decision · decision_reason · decision_date · approver_name · authority_ref و status='معتمد' إلا إذا كان `$actorRole==='9'`؛ واجعل الإدراجَ يفرض status='مسودة' و decision=NULL دائمًا للمُدخِل غير التنفيذي، وأزِل «معتمد» من قائمة f17.</t>
  </si>
  <si>
    <t xml:space="preserve">فريق الباك-إند — وحدة القمة التنفيذية (Portal)</t>
  </si>
  <si>
    <t xml:space="preserve">مستخدمٌ بدور غير 9 وله can_add يحفظ صفًّا بحالة «معتمد» ⇒ يجب أن يُرفض برسالة GOV-PERM-403 وأن يبقى الصفُّ «مسودة» بأعمدة القرار فارغة.</t>
  </si>
  <si>
    <t xml:space="preserve">فرعُ add في Portal/ceo_approvals.php:76 يُدرج decision/approver_name/authority_ref وstatus='معتمد' (خيارٌ في القائمة سطر 294) بحارس can_add/can_edit وحده (سطر 37)، بينما فرعُ decide وحدَه يفحص الدور 9 (سطر 114)؛ وقادحُ BR-CEO-08 في هجرة 2026_11_14 قبلَ UPDATE لا INSERT فلا يمنع الإنشاءَ مقرَّرًا.</t>
  </si>
  <si>
    <t xml:space="preserve">INJ-0017</t>
  </si>
  <si>
    <t xml:space="preserve">GOV-009-ب · حارسُ منعِ اعتمادِ الذات على كلِّ موافقة</t>
  </si>
  <si>
    <t xml:space="preserve">«حارسُ منعِ اعتمادِ الذات» يُستدعى على كلِّ نقطةِ اعتماد: من أنشأ المستندَ لا يعتمده — ويُقارَن المعتمِدُ بمنشئِ الصفِّ لحظةَ المعاملة لا عند منحِ الدور.</t>
  </si>
  <si>
    <t xml:space="preserve">لا استدعاءَ لـ`ems_no_self_approval()` في الملف كلِّه؛ فرعُ القرار (سطر 111) يقرأ الصفَّ ويحدّث أعمدةَ القرار بلا مقارنةٍ بين `created_by` و`$uid`. والدورُ 9 نفسُه يستطيع إنشاءَ الصفِّ ثم بتَّه في الجلسة نفسِها.</t>
  </si>
  <si>
    <t xml:space="preserve">أعلى نقطةِ اعتمادٍ ماليٍّ في المنظومة (ما تجاوز سقوفَ الإدارات) بلا فصلِ يدين: التنفيذيُّ يرفع ويعتمد بنفسه، فيسقط الشاهدُ الرقابيُّ الوحيد على تجاوز السقوف.</t>
  </si>
  <si>
    <t xml:space="preserve">الحارسُ `includes/self_approval_guard.php:22` قائمٌ ومستعمَلٌ في أربع نقاطٍ فقط، ولم يُزرع في شاشات القمة؛ والحراسةُ هنا رايةُ دورٍ لا فحصُ يد.</t>
  </si>
  <si>
    <t xml:space="preserve">Portal/ceo_approvals.php:111; :127; :154; :165; includes/self_approval_guard.php:22; Contracts/claims.php:99</t>
  </si>
  <si>
    <t xml:space="preserve">١) ادخل بدور 9. ٢) أضِف صفًّا جديدًا في اعتمادات المدير التنفيذي (سيُسجَّل created_by باسمك). ٣) من لوحة القرار الرباعي اختر الصفَّ نفسَه واضغط «قيد القرار» بخيار «اعتماد». ٤) لاحظ نجاحَ الاعتماد بلا أيِّ منع.</t>
  </si>
  <si>
    <t xml:space="preserve">في `Portal/ceo_approvals.php` قبل تنفيذ UPDATE في فرع decide (بعد سطر 134): `require_once includes/self_approval_guard.php;` ثم `$sa = ems_no_self_approval($conn, intval($row['created_by']), $uid, 'EXAP-'.$rowId, $company_id); if ($sa!==null) { $goBack($sa['reason']); }`.</t>
  </si>
  <si>
    <t xml:space="preserve">مستخدمٌ أنشأ صفَّ اعتمادٍ ثم حاول بتَّه ⇒ يُرفض برسالة «لا يعتمد المرءُ ما أعدّ»، ومستخدمٌ آخرُ بدور 9 يبتُّه بنجاح.</t>
  </si>
  <si>
    <t xml:space="preserve">تحقّقتُ: لا استدعاءَ لـems_no_self_approval في Portal/ceo_approvals.php، وفرعُ القرار (سطر 111) يحدّث exec_approvals بعد فحصِ الدور 9 فقط بلا مقارنةٍ بـcreated_by الموجودِ فعلًا في الجدول. والحارسُ مستعملٌ في أربع نقاطٍ إنتاجيةٍ أخرى فقط.</t>
  </si>
  <si>
    <t xml:space="preserve">INJ-0018</t>
  </si>
  <si>
    <t xml:space="preserve">INJAZ-FRD-01 §٤-٣ · BR-CEO-03 — لا فتحَ مشروعٍ بقرارٍ فردي</t>
  </si>
  <si>
    <t xml:space="preserve">قرار فتح مشروع جديد</t>
  </si>
  <si>
    <t xml:space="preserve">http://localhost/ems/Portal/project_charter.php</t>
  </si>
  <si>
    <t xml:space="preserve">رابعًا: فتح المشاريع</t>
  </si>
  <si>
    <t xml:space="preserve">«المشروعُ يُفتح بمركز تكلفته · ومديرُ الموقع يُعيَّن بصلاحياته · والمواقعُ تُنشأ · والموارد تُحجز — ولا يقع شيءٌ من هذا بقرارٍ فردي» — والإفادةُ رأيٌ ملزمٌ للعرض.</t>
  </si>
  <si>
    <t xml:space="preserve">الإفاداتُ الخمسُ (التشغيل · المبيعات · القوى · المالية · الأسطول) خمسةُ حقولِ نصٍّ حرٍّ في الفورم نفسِه يملؤها المستخدمُ الذي يعتمد؛ ولا صفَّ إفادةٍ منفصلٌ بمُفيدٍ وتاريخٍ ومستند، ولا فحصَ أن المُفيدَ ينتمي للإدارة المعنيّة. الشرطُ الوحيدُ أن الحقلَ غيرُ فارغ.</t>
  </si>
  <si>
    <t xml:space="preserve">حكمُ «لا قرارَ فرديّ» يتحول إلى شرطِ ملءِ خمسِ خانات: يستطيع الدورُ 9 كتابةَ «تمت» في الخمسة واعتمادَ الفتح خلال دقيقة، فيُفتح مشروعٌ بمركزِ تكلفةٍ وموارد بلا موافقةِ إدارةٍ واحدةٍ فعلية.</t>
  </si>
  <si>
    <t xml:space="preserve">نمذجةُ الإفادةِ حقلًا نصيًّا في مستند القرار بدل كيانٍ مستقلٍّ (إفادة = مُفيد + إدارة + تاريخ + مستند + حالة) مربوطٍ بصندوق موافقات الإدارة.</t>
  </si>
  <si>
    <t xml:space="preserve">Portal/project_charter.php:83-89; :101-112; :166-172; :75</t>
  </si>
  <si>
    <t xml:space="preserve">١) ادخل بدور 9. ٢) أضِف قرارَ فتحٍ واكتب «تمت» في الحقول الخمسة للإفادات. ٣) اضغط «اعتماد الفتح» ⇒ ينجح فورًا. ٤) ابحث عن أيِّ سجلِّ إفادةٍ في القاعدة ⇒ لا جدولَ ولا صف.</t>
  </si>
  <si>
    <t xml:space="preserve">أنشئ جدول `charter_certifications(charter_id, dept_code, certified_by, certified_at, doc_ref, state)` وحوّل الحقولَ الخمسةَ في `Portal/project_charter.php` إلى قراءةٍ منه؛ واجعل فرعَ charter (سطر 166) يفحص وجودَ خمسِ صفوفٍ بحالة «معتمد» ومُفيدٍ من الإدارة نفسِها.</t>
  </si>
  <si>
    <t xml:space="preserve">محاولةُ اعتماد الفتح مع إفادةٍ واحدةٍ ناقصةٍ أو مكتوبةٍ من غير إدارتها ⇒ رفضٌ يسمّي الإدارةَ الناقصة؛ ولا يُقبل نصٌّ حرٌّ بديلًا عن صفِّ إفادة.</t>
  </si>
  <si>
    <t xml:space="preserve">الإفاداتُ الخمسُ حقولُ نصٍّ حرٍّ في الفورم نفسِه ويكفي أن تكون غيرَ فارغةٍ في فرعَي الإضافة والاعتماد؛ ولا جدولَ إفاداتٍ ولا فحصَ انتماءِ المُفيدِ لإدارته، والوثيقةُ تجعل معتمِدَ المرحلة «القرارَ المشترك».</t>
  </si>
  <si>
    <t xml:space="preserve">INJ-0019</t>
  </si>
  <si>
    <t xml:space="preserve">INJAZ-FRD-01 §٥ · إدارةُ التشغيل — إسنادُ التوقفات وأثرُه العابر</t>
  </si>
  <si>
    <t xml:space="preserve">التوقفات وتحديد المتحمل</t>
  </si>
  <si>
    <t xml:space="preserve">http://localhost/ems/Operations/stops_unattributed.php</t>
  </si>
  <si>
    <t xml:space="preserve">ثالثًا: اعتماد الوحدات</t>
  </si>
  <si>
    <t xml:space="preserve">من مِلك إدارة التشغيل: «إسنادَ التوقفات» — والأثرُ ينتقل إلى المبيعات (خصمٌ في المطالبة) وإلى الموردين (تحميلٌ وجزاء) وإلى الصيانة، بالأحداث لا بالنداء.</t>
  </si>
  <si>
    <t xml:space="preserve">القيمةُ تُكتب في العمود `timesheet.fault_department` ثم لا يقرؤها أحد: مسحُ المستودع كلِّه يُظهر أن العمودَ يُقرأ للعرض فقط في شاشتَي الاعتماد والتايم شيت؛ ولا مطالبةٌ ولا جزاءٌ ولا تسويةُ موردٍ ولا قاعدةُ تحميلٍ تستعمله، ولا يُنشر حدثٌ عند الإسناد.</t>
  </si>
  <si>
    <t xml:space="preserve">أهمُّ قرارٍ تشغيليٍّ ذي أثرٍ مالي (من يتحمل ساعةَ التعطل) لا يصل أيَّ إدارةٍ أخرى: المطالباتُ تُحتسب بلا خصم، وتسوياتُ الموردين بلا تحميل، فيضيع الأثرُ المالي كاملًا ويُعاد احتسابُه يدويًّا خارج النظام.</t>
  </si>
  <si>
    <t xml:space="preserve">نمذجةُ التبعة عمودًا نصيًّا في جدول التايم شيت بدل واقعةٍ (stop event) لها ذمّةٌ ومستهلكون، وغيابُ أيِّ نشرٍ عند الإسناد.</t>
  </si>
  <si>
    <t xml:space="preserve">Operations/stops_unattributed.php:22; Timesheet/view_timesheet.php:289; Approvals/hours_approval.php:320; Contracts/penalties.php:1; app/Services/Contract/PenaltyService.php:1</t>
  </si>
  <si>
    <t xml:space="preserve">١) أسنِد توقفًا إلى «المورد». ٢) افتح Suppliers/settlements.php وولّد تسويةً للمورد نفسِه للفترة ⇒ لا بندَ تحميلٍ للتوقف. ٣) افتح Contracts/penalties.php واحتسب ⇒ لا خصمَ مرتبطٌ بالتوقف.</t>
  </si>
  <si>
    <t xml:space="preserve">بعد نجاح الإسناد في `Operations/stops_unattributed.php` انشر `operations.stop.attributed` بـ`publishFact` (الجهة · الساعات · العقد · الفترة · مفتاح عطالة ts:&lt;id&gt;)، وأضِف مستهلكَين: أحدهما في `app/Services/Contract/PenaltyService::assess` والآخر في `app/Services/Settlement/SettlementService::generate` يقرآن الواقعةَ ويولّدان البندَ.</t>
  </si>
  <si>
    <t xml:space="preserve">فريق الباك-إند — وحدة التشغيل</t>
  </si>
  <si>
    <t xml:space="preserve">إسنادُ توقفٍ إلى مورد ثم توليدُ تسويته للفترة يُنتج بندَ تحميلٍ بمرجع التوقف؛ وإسنادُه إلى العميل يُنتج بندَ خصمٍ في مستخلص الفترة.</t>
  </si>
  <si>
    <t xml:space="preserve">الإسنادُ يكتب timesheet.fault_department في stops_unattributed.php:22، ومسحُ المستودع يُظهر قراءةً للعرض فقط في hours_approval.php:320 و view_timesheet.php:289 و api/controllers/timesheet.php:368 — لا مطالبةَ ولا جزاءَ ولا تسويةَ تقرؤه ولا حدثَ يُنشر. والخدمتان المذكورتان في الإصلاح قائمتان فعلًا.</t>
  </si>
  <si>
    <t xml:space="preserve">INJ-0020</t>
  </si>
  <si>
    <t xml:space="preserve">INJAZ-FRD-01 §٥-٣ · المرحلة ٥ — الإقفالُ الشهري</t>
  </si>
  <si>
    <t xml:space="preserve">الإقفال الشهري للوحدة</t>
  </si>
  <si>
    <t xml:space="preserve">http://localhost/ems/Operations/monthly_close.php</t>
  </si>
  <si>
    <t xml:space="preserve">خامسًا: إقفال الفترة</t>
  </si>
  <si>
    <t xml:space="preserve">مخرَجُ المرحلة الخامسة مستندُ «الإقفال الشهري» بمعتمِدٍ هو مدير التشغيل — «ولا مرحلةَ بلا مخرَج»، والإقفالُ يمنع ما بعده.</t>
  </si>
  <si>
    <t xml:space="preserve">الشاشةُ فورمُ إدخالٍ عامٌّ (CMP-03) يكتب صفًّا واحدًا في جدولها الأصلي عبر `cmp03_store_insert()` بحالةٍ نصيةٍ يختارها المُدخِل؛ لا فعلَ اعتمادٍ ولا معتمِد، ولا قفلَ فترةٍ يمنع تعديلَ التايم شيت أو الإنتاج بعده، ولا حدثَ يُنشر، ولا أثرَ على المالية.</t>
  </si>
  <si>
    <t xml:space="preserve">«الإقفالُ» تسميةٌ بلا مضمون: بعد حفظ صفِّ الإقفال تبقى بياناتُ الشهر قابلةً للتعديل والاعتماد، فلا يوجد في المنظومة لحظةٌ تُغلق فيها الفترةُ التشغيلية — وهو شرطُ صحةِ الإيراد والتكلفة الشهرية.</t>
  </si>
  <si>
    <t xml:space="preserve">توليدُ الشاشة ضمن دفعة فورمات CMP-03 (إدخالُ صفوفٍ فقط) بلا آلةِ حالةٍ ولا خدمةِ إقفالٍ خلفها.</t>
  </si>
  <si>
    <t xml:space="preserve">Operations/monthly_close.php:94; :100-103; :142; includes/cmp03_local_store.php:31; :55-60</t>
  </si>
  <si>
    <t xml:space="preserve">١) افتح Operations/monthly_close.php وأضِف صفَّ إقفالٍ لشهرٍ ما بحالة «مقفل». ٢) افتح Timesheet/timesheet.php وأضِف/عدّل سطرًا في الشهر نفسِه ⇒ يُقبل بلا منع.</t>
  </si>
  <si>
    <t xml:space="preserve">أنشئ `app/Services/Operations/PeriodCloseService.php` بفعلَي `close()` و`reopen()` (بسببٍ ومعتمِد)، واربطها بجدول `period_locks(company_id, scope, period, state)`؛ واجعل `Operations/monthly_close.php` تستدعيها، وأضِف في حرّاس الكتابة (Timesheet · Operations · Contracts) فحصَ القفل قبل أيِّ كتابةٍ في فترةٍ مقفلة.</t>
  </si>
  <si>
    <t xml:space="preserve">بعد إقفال شهرٍ يُرفض أيُّ تعديلٍ على تايم شيت أو إنتاجِ الشهر نفسِه برسالةٍ تسمّي الفترةَ ومن أقفلها؛ وفتحُ الفترة يتطلب سببًا ومعتمِدًا أعلى.</t>
  </si>
  <si>
    <t xml:space="preserve">تحقّقت: الشاشةُ نموذجُ CMP-03 يكتب صفًّا واحدًا بحالةٍ يختارها المُدخِل عبر cmp03_store_insert، بلا فعلِ اعتمادٍ ولا قفلِ فترةٍ ولا حدث؛ ومعالجُ الـPOST (السطر ٩٤) يسبق حارسَ insidebar (السطر ١٤٢) فالكتابةُ بلا حارس.</t>
  </si>
  <si>
    <t xml:space="preserve">INJ-0021</t>
  </si>
  <si>
    <t xml:space="preserve">§٥ · الأفعالُ الثمانيةُ لكلِّ زر — التعديلُ والحذفُ والعكس</t>
  </si>
  <si>
    <t xml:space="preserve">شاشات التشغيل المولَّدة (CMP-03)</t>
  </si>
  <si>
    <t xml:space="preserve">http://localhost/ems/Operations/unit_perf.php</t>
  </si>
  <si>
    <t xml:space="preserve">رابعًا: متابعة الانحراف</t>
  </si>
  <si>
    <t xml:space="preserve">لكلِّ فعلٍ عقدٌ كاملٌ يشمل التصحيحَ والعكس؛ ولا مستندَ يُنشأ بلا مسارٍ لتصحيحه.</t>
  </si>
  <si>
    <t xml:space="preserve">طبقةُ CMP-03 تنفّذ دالتين اثنتين فقط: `cmp03_store_insert()` و`cmp03_store_rows()` — لا `update` ولا `delete` ولا `approve` في المستودع كلِّه. فإحدى عشرةَ شاشةَ تشغيلٍ (الإنتاج · الأداء الشهري · غير المفوتر · الإقفال · حصة المعدات · الحضور · سجل الوردية · أذون الدخول ×2 · جدول الورديات · تقويم العمل) تقبل الإدراجَ فقط، وأزرارُها زرٌّ واحدٌ اسمُه «إضافة».</t>
  </si>
  <si>
    <t xml:space="preserve">Broken Button</t>
  </si>
  <si>
    <t xml:space="preserve">خطأٌ مطبعيٌّ في محضر إقفالٍ أو في ساعات الإنتاج يبقى إلى الأبد ويُقرأ في التقارير؛ والمستخدمُ يُكرّر الصفَّ الصحيحَ فيتضاعف الرقم. وشاشةُ «الأداء الشهري للوحدة» تصير سجلًّا تراكميًّا لا مصدرَ حقيقة.</t>
  </si>
  <si>
    <t xml:space="preserve">طبقةٌ عامةٌ صُممت لاستيعاب فورمات الوثيقة بسرعةٍ (إدراجٌ فقط) واعتُبرت نهائيةً بلا استكمال دورة الحياة.</t>
  </si>
  <si>
    <t xml:space="preserve">includes/cmp03_local_store.php:25-64; :66-105; Operations/unit_perf.php; Operations/monthly_close.php</t>
  </si>
  <si>
    <t xml:space="preserve">١) افتح Operations/unit_perf.php وأضِف صفًّا بقيمةٍ خاطئة. ٢) ابحث عن زرِّ تعديلٍ أو حذفٍ في صفِّ الجدول ⇒ لا يوجد. ٣) أضِف الصفَّ الصحيحَ ⇒ يظهر صفّان متعارضان.</t>
  </si>
  <si>
    <t xml:space="preserve">أضِف إلى `includes/cmp03_local_store.php` دالّتَي `cmp03_store_update()` و`cmp03_store_void()` (إبطالٌ ناعمٌ بسببٍ ومستخدمٍ ووقت) وحارسَ صلاحيةٍ داخلهما، ثم اعرض في كلِّ شاشةٍ زرَّي «تعديل» و«إبطال» على الصفوف غير المعتمدة.</t>
  </si>
  <si>
    <t xml:space="preserve">تعديلُ صفٍّ في Operations/unit_perf.php يحفظ القيمةَ الجديدةَ ويكتب سجلَّ تدقيق؛ وإبطالُ صفٍّ يُبقيه مرئيًّا موسومًا «مُبطَل» بسببه.</t>
  </si>
  <si>
    <t xml:space="preserve">includes/cmp03_local_store.php لا يعرّف إلا cmp03_store_insert وcmp03_store_rows، وإحدى عشرةَ شاشةَ تشغيلٍ تستعمله بفعل add وحده — لا تعديلَ ولا إبطالَ ولا اعتماد.</t>
  </si>
  <si>
    <t xml:space="preserve">INJ-0022</t>
  </si>
  <si>
    <t xml:space="preserve">الحارسُ في الخادمِ يسبق الأثر: لا كتابةَ قبل التحقق من الصلاحية، و«إخفاءُ الزرِّ تحسينُ تجربةٍ لا حماية».</t>
  </si>
  <si>
    <t xml:space="preserve">معالجُ الـPOST في السطر 17 ينفّذ `UPDATE timesheet SET fault_department = ?` في السطر 22، بينما الحارسُ الوحيدُ للشاشة هو `enforce_current_page_view_permission()` المستدعى من `insidebar.php:14` المضمَّنِ في السطر 44 — أي بعد وقوع الكتابة بـ27 سطرًا. ولا يوجد في الملف أيُّ `check_page_permissions` أو فحصِ دور.</t>
  </si>
  <si>
    <t xml:space="preserve">أيُّ مستخدمٍ مسجَّلِ الدخول في الكيان يسند تبعةَ ساعات التعطل إلى العميل أو المورد أو الصيانة — وهي القيمةُ التي تقود الخصومات والمطالبات والجزاءات — ثم يُعاد توجيهُه برسالة «لا تملك صلاحية» بعد أن استقر التغييرُ في القاعدة.</t>
  </si>
  <si>
    <t xml:space="preserve">ترتيبُ الملف: المعالجُ في الأعلى وتضمينُ السايدبار (حاملُ الحارس) في الأسفل — نمطٌ متكررٌ في وحدة التشغيل.</t>
  </si>
  <si>
    <t xml:space="preserve">Operations/stops_unattributed.php:17; :19; :22-26; :43 (include insidebar)؛ insidebar.php:12-13</t>
  </si>
  <si>
    <t xml:space="preserve">١) ادخل بحسابٍ بلا منحةٍ على Operations/stops_unattributed.php. ٢) أرسل POST بـ assign_ts=&lt;id&gt; و fault_department=العميل. ٣) لاحظ رسالةَ الرفض في المتصفح، ثم افحص الصفَّ في timesheet ⇒ fault_department مكتوب.</t>
  </si>
  <si>
    <t xml:space="preserve">في `Operations/stops_unattributed.php` انقل قبل السطر 17: `require_once '../includes/permissions_helper.php'; $pp = check_page_permissions($conn,'Operations/stops_unattributed.php'); if (empty($pp['can_edit'])) { ems_gov_flash_redirect('../main/dashboard.php','لا صلاحية إسناد التوقفات','GOV-PERM-403',''); }`.</t>
  </si>
  <si>
    <t xml:space="preserve">POST إلى الشاشة بحسابٍ بلا can_edit لا يغيّر أيَّ صفٍّ في timesheet ويُسجَّل رفضٌ في سجل الحرمان.</t>
  </si>
  <si>
    <t xml:space="preserve">الكتابةُ (UPDATE timesheet SET fault_department) في الأسطر 22-26 تقع قبل include '../insidebar.php' حاملِ enforce_current_page_view_permission، ولا فحصَ can_edit في الملف — وهو نمطُ «الأثر قبل الحارس» المعتبَر صحيحًا.</t>
  </si>
  <si>
    <t xml:space="preserve">INJ-0023</t>
  </si>
  <si>
    <t xml:space="preserve">BR-GOV-01 · الحارسُ في الخادم — الشاشاتُ المولَّدة</t>
  </si>
  <si>
    <t xml:space="preserve">http://localhost/ems/Operations/production.php</t>
  </si>
  <si>
    <t xml:space="preserve">لا شاشةَ بلا حارسٍ مسجَّلٍ يفحص صلاحيةَ الكتابة قبل الأثر؛ وصلاحيةُ العرض لا تُغني عن صلاحية الإضافة والتعديل.</t>
  </si>
  <si>
    <t xml:space="preserve">سبعَ عشرةَ شاشةً (لا ثمانيَ عشرةَ) بلا أيِّ فحصِ صلاحية، منها إحدى عشرةَ تكتب فعلًا عبر cmp03_store_insert؛ والصفوفُ تُكتب في جداولِ scr_* التي لا يقرؤها محرّكٌ ولا تقريرٌ خارج الشاشة نفسِها. — [مُصحَّح بعد التحقق] الصياغة الأولى: ثمانيَ عشرةَ شاشةً من عشرين في وحدة التشغيل لا تحتوي على أيِّ فحصِ صلاحيةٍ خاصٍّ بها (لا `check_page_permissions` ولا `get_module_permissions` ولا استعلامَ role_permissions): حارسُها الوحيدُ `!$is_sup</t>
  </si>
  <si>
    <t xml:space="preserve">أيُّ مستخدمٍ مسجَّلِ الدخول في الكيان — بما فيهم من لا صلةَ له بالتشغيل — يُدرج صفوفَ إنتاجٍ وأداءِ وحدةٍ وأعمالٍ غيرِ مفوترةٍ وأذونِ دخولِ معداتٍ ومحاضرَ إقفالٍ شهري. وهذه الصفوفُ تُقرأ لاحقًا في تقارير الأداء والمطالبة.</t>
  </si>
  <si>
    <t xml:space="preserve">دفعةُ CMP-03 ولّدت الشاشاتِ بقالبٍ واحدٍ يفحص الكيانَ فقط، ولم يُزرع فيها حارسُ الوحدة كما زُرع في نظائرها في Portal و Suppliers.</t>
  </si>
  <si>
    <t xml:space="preserve">Operations/production.php:19-25,88-97; Operations/fleet_calendar.php:40-72 (فيه حارس — يُحذف من القائمة); includes/cmp03_local_store.php:31</t>
  </si>
  <si>
    <t xml:space="preserve">١) أنشئ مستخدمًا في الكيان بلا أيِّ منحة. ٢) أرسل POST إلى Operations/production.php بـ cmp03_action=add وحقولٍ f0..fN. ٣) افحص جدول الشاشة ⇒ الصفُّ مُدرَج.</t>
  </si>
  <si>
    <t xml:space="preserve">أضِف في رأس كلِّ ملفٍّ من الثمانية عشر (بعد `include '../config.php'`) الكتلةَ نفسَها المستعملة في `Portal/ceo_approvals.php:30-39`: `check_page_permissions()` + منعُ العرض بلا can_view + منعُ POST بلا can_add/can_edit؛ أو الأفضل: احقنها مرةً واحدةً في `includes/cmp03_local_store.php` بحيث ترفض `cmp03_store_insert()` الكتابةَ بلا منحةٍ على الشاشة المُسمّاة.</t>
  </si>
  <si>
    <t xml:space="preserve">مستخدمٌ بلا منحةٍ على Operations/production.php يرسل POST ⇒ صفرُ صفوفٍ مُدرَجة ورسالةُ GOV-PERM-403؛ ويتكرر الاختبارُ على الثماني عشرةَ شاشة.</t>
  </si>
  <si>
    <t xml:space="preserve">مرجَّحة</t>
  </si>
  <si>
    <t xml:space="preserve">فحصتُ الملفات: production.php:19-25 حارسُه فعلًا `!$is_super_admin &amp;&amp; $company_id &lt;= 0` ثم يكتب POST مباشرةً بـcmp03_store_insert، و17 من الـ18 المذكورة بصفر فحصِ صلاحية — لكن fleet_calendar.php ليس منها (فيه $fc_perms/can_add/can_edit في :40-72)، وجداولُ scr_* لا يقرؤها أحدٌ خارج شاشتها (بحثُ scr_production/scr_unbilled/scr_monthly_close = الشاشةُ والسجلُّ والمخطط فقط)، فالأثرُ كتابةٌ بلا صلاحيةٍ في مخزنٍ مغلقٍ لا تغذيةُ تقاريرِ مطالبة.</t>
  </si>
  <si>
    <t xml:space="preserve">INJ-0024</t>
  </si>
  <si>
    <t xml:space="preserve">SEC-015-ب · فصلُ الواجبات — الزوجُ ③ إدخالُ الساعاتِ واعتمادُها ⟂ إنشاءُ المطالبة</t>
  </si>
  <si>
    <t xml:space="preserve">ما ينتظر اعتمادي (اعتماد الوحدات التشغيلية)</t>
  </si>
  <si>
    <t xml:space="preserve">http://localhost/ems/Approvals/hours_approval.php</t>
  </si>
  <si>
    <t xml:space="preserve">حارسُ منعِ اعتمادِ الذات على كلِّ موافقة، وفصلُ الواجبات يُقاس لحظةَ المعاملة لا عند منح الدور؛ والصلاحيةُ تُعبَّر بمفتاحٍ مسمًّى لا برقم دورٍ صلب.</t>
  </si>
  <si>
    <t xml:space="preserve">معالجُ الاعتماد يفحص عضويةَ الدور في ثابتٍ في الكود `EMS_ROLES_HOURS_APPROVAL_ACCESS` ثم خريطةً صلبةً `$role_level_map = ['1'=&gt;1,'2'=&gt;2,'3'=&gt;3,'4'=&gt;4]`؛ ولا فحصَ لمنحةِ وحدةٍ ولا مقارنةَ بين مُدخِل الساعات والمعتمِد. ويكتب `timesheet_approvals` مباشرةً — و`ems_no_self_approval()` غيرُ مستدعاةٍ في الملف.</t>
  </si>
  <si>
    <t xml:space="preserve">مَن أدخل ساعاتِ الوحدة يعتمدها بنفسه إن كان دورُه ضمن الأربعة — وهذه الساعاتُ هي مصدرُ الإيراد والاستحقاق. ومستوياتُ الاعتماد الأربعةُ مقيدةٌ بأربعة أرقامِ أدوارٍ فلا يمكن تفويضُها ولا تعديلُ السلسلة بلا نشرِ كود.</t>
  </si>
  <si>
    <t xml:space="preserve">سلسلةُ اعتمادٍ مثبَّتةٌ بأرقام أدوارٍ في الشيفرة بدل جدولِ سلسلةِ اعتمادٍ قابلٍ للتهيئة، وغيابُ زرعِ حارس منع اعتماد الذات في هذه النقطة.</t>
  </si>
  <si>
    <t xml:space="preserve">Approvals/hours_approval_handler.php:26-29; :44; :67-71; :160-168; includes/self_approval_guard.php:22; includes/roles.php:78</t>
  </si>
  <si>
    <t xml:space="preserve">١) ادخل بحساب دور 1 وأدخِل ساعاتٍ من Timesheet/timesheet.php. ٢) افتح Approvals/hours_approval.php بالحساب نفسِه. ٣) اعتمد المستوى الأول ⇒ ينجح بلا منع.</t>
  </si>
  <si>
    <t xml:space="preserve">في `Approvals/hours_approval_handler.php` قبل الإدراج في السطر 164: استدعِ `ems_no_self_approval($conn, intval($ts['created_by']), $user_id, 'timesheet #'.$ts_id, $company_id)`؛ وانقل `$role_level_map` إلى جدول `approval_chains` قابلٍ للتهيئة مع مرجع تفويض.</t>
  </si>
  <si>
    <t xml:space="preserve">فريق الباك-إند — وحدة الاعتمادات</t>
  </si>
  <si>
    <t xml:space="preserve">مُدخِلُ الساعات نفسُه لا يستطيع اعتمادَ أيِّ مستوى؛ وتعديلُ سلسلة الاعتماد يتم من بياناتٍ لا من نشرِ كود.</t>
  </si>
  <si>
    <t xml:space="preserve">المعالجُ يفحص عضويةَ الدور في ثابتٍ ثم خريطةً صلبةً ['1'=&gt;1..'4'=&gt;4]، وصفرُ نداءٍ لـems_no_self_approval في الملف، والإدراجُ في timesheet_approvals بلا مقارنةٍ بين مُدخِل الساعات والمعتمِد.</t>
  </si>
  <si>
    <t xml:space="preserve">INJ-0025</t>
  </si>
  <si>
    <t xml:space="preserve">PR-05 · الحارسُ في الخادم — نقاطُ الدخول غيرُ المحروسة</t>
  </si>
  <si>
    <t xml:space="preserve">مهام cron التشغيل</t>
  </si>
  <si>
    <t xml:space="preserve">http://localhost/ems/Operations/cron_wfm_engine.php</t>
  </si>
  <si>
    <t xml:space="preserve">لا نقطةَ دخولٍ قابلةٍ للاستدعاء عبر الويب بلا حارسٍ في الخادم؛ والفشلُ مغلقٌ لا مفتوح.</t>
  </si>
  <si>
    <t xml:space="preserve">cron_rotation_transfer.php:12 · cron_org_assignments.php:11 · cron_job_worker.php:14 · cron_container_gate_report.php:12 كلُّها محروسةٌ بـCLI؛ وcron_events.php يفحص $IS_CLI. فالانكشافُ في ثلاثة ملفاتٍ لا سبعة. — [مُصحَّح بعد التحقق] الصياغة الأولى: سبعةُ ملفات cron في مجلد Operations قابلةٌ للوصول عبر الويب مباشرةً: cron_wfm_engine · cron_unit_chain_sla · cron_unit_chain_weekly · cron_rotation_transfer · cron_org_assignments · cron_job_worker · </t>
  </si>
  <si>
    <t xml:space="preserve">أيُّ زائرٍ (ولو غيرِ مسجَّلٍ) يستدعي محرّكاتِ التشغيل الآليةَ عبر المتصفح فتعمل على كل الشركات باسم حسابٍ تنفيذيّ: توليدُ تكليفاتٍ ونقلُ دورياتٍ وتصعيدُ SLA — بلا سجلٍّ يربط الفعلَ بفاعلٍ حقيقي.</t>
  </si>
  <si>
    <t xml:space="preserve">ملفاتُ cron موضوعةٌ داخل جذر الويب مع تعريفٍ ذاتيٍّ للثابت `EMS_CLI` بدل فحصِ واجهةِ التشغيل أو مفتاحٍ سرّيّ.</t>
  </si>
  <si>
    <t xml:space="preserve">Operations/cron_wfm_engine.php:1; Operations/cron_unit_chain_sla.php:4; Operations/cron_unit_chain_sla.php:13; Operations/cron_rotation_transfer.php:1; Operations/cron_org_assignments.php:1; cron_events.php:1</t>
  </si>
  <si>
    <t xml:space="preserve">١) افتح http://localhost/ems/Operations/cron_unit_chain_sla.php في المتصفح بلا تسجيل دخول. ٢) لاحظ تنفيذَ المحرّك على كل الشركات وكتابتَه في القاعدة.</t>
  </si>
  <si>
    <t xml:space="preserve">أضِف في رأس كلِّ ملفِّ cron: `if (PHP_SAPI !== 'cli' &amp;&amp; (string) ems_env('EVENTS_CRON_KEY','') !== ($_GET['key'] ?? '')) { http_response_code(404); exit; }`، أو انقل الملفاتِ خارج جذر الويب إلى `scripts/`، واستبدل `EXEC_ACCOUNT_UID` الصلبَ بحسابٍ نظاميٍّ يُقرأ من الإعدادات.</t>
  </si>
  <si>
    <t xml:space="preserve">فريق التشغيل والنشر (DevOps)</t>
  </si>
  <si>
    <t xml:space="preserve">استدعاءُ أيِّ ملفِّ cron عبر المتصفح بلا مفتاحٍ يعيد 404 ولا يكتب صفًّا واحدًا؛ والتشغيلُ من سطر الأوامر يعمل كالمعتاد.</t>
  </si>
  <si>
    <t xml:space="preserve">ثلاثةٌ من السبعة فقط بلا حارس CLI (cron_wfm_engine · cron_unit_chain_sla · cron_unit_chain_weekly)، وأربعةٌ تحمل if (PHP_SAPI !== 'cli') { 403 } صراحةً.</t>
  </si>
  <si>
    <t xml:space="preserve">INJ-0026</t>
  </si>
  <si>
    <t xml:space="preserve">AR-05 · آلةُ الحالةِ ومسارُ العكس — أفعالُ دورة حياة العقد</t>
  </si>
  <si>
    <t xml:space="preserve">عقود العملاء — إجراءات دورة الحياة</t>
  </si>
  <si>
    <t xml:space="preserve">انتقالاتُ حالة العقد تُحرَس في آلة الحالة لا في الشاشة (تعليقُ عمود `contract_status` في المخطط نفسِه)، ولكلِّ فعلٍ حدثٌ ومستهلكٌ وفعلُ عكس.</t>
  </si>
  <si>
    <t xml:space="preserve">`Contracts/contract_actions_handler.php` ينفّذ ثمانيةَ أفعالٍ لدورة حياة العقد (تجديد · تسوية · إيقاف · استئناف · إنهاء · دمج · إكمال · تغيير التزام) بكتابةٍ مباشرةٍ في جدول `contracts` عبر البوابة، بلا استدعاءٍ واحدٍ لـ`ContractStateMachine`، وبلا نشرِ حدث، وبلا سجلِّ تدقيق. فعلُ «إنهاء» مثلًا يكتب `status = 0` و`termination_type` — أي يستعمل عمودَ التفعيل الثنائي لا آلةَ الحالة.</t>
  </si>
  <si>
    <t xml:space="preserve">عمودان متوازيان لحالة العقد (`status` الثنائي و`contract_status` ذو الاثنتي عشرة حالة) يتحركان من مسارين مختلفين فيتناقضان: عقدٌ «نافذ» في آلة الحالة و«موقوف» في العمود الثنائي. وإنهاءُ عقدٍ لا يصل التشغيلَ ولا الموردين ولا المالية، ولا يمكن نقضُه.</t>
  </si>
  <si>
    <t xml:space="preserve">معالجُ إجراءاتٍ قديمٌ (JSON/AJAX) بقي يكتب الأعمدةَ القديمة بعد إدخال آلة الحالة، بلا هجرةٍ توحّد المسارين.</t>
  </si>
  <si>
    <t xml:space="preserve">Contracts/contract_actions_handler.php:143; :213; :289; :345; :423; :443-449; :482; :582; database/schema/schema.sql:1853; :1861</t>
  </si>
  <si>
    <t xml:space="preserve">١) افتح عقدًا ونفّذ فعلَ «إنهاء» من الشاشة. ٢) افحص الصفَّ ⇒ status=0 بينما contract_status لم يتغير. ٣) ابحث عن حدثٍ أو صفِّ تدقيقٍ لهذا الإنهاء ⇒ لا شيء.</t>
  </si>
  <si>
    <t xml:space="preserve">أعِد كتابةَ الأفعال الثمانية في `Contracts/contract_actions_handler.php` لتمرَّ عبر `ContractStateMachine::transition()` (SUSPENDED · ENDED · RENEWED · AMENDED · CLOSED) وتنشرَ الحدثَ المقابل، واحذف الكتابةَ المباشرةَ في `status`، وأضِف فعلَ عكسٍ لكلِّ إنهاءٍ أو إيقافٍ بسببٍ موثَّق.</t>
  </si>
  <si>
    <t xml:space="preserve">كلُّ فعلٍ من الثمانية ينقل `contract_status` إلى حالةٍ مشروعةٍ فقط، وينشر حدثًا واحدًا، ويكتب صفَّ تدقيقٍ بقيمةٍ قبل وبعد، وله فعلُ عكسٍ يعيد الحالةَ السابقة.</t>
  </si>
  <si>
    <t xml:space="preserve">تحقّقت: ثمانيةُ أفعالِ دورةِ حياةٍ تكتب مباشرةً في `contracts` بلا نداءٍ واحدٍ لـContractStateMachine (الصنفُ موجودٌ في app/Services/Contract/) وبلا نشرِ حدث، وفعلُ «إنهاء» يكتب `status=0` أي عمودَ التفعيل الثنائي — وتعليقُ المخطط يوجب الحراسةَ في الآلة.</t>
  </si>
  <si>
    <t xml:space="preserve">INJ-0027</t>
  </si>
  <si>
    <t xml:space="preserve">GOV-009-ب · منعُ اعتمادِ الذات — الإشعاراتُ الدائنةُ والمدينة</t>
  </si>
  <si>
    <t xml:space="preserve">المستخلصات والمطالبات</t>
  </si>
  <si>
    <t xml:space="preserve">http://localhost/ems/Contracts/claims.php</t>
  </si>
  <si>
    <t xml:space="preserve">سادسًا: المستخلص والمطالبة</t>
  </si>
  <si>
    <t xml:space="preserve">حارسُ منعِ اعتمادِ الذات على كلِّ موافقةٍ ذاتِ أثرٍ مالي — «من أنشأ لا يعتمد».</t>
  </si>
  <si>
    <t xml:space="preserve">فعلُ اعتماد المستخلص (`action=approve`) يستدعي `ems_no_self_approval()` فعلًا (سطر 99) — وهو صحيح. لكن فعلَ إجازة الإشعار الدائن/المدين (`action=note_approve`، سطر 207) لا يستدعيه، و`cdnote_approve()` في `Contracts/note_helpers.php:255` لا يقارن `created_by` بالمعتمِد. فالإشعارُ الذي يخفّض ذمّةَ العميل يمكن أن ينشئه ويجيزه الشخصُ نفسُه إن حمل can_add و can_edit.</t>
  </si>
  <si>
    <t xml:space="preserve">تخفيضُ مديونيةِ عميلٍ (تنازلٌ نقديٌّ مباشر) يقع بيدٍ واحدةٍ بلا رقيب، بينما الفعلُ الشقيقُ (اعتمادُ المستخلص) محروسٌ — تفاوتٌ يفتح البابَ لأخطر طريقٍ للتسريب المالي في وحدة العقود.</t>
  </si>
  <si>
    <t xml:space="preserve">زرعُ الحارس تم على نقطةٍ واحدةٍ من نقاط الاعتماد الأربع في الملف، ولم يُنقل إلى الخدمة نفسِها فتُحرَس كلُّ نقاط الدخول.</t>
  </si>
  <si>
    <t xml:space="preserve">Contracts/claims.php:95-100; Contracts/claims.php:207-210; Contracts/note_helpers.php:255; Contracts/note_helpers.php:265-267; includes/self_approval_guard.php:22</t>
  </si>
  <si>
    <t xml:space="preserve">١) امنح مستخدمًا can_add و can_edit على Contracts/claims.php. ٢) أنشئ إشعارًا دائنًا وارفعه للمالية. ٣) بالحساب نفسِه اضغط «إجازة الإشعار» ⇒ ينجح ويتحرك رصيدُ ذمّة العميل.</t>
  </si>
  <si>
    <t xml:space="preserve">انقل الحارسَ إلى الخدمة: في `Contracts/note_helpers.php::cdnote_approve()` بعد قراءة الصف أضِف `if (intval($n['created_by']) === intval($uid)) { return ['ok'=&gt;false,'code'=&gt;403,'reason'=&gt;'لا يعتمد المرءُ ما أعدّ']; }` واستدعِ `ems_no_self_approval()` في `Contracts/claims.php:208`.</t>
  </si>
  <si>
    <t xml:space="preserve">منشئُ الإشعار لا يستطيع إجازتَه؛ ومستخدمٌ آخرُ بصلاحية المالية يجيزه فتتحرك الذمّةُ مرةً واحدة.</t>
  </si>
  <si>
    <t xml:space="preserve">فرعُ note_approve (السطر 207-210) محروسٌ بـ$can_approve=can_edit وحده وcdnote_approve لا يقارن created_by بالمعتمِد، بينما فرعُ اعتماد المستخلص يستدعي ems_no_self_approval — فالإشعارُ الذي يحرّك الذمّةَ ينشئه ويجيزه شخصٌ واحد.</t>
  </si>
  <si>
    <t xml:space="preserve">INJ-0028</t>
  </si>
  <si>
    <t xml:space="preserve">GOV-009-و · حارسُ التفويضِ والسقفِ على كلِّ موافقة</t>
  </si>
  <si>
    <t xml:space="preserve">الجزاءات والحوافز التعاقدية</t>
  </si>
  <si>
    <t xml:space="preserve">http://localhost/ems/Contracts/penalties.php</t>
  </si>
  <si>
    <t xml:space="preserve">لكلِّ اعتمادٍ ماليٍّ سقفٌ ومرجعُ تفويض، ولا تنازلَ ماليًّا بلا سندٍ ضمن السقف.</t>
  </si>
  <si>
    <t xml:space="preserve">فعلُ «الإعفاء» (`waive`) يشطب غرامةً تعاقديةً بأيِّ مبلغٍ بمجرد `can_edit` على الشاشة وسببٍ نصيٍّ إلزامي؛ ولا سقفَ مبلغٍ يُقاس، ولا موافقةَ ثانية، ولا مقارنةَ بين المُعفي والمُحتسِب/المُراجِع (بخلاف فعل `approve` الذي يمنع اعتمادَ من راجع). ولا يُستشار جدولُ `signing_authorities`.</t>
  </si>
  <si>
    <t xml:space="preserve">مستخدمٌ واحدٌ بصلاحية المالية يُسقط غراماتٍ بأيِّ قيمةٍ على أيِّ عقد — وهو تنازلٌ ماليٌّ مباشرٌ لصالح الطرف الآخر — بلا سقفٍ ولا يدٍ ثانيةٍ ولا مرجع تفويض.</t>
  </si>
  <si>
    <t xml:space="preserve">تطبيقُ فصل اليدين على مسار الإجازة فقط دون مسار الإعفاء، وغيابُ ربطِ الأفعال المالية بسقوف السلطة.</t>
  </si>
  <si>
    <t xml:space="preserve">Contracts/penalties.php:95-100; app/Services/Contract/PenaltyService.php:283-301; app/Services/Contract/PenaltyService.php:265-267; Governance/signing_authority.php:63; app/Core/AuthorityGuard.php:1</t>
  </si>
  <si>
    <t xml:space="preserve">١) احتسب غرامةً كبيرة. ٢) بحسابٍ يملك can_edit اضغط «إعفاء» واكتب سببًا. ٣) لاحظ نجاحَ الإعفاء بلا حدٍّ ولا موافقةٍ ثانية.</t>
  </si>
  <si>
    <t xml:space="preserve">في `app/Services/Contract/PenaltyService::waive()` أضِف: منعَ الإعفاء ممن راجع أو احتسب (`reviewed_by`/`created_by`)، وفحصَ سقفِ الإعفاء عبر `App\Core\AuthorityGuard::sign()` بمبلغ الغرامة، وتصعيدًا إلزاميًّا لصندوق الاعتمادات العليا فوق السقف مع تسجيل مرجع التفويض.</t>
  </si>
  <si>
    <t xml:space="preserve">إعفاءٌ فوق السقف يُرفض ويُصعَّد تلقائيًّا؛ وإعفاءٌ من مراجعِ البند نفسِه يُرفض؛ وكلُّ إعفاءٍ يحمل مرجعَ تفويضٍ في السجل.</t>
  </si>
  <si>
    <t xml:space="preserve">waive() (283-301) لا تفحص سقفًا ولا يدًا ثانيةً ولا تقارن بالمراجع/المحتسِب — بخلاف approve() (265-267) التي تمنع اعتمادَ من راجع؛ وحارسُ الشاشة $can_approve = can_edit حرفيًّا.</t>
  </si>
  <si>
    <t xml:space="preserve">INJ-0029</t>
  </si>
  <si>
    <t xml:space="preserve">TABLE 46 · التصديرُ — حدُّ الحقولِ الحساسةِ وسجلُّ التصدير</t>
  </si>
  <si>
    <t xml:space="preserve">سجل العملاء / عقود العملاء (التصدير)</t>
  </si>
  <si>
    <t xml:space="preserve">http://localhost/ems/Clients/clients.php</t>
  </si>
  <si>
    <t xml:space="preserve">أولًا: العميل والفرصة</t>
  </si>
  <si>
    <t xml:space="preserve">«صلاحيتان منفصلتان لا واحدة» للتصدير والعرض، و«حدُّ الحقولِ الحساسة» في التصدير، وسجلُّ تصديرٍ بتسعة بنودٍ إلزامية.</t>
  </si>
  <si>
    <t xml:space="preserve">`app/Services/Excel/ExcelService::authorize()` يفحص `can_view` على الوحدة نفسِها — أي أن حقَّ العرض هو حقُّ التصدير؛ ولا وجودَ لمفاتيح PRM-EXP في الشيفرة. و`excel.php:86-98` يقرأ الحقولَ الحساسةَ ويسجّل الاطّلاعَ عليها ثم يصدّرها كما هي بلا إسقاطٍ ولا تقنيع، وفشلُ الاستعلام يُبتلَع في try/catch فيخرج الملفُّ بلا تسجيلٍ أصلًا. ولا جدولَ سجلِّ تصديرٍ عامٍّ في المخطط (الموجودُ `risk_export_log` لوحدة المخاطر فقط).</t>
  </si>
  <si>
    <t xml:space="preserve">Export/Import Gap</t>
  </si>
  <si>
    <t xml:space="preserve">أيُّ مستخدمٍ يرى سجلَّ العملاء أو شبكةَ العقود يُخرج ملفًّا كاملًا بكلِّ الحقول — بما فيها الأسعارُ والهوامشُ التي تنص الوثيقةُ على حجبها «بنيويًّا عن التشغيل ومن تحته» — ولا يبقى في النظام أثرٌ لمن صدَّر وماذا ومتى.</t>
  </si>
  <si>
    <t xml:space="preserve">إطارُ تصديرٍ بُني على صلاحيةِ عرضٍ واحدةٍ لكلِّ الملف، وطبقةُ الحقول الحساسة (`SensitiveFieldGuard`) قائمةٌ بلا مستدعٍ إنتاجي.</t>
  </si>
  <si>
    <t xml:space="preserve">app/Services/Excel/ExcelService.php:56-70; app/Services/Excel/ExcelService.php:61-63; excel.php:67; excel.php:86-98; app/Services/Excel/Column.php:26-80; app/Services/Security/SensitiveFieldGuard.php:29-33</t>
  </si>
  <si>
    <t xml:space="preserve">١) امنح دورًا تشغيليًّا can_view على Clients/clients.php. ٢) اضغط «تصدير» ⇒ ينزل ملفٌّ بكل الأعمدة. ٣) ابحث عن صفٍّ في أيِّ سجلِّ تصدير ⇒ لا جدولَ أصلًا.</t>
  </si>
  <si>
    <t xml:space="preserve">أضِف إلى `app/Services/Excel/Column.php` خاصيتَي `sensitive` و`permission_key`، واجعل `Exporter::exportColumns()` يُسقط ما لا يملكه المستخدمُ عبر `SensitiveFieldGuard`، وأنشئ جدول `export_log` بالبنود التسعة واكتبه من `excel.php` قبل بثِّ الملف، وافصل مفتاحَ صلاحية التصدير عن can_view.</t>
  </si>
  <si>
    <t xml:space="preserve">فريق الباك-إند — وحدة الأمن</t>
  </si>
  <si>
    <t xml:space="preserve">مستخدمٌ بلا صلاحية تصديرٍ يُمنع؛ ومن يملكها يحصل على ملفٍّ بلا الحقول الحساسة غير المخوَّلة؛ وكلُّ تصديرٍ يكتب صفًّا في export_log بالبنود التسعة.</t>
  </si>
  <si>
    <t xml:space="preserve">‏ExcelService::authorize (56-70) يفحص can_view على الوحدة نفسِها فحقُّ العرض هو حقُّ التصدير؛ وexcel.php:86-98 يسجّل الاطّلاعَ ثم يصدّر بلا حجب، والاستثناءُ يُبتلع (97). وSensitiveFieldGuard بلا مستدعٍ إنتاجيٍّ واحد، ولا جدولَ export_log عامٍّ في المخطط (الموجود risk_export_log فقط).</t>
  </si>
  <si>
    <t xml:space="preserve">INJ-0030</t>
  </si>
  <si>
    <t xml:space="preserve">GOV-009-ب · منعُ اعتمادِ الذات — سلطةُ السعر</t>
  </si>
  <si>
    <t xml:space="preserve">دفتر الأسعار بالشرائح</t>
  </si>
  <si>
    <t xml:space="preserve">http://localhost/ems/Clients/rate_books.php</t>
  </si>
  <si>
    <t xml:space="preserve">تاسعًا: التأجير قصير الأمد</t>
  </si>
  <si>
    <t xml:space="preserve">«من أنشأ لا يعتمد»، وسلطةُ السعرِ تُمارَس ضمن سقفٍ بمرجعِ تفويض؛ والاعتمادُ فعلٌ مستقلٌّ له معتمِدُه وتاريخُه.</t>
  </si>
  <si>
    <t xml:space="preserve">حفظُ دفتر الأسعار يجعل الاعتمادَ حقلَ حالةٍ في الفورم نفسِه: إن اختار المستخدمُ `state='معتمد'` كتب الكودُ `approved_by = $uid` و`approved_at = now()` في العملية نفسِها (سطر 84). فمن ينشئ الدفترَ يعتمده في نقرةٍ واحدة، بلا فعلِ اعتمادٍ منفصلٍ ولا حارسِ اعتمادِ ذاتٍ ولا سقف.</t>
  </si>
  <si>
    <t xml:space="preserve">أسعارُ التأجير المعتمدة — وهي مصدرُ إيرادِ التأجير قصير الأمد — يضعها ويعتمدها شخصٌ واحدٌ بلا رقيب؛ وعمودا «المعتمِد» و«تاريخ الاعتماد» المعروضان في الشبكة يوحيان بدورةِ اعتمادٍ لا وجودَ لها.</t>
  </si>
  <si>
    <t xml:space="preserve">نمذجةُ الاعتماد قيمةَ حقلِ حالةٍ في فورم الحفظ بدل فعلٍ مستقلٍّ محروس.</t>
  </si>
  <si>
    <t xml:space="preserve">Clients/rate_books.php:60-61; :84; includes/self_approval_guard.php:23-40</t>
  </si>
  <si>
    <t xml:space="preserve">١) ادخل بحسابٍ يملك can_add على دفتر الأسعار. ٢) أنشئ دفترًا واختر الحالة «معتمد» واحفظ. ٣) افتح الشبكة ⇒ «المعتمِد» اسمُك و«تاريخ الاعتماد» اليوم.</t>
  </si>
  <si>
    <t xml:space="preserve">افصل الاعتمادَ في `Clients/rate_books.php` إلى فعلٍ مستقلٍّ (`rb_action=approve`) محروسٍ بـcan_edit مع استدعاء `ems_no_self_approval()` مقارنةً بـ`created_by`، وأزِل القيمةَ «معتمد» من قائمة الحالات في فورم الحفظ.</t>
  </si>
  <si>
    <t xml:space="preserve">فريق الباك-إند — وحدة المبيعات</t>
  </si>
  <si>
    <t xml:space="preserve">منشئُ دفتر الأسعار لا يستطيع اعتمادَه؛ والاعتمادُ فعلٌ منفصلٌ يسجّل معتمِدًا مختلفًا وتاريخًا.</t>
  </si>
  <si>
    <t xml:space="preserve">السطرُ 84 يضع approved_by/approved_at في عملية الحفظ نفسِها متى اختير state='معتمد'، ولا نداءَ لـems_no_self_approval في الملف (المستدعون أربعةٌ فقط: claims · request_actions · approval_api · requests_proc) ولا فحصَ سقفٍ — فمن ينشئ دفترَ الأسعار يعتمده بنقرة.</t>
  </si>
  <si>
    <t xml:space="preserve">INJ-0031</t>
  </si>
  <si>
    <t xml:space="preserve">INJAZ-FRD-01 §١٢-٣ · المرحلة ٣ — طلبُ العروض والترسية</t>
  </si>
  <si>
    <t xml:space="preserve">طلبات عروض الموردين / طلب العروض ومقارنتها</t>
  </si>
  <si>
    <t xml:space="preserve">http://localhost/ems/Suppliers/rfq_requests.php</t>
  </si>
  <si>
    <t xml:space="preserve">خارج الوثيقة — بانتظار قرار المالك</t>
  </si>
  <si>
    <t xml:space="preserve">لكلِّ مرحلةٍ مستندٌ واحدٌ ومسارٌ واحد: «طلبُ عروض · قرارُ ترسية» باعتمادِ مدير الموردين — ولكلِّ شاشةٍ مالكٌ واحد.</t>
  </si>
  <si>
    <t xml:space="preserve">مساران متوازيان للترسية على البيانات نفسِها: `Suppliers/rfq_requests.php` (محروسٌ بمنحةِ وحدةٍ ويعمل عبر خدمة `RFQService` بأفعالٍ منظَّمة) موضوعٌ في مجموعة «خارج الوثيقة»؛ و`Procurement/rfq_compare_award.php` (بلا حارس، كتابةٌ خامّة) هو الموضوعُ في مجموعة المرحلة الثالثة. والاثنان يكتبان `rfq_awards` و`supplier_rfqs` بقواعدَ مختلفة.</t>
  </si>
  <si>
    <t xml:space="preserve">Duplicate Screen</t>
  </si>
  <si>
    <t xml:space="preserve">مصدرا حقيقةٍ للترسية بقواعدَ متعارضة: أحدهما يفرض حصصًا وأسبابًا عبر الخدمة والآخر يكتب مباشرة؛ ويستطيع المستخدمُ الالتفافَ على الشاشة المحروسة باستعمال غير المحروسة. والشاشةُ المالكةُ للإدارة مبعدةٌ إلى مجموعة القرارات المعلَّقة.</t>
  </si>
  <si>
    <t xml:space="preserve">بناءُ شاشةِ ترسيةٍ في وحدة المشتريات (S-10) وأخرى في وحدة الموردين بلا حسمِ المالك ولا حذفِ إحداهما.</t>
  </si>
  <si>
    <t xml:space="preserve">Suppliers/rfq_requests.php:27; Suppliers/rfq_requests.php:83-95; Procurement/rfq_compare_award.php:20; Procurement/rfq_compare_award.php:33; app/Services/Procurement/RFQService.php:486</t>
  </si>
  <si>
    <t xml:space="preserve">١) ادخل بدور 2 ⇒ مجموعة «ثالثًا: طلب العروض والترسية» تحوي رابطًا واحدًا إلى Procurement/rfq_compare_award.php. ٢) انزل لمجموعة «خارج الوثيقة» ⇒ «طلبات عروض الموردين» → Suppliers/rfq_requests.php. ٣) أرسِ عرضًا من كلٍّ منهما ولاحظ اختلافَ القواعد.</t>
  </si>
  <si>
    <t xml:space="preserve">احسم المالكَ بقرار مالك: أبقِ `Suppliers/rfq_requests.php` مسارَ الترسية الوحيد وانقلها إلى مجموعة المرحلة الثالثة، وحوّل `Procurement/rfq_compare_award.php` إلى شاشةِ مقارنةٍ للقراءة فقط تستدعي `RFQService::award()` عند الحاجة.</t>
  </si>
  <si>
    <t xml:space="preserve">فريق الباك-إند — وحدة الموردين</t>
  </si>
  <si>
    <t xml:space="preserve">مسارٌ واحدٌ فقط يكتب rfq_awards، وهو محروسٌ بصلاحيةٍ وسقفٍ وسبب؛ ولا شاشةَ ترسيةٍ ثانيةٌ في القائمة.</t>
  </si>
  <si>
    <t xml:space="preserve">المساران قائمان على rfq_awards/supplier_rfqs: Suppliers/rfq_requests.php بمنحةِ وحدةٍ وخدمةِ RFQService، وProcurement/rfq_compare_award.php بلا أيِّ فحصِ صلاحيةٍ (صفرُ can_add/can_edit/check_page_permissions) وبكتابةٍ خام.</t>
  </si>
  <si>
    <t xml:space="preserve">INJ-0032</t>
  </si>
  <si>
    <t xml:space="preserve">§٦ · بوابةُ الإصدار — الفاحصُ الذي يمرّ على عيبٍ حي</t>
  </si>
  <si>
    <t xml:space="preserve">سايدبار إدارة الموردين</t>
  </si>
  <si>
    <t xml:space="preserve">http://localhost/ems/main/role_board.php</t>
  </si>
  <si>
    <t xml:space="preserve">«وكلُّ شاشةٍ في قائمةِ دورها — فالمبنيُّ الذي لا يُبلَغ كالمعدوم»، والفاحصُ يثبت الحكمَ لا يفترضه.</t>
  </si>
  <si>
    <t xml:space="preserve">فاحصُ البوابة `tools/u13_gate.php` يتحقق من وجود صفِّ التنقل بشرط `route = '../' . $rel AND active = 1` — أي أنه يشترط البادئةَ `../` نفسَها التي تجعل واحدًا وأربعين صفًّا حيًّا (ids 6893-6933) غيرَ قابلٍ للتصيير أصلًا (`module_id IS NULL` مع `permission_code` غيرِ فارغ · `door='main'` ليست بابًا · `group_id IS NULL`). فالفحصُ يمرّ أخضرَ بينما الروابطُ غيرُ مرئيةٍ لأحد.</t>
  </si>
  <si>
    <t xml:space="preserve">Not Testable</t>
  </si>
  <si>
    <t xml:space="preserve">بوابةُ الإصدار تُعطي شهادةَ «كلُّ شاشةٍ في قائمة دورها» وهي شهادةٌ لا تعكس الواقع؛ والنتيجةُ المباشرةُ أن ثلاثةَ أدوارٍ (رئيسُ الحسابات · المديرُ المالي · المراجعُ الداخلي المستقل) ينهار سايدبارُها إلى رابطٍ واحد. والخطرُ نفسُه قائمٌ على أيِّ صفٍّ يُضاف لاحقًا لأدوار الموردين.</t>
  </si>
  <si>
    <t xml:space="preserve">فاحصٌ يعيد إنتاج فرضيةَ الكود الخاطئةَ بدل التحقق من المخرَج المُصيَّر فعلًا.</t>
  </si>
  <si>
    <t xml:space="preserve">tools/u13_gate.php:1172-1173; includes/unified_nav.php:70-77; includes/unified_nav.php:32-43; includes/unified_nav.php:280-283; includes/dynamic_nav.php:320</t>
  </si>
  <si>
    <t xml:space="preserve">١) شغّل `tools/u13_gate.php` ⇒ الفحصُ ⑨-04 أخضر. ٢) ادخل بدور 33 (المراجع الداخلي المستقل) ⇒ السايدبار رابطٌ واحدٌ «المراسلات».</t>
  </si>
  <si>
    <t xml:space="preserve">أعِد كتابةَ الفحص في `tools/u13_gate.php:1172` ليستدعي `getUnifiedNavItems()` نفسَها ويتحقق من ظهور المسار في المخرَج، ووحّد شكلَ `nav_items.route` (بلا بادئة `../`) وأصلِح الصفوفَ الواحدَ والأربعين (`module_id` و`door` و`group_id`).</t>
  </si>
  <si>
    <t xml:space="preserve">الفحصُ يفشل عند وجود صفِّ تنقّلٍ لا يظهر في مخرَج `getUnifiedNavItems()`؛ وبعد الإصلاح تظهر الصفوفُ الواحدُ والأربعون في قوائم أدوارها.</t>
  </si>
  <si>
    <t xml:space="preserve">تحققتُ من الصفوف 6893-6933: 41 صفًّا door='main' و group_id NULL و module_id NULL مع permission_code غيرِ فارغ ومسارٍ ببادئة '../' — فشرطُ EXISTS في getUnifiedNavItems (unified_nav.php:70-77) يُسقطها كلَّها، وفاحصُ u13_gate.php:1172-1173 يبحث بالبادئة نفسِها فيمرّ أخضر.</t>
  </si>
  <si>
    <t xml:space="preserve">05_DELIVERY</t>
  </si>
  <si>
    <t xml:space="preserve">فجوة دليل (Evidence)</t>
  </si>
  <si>
    <t xml:space="preserve">Implementation Closed · Evidence Open</t>
  </si>
  <si>
    <t xml:space="preserve">INJ-0033</t>
  </si>
  <si>
    <t xml:space="preserve">PR-01 · مصدرُ الحقيقة الواحد (٤-١ المبادئُ الاثنا عشرَ الحاكمة)</t>
  </si>
  <si>
    <t xml:space="preserve">إدارة الأسطول</t>
  </si>
  <si>
    <t xml:space="preserve">سياسات الإهلاك المعتمدة</t>
  </si>
  <si>
    <t xml:space="preserve">http://localhost/ems/Equipments/fleet_depreciation_profiles.php</t>
  </si>
  <si>
    <t xml:space="preserve">خامسًا: المطابقة والإهلاك</t>
  </si>
  <si>
    <t xml:space="preserve">«لكل بيانٍ موضعٌ واحدٌ يُنشأ فيه ويُعدَّل، وكلُّ عرضٍ آخرَ له قراءةٌ لا نسخة» — وشاشةُ «سياسات الإهلاك المعتمدة» (dep_profiles.php) من الشاشات الثلاثَ عشرةَ المملوكةِ للأسطول، وأثرُها مرحلةُ «خامسًا: المطابقة والإهلاك».</t>
  </si>
  <si>
    <t xml:space="preserve">التصحيح: للجدول قارئٌ إضافيٌّ غيرُ مذكور — `Equipments/fleet_models.php:565` يربط النموذجَ بملفِّ الإهلاك عرضًا (لا احتسابًا). — [مُصحَّح بعد التحقق] الصياغة الأولى: جدولُ fleet_depreciation_profiles لا يُقرأ من أي محرِّكِ إهلاك: بحثٌ شاملٌ يُظهر أن قارئيه هم شاشتُه نفسُها وسجلُّ Excel وخريطةُ الأيقونات فقط. و app/Services/Finance/DepreciationService.php لا يذكره </t>
  </si>
  <si>
    <t xml:space="preserve">سياساتُ الإهلاك التي تعتمدها إدارةُ الأسطول (طرقُها ونسبُها وقيمُها التخريدية) لا تؤثر في أي قيدِ إهلاكٍ فعليّ؛ فالرقمُ الظاهرُ في «الإهلاك والقيمة الدفترية» يخالف السياسةَ المعتمدةَ صامتًا.</t>
  </si>
  <si>
    <t xml:space="preserve">شاشةُ السياسات بُنيت كسجلٍّ مستقلٍّ ولم يُربط مخرجُها بمدخلات محرّك الإهلاك.</t>
  </si>
  <si>
    <t xml:space="preserve">Equipments/fleet_depreciation_profiles.php:90-92; :146; app/Services/Finance/DepreciationService.php:41; :308</t>
  </si>
  <si>
    <t xml:space="preserve">١) بدور ٣ افتح «سياسات الإهلاك المعتمدة» وأنشئ ملفَّ إهلاكٍ بطريقةٍ ونسبةٍ مميزةٍ واعتمده. ٢) افتح «الإهلاك والقيمة الدفترية» ونفّذ «احتساب إهلاك الشهر». ٣) قارن قيمةَ الإهلاك بما تفرضه السياسة → القيمةُ محسوبةٌ بالقسط الثابت من useful_life_months لا من السياسة.</t>
  </si>
  <si>
    <t xml:space="preserve">في app/Services/Finance/DepreciationService.php أضِف قراءةَ ملفِّ الإهلاك المعتمد للمعدة (join على fleet_depreciation_profiles عبر equipment/model) واستعمِل طريقتَه ونسبتَه وقيمتَه التخريدية بدل القسط الثابت الافتراضي، وارفض الاحتسابَ لأصلٍ بلا ملفِّ إهلاكٍ معتمد.</t>
  </si>
  <si>
    <t xml:space="preserve">فريق الباك-إند — وحدة المالية</t>
  </si>
  <si>
    <t xml:space="preserve">تغييرُ نسبةِ الإهلاك في ملفٍّ معتمدٍ ثم إعادةُ الاحتساب يغيّر قيمةَ الإهلاك الشهريِّ بالنسبة نفسِها؛ وأصلٌ بلا ملفٍّ معتمدٍ يُرفض احتسابُه بسببٍ محكوم.</t>
  </si>
  <si>
    <t xml:space="preserve">تحقّقت: `DepreciationService` يحتسب من `fin_assets.useful_life_months` بالقسط الثابت ولا يذكر ملفَّ الإهلاك؛ فالسياسةُ المعتمَدةُ لا تحكم الاحتساب.</t>
  </si>
  <si>
    <t xml:space="preserve">INJ-0034</t>
  </si>
  <si>
    <t xml:space="preserve">INJAZ-FRD-01 §٨-٣ · مراحلُ دورةِ العملِ ومستنداتُها (المرحلة ٧)</t>
  </si>
  <si>
    <t xml:space="preserve">سابعًا: الإخراج من الخدمة</t>
  </si>
  <si>
    <t xml:space="preserve">http://localhost/ems/Equipments/equipments.php</t>
  </si>
  <si>
    <t xml:space="preserve">مرحلةُ «سابعًا: الإخراج من الخدمة» مستندُها «محضر إخراج · قيد استبعاد» ومعتمِدُها «المدير المالي» — «ولا مرحلةَ بلا مخرَج».</t>
  </si>
  <si>
    <t xml:space="preserve">مجموعةُ المرحلة السابعة في سايدبار دور ٣ تحوي رابطًا واحدًا هو «سجل المعدات» ../Equipments/equipments.php#n9g19i1 — أي الشاشةَ نفسَها الموجودةَ في المرحلة الأولى بمِرساةٍ (#n9g19i1) لا وجودَ لها في الملف. ولا شاشةَ إخراجٍ ولا محضرَ ولا قيدَ استبعاد؛ وشاشةُ التصرف الوحيدةُ Financing/asset_disposal.php ليست في سايدبار الأسطول أصلًا.</t>
  </si>
  <si>
    <t xml:space="preserve">خروجُ الأصل من الخدمة يقع بتغيير حالةٍ في سجل المعدات بلا محضرٍ ولا معتمِدٍ ماليٍّ ولا قيدِ استبعاد، فتبقى القيمةُ الدفتريةُ والإهلاكُ يجريان على أصلٍ خارج الخدمة.</t>
  </si>
  <si>
    <t xml:space="preserve">وُلِّد صفُّ التنقل للمرحلة من قائمة الشاشات بمِرساةٍ وهميةٍ بدل إنشاء الشاشة الفعلية.</t>
  </si>
  <si>
    <t xml:space="preserve">database/schema/seed_reference.sql:3170 (link_groups#3533); :4490 (nav#6313); :4013 (nav#1330 active=0)</t>
  </si>
  <si>
    <t xml:space="preserve">١) بدور ٣ افتح مجموعة «سابعًا: الإخراج من الخدمة». ٢) انقر «سجل المعدات» → تنتقل إلى الشاشة نفسِها في المرحلة الأولى والمِرساةُ #n9g19i1 لا تُحرّك الصفحة. ٣) ابحث عن زرِّ «محضر إخراج» → لا يوجد.</t>
  </si>
  <si>
    <t xml:space="preserve">أنشئ Fleet/disposal.php (محضرُ إخراجٍ بحالاته) يفرض اعتمادَ المدير المالي، ويستدعي DepreciationService لإيقاف الإهلاك وينشر الحدث asset.disposed؛ واستبدل صفَّ nav_items للمرحلة السابعة بالمسار الجديد.</t>
  </si>
  <si>
    <t xml:space="preserve">فريق الباك-إند — وحدة الأسطول</t>
  </si>
  <si>
    <t xml:space="preserve">إخراجُ معدةٍ من الخدمة ينشئ محضرًا باعتمادِ المدير المالي، ويتوقف احتسابُ إهلاكها في الشهر التالي، ويظهر قيدُ استبعادٍ مرتبطٌ بالمحضر.</t>
  </si>
  <si>
    <t xml:space="preserve">مجموعةُ المرحلة السابعة للدور 3 (link_groups id=3533) تحوي رابطًا واحدًا إلى `Equipments/equipments.php#n9g19i1` والمِرساةُ غيرُ موجودةٍ في الملف، و`Financing/asset_disposal.php` صفُّه للدور 26 بـactive=0.</t>
  </si>
  <si>
    <t xml:space="preserve">INJ-0035</t>
  </si>
  <si>
    <t xml:space="preserve">PR-04 · المالُ أثرٌ لا مصدر · §٢٤-١ الفحوصُ الأربعةُ قبل توليد أي أثرٍ مالي</t>
  </si>
  <si>
    <t xml:space="preserve">طلبات الدفع والسداد</t>
  </si>
  <si>
    <t xml:space="preserve">http://localhost/ems/Finance/payments_fin.php</t>
  </si>
  <si>
    <t xml:space="preserve">ثالثًا: المصروف والدفع</t>
  </si>
  <si>
    <t xml:space="preserve">«أربعةُ فحوصٍ قبل توليدِ أيِّ أثرٍ ماليّ… اكتمالُ سلسلة الاعتماد · انفتاحُ الفترة المحاسبية · نفاذُ العقدِ وقتَ التنفيذ · إتاحةُ حصةِ المورد»، وشاهدُ القبول المقتبَسُ في الشيفرة نفسِها: «صفرُ طلبٍ يُنفَّذ باعتمادٍ واحدٍ من الأربعة».</t>
  </si>
  <si>
    <t xml:space="preserve">حارسُ اكتمالِ الاعتمادِ الرباعيِّ في وضع monitor، بينما الصرفُ نفسُه محروسٌ بصلاحيةِ التعديل ورمزِ الحماية وحصرِ التنفيذ بأمين الخزينة وخمسةِ فحوصٍ حالةٍ أخرى. — [مُصحَّح بعد التحقق] الصياغة الأولى: حارسُ الاعتماد الرباعيِّ موجودٌ لكنه معطَّلٌ افتراضيًّا: $__u13Mode = ems_env('EMS_U13_APPROVAL_GATE','monitor') في السطر 63، وفي وضع monitor يُسجَّل النقصُ ولا يُوقَف الصرف (السطر 73 يُنفّذ المنعَ في</t>
  </si>
  <si>
    <t xml:space="preserve">الصرفُ من الخزينة ينفَّذ بلا إثبات اكتمالِ سلاسل الاعتماد الأربع؛ وهو ما تسمّيه الشيفرةُ نفسُها مخالفةً لـFACC-0044 وPROP-01 §٧-٢ ③.</t>
  </si>
  <si>
    <t xml:space="preserve">اختِير fail-open (monitor) علمًا بأن السلاسلَ لم تُدخَل بعد، وبقي العلَمُ على قيمته الافتراضية في الإصدار.</t>
  </si>
  <si>
    <t xml:space="preserve">Finance/payments_fin.php:55; Finance/payments_fin.php:63; Finance/payments_fin.php:64; Finance/payments_fin.php:73; app/Services/Finance/ApprovalGate.php:1</t>
  </si>
  <si>
    <t xml:space="preserve">١) أنشئ حركةَ صرفٍ مسودة بلا أي سلسلة اعتمادٍ مسجَّلة. ٢) بدور أمين الخزينة اضغط «تنفيذ». ٣) لاحظ نجاحَ التنفيذ وظهورَ سطر U13_APPROVAL_CHAIN_INCOMPLETE في سجل الأمن دون منع.</t>
  </si>
  <si>
    <t xml:space="preserve">أدخِل سلاسلَ الاعتماد المطلوبة ثم اضبط EMS_U13_APPROVAL_GATE=enforce في إعدادات البيئة، واجعل القيمةَ الافتراضيةَ في Finance/payments_fin.php:63 'enforce' بدل 'monitor' مع إمكان الخفض المؤقت بقرارٍ موثَّق.</t>
  </si>
  <si>
    <t xml:space="preserve">تنفيذُ صرفٍ لطلبٍ ناقصِ سلسلةِ الاعتماد يُرفض برسالة السبب ولا يغيّر حالةَ الدفعة؛ وصفرُ صفٍّ executed بسلسلةٍ ناقصة.</t>
  </si>
  <si>
    <t xml:space="preserve">السطران 63 و73 صحيحان: الافتراضُ monitor والمنعُ في enforce وحدَه، ولا أثرَ لهذا العَلَم في أيِّ وثيقةِ بيئةٍ في المستودع. لكن التنفيذَ محروسٌ سلفًا بـcan_edit (:27) ورمزِ CSRF (:28) وفصلِ الواجبات fin_can_perform(treasurer) (:29) وحالةِ draft وسقفِ الذمّة وتسويةِ مستحقات المورد — فالناقصُ إثباتُ اكتمالِ السلاسل لا الصلاحيةُ نفسُها.</t>
  </si>
  <si>
    <t xml:space="preserve">INJ-0036</t>
  </si>
  <si>
    <t xml:space="preserve">PR-04 · المالُ أثرٌ لا مصدر — «ومن أدخل قيدًا بلا واقعةٍ كسر التتبعَ من أصله»</t>
  </si>
  <si>
    <t xml:space="preserve">الذمم والتحصيل — ذمّة عميل</t>
  </si>
  <si>
    <t xml:space="preserve">http://localhost/ems/Finance/dues_fin.php</t>
  </si>
  <si>
    <t xml:space="preserve">كلُّ ذمّةٍ تتولد من واقعةٍ (مستخلصٍ أو فاتورةٍ) اجتازت سلسلةَ اعتمادها.</t>
  </si>
  <si>
    <t xml:space="preserve">معالجُ «حفظ ذمّة عميل» (الأسطر 109-131) ينشئ صفًّا في fin_receivables من customer_entity_id ومبلغٍ ومرجعِ مستندٍ نصيٍّ حرٍّ doc_ref (السطر 113) لا يُتحقَّق من وجوده في أي جدولِ فواتيرَ أو مستخلصات؛ والفحصُ الوحيد $cust&gt;0 &amp;&amp; $amount&gt;0 (السطر 116).</t>
  </si>
  <si>
    <t xml:space="preserve">ذمّةٌ مدينةٌ على عميلٍ تُنشأ بلا فاتورةٍ ولا مستخلصٍ حقيقيّ؛ ثم يُبنى عليها تحصيلٌ في الخزينة (payments_fin.php:87) فيدخل المالُ مقابلَ مستندٍ لا وجودَ له.</t>
  </si>
  <si>
    <t xml:space="preserve">حقلُ المرجع نصيٌّ حرٌّ بدل مفتاحٍ أجنبيٍّ إلى Contracts/tax_invoices أو claims.</t>
  </si>
  <si>
    <t xml:space="preserve">Finance/dues_fin.php:109; Finance/dues_fin.php:113; Finance/dues_fin.php:116; Finance/dues_fin.php:124; Finance/payments_fin.php:87</t>
  </si>
  <si>
    <t xml:space="preserve">١) بدور مالية افتح «الذمم والتحصيل» ← «إضافة ذمّة عميل». ٢) اختر عميلًا، واكتب في مرجع المستند أي نص، وأدخِل مبلغًا. ٣) احفظ → تُنشأ ذمّة. ٤) حصّلها من شاشة المدفوعات.</t>
  </si>
  <si>
    <t xml:space="preserve">في Finance/dues_fin.php:109 استبدل doc_ref النصيَّ بمفتاحٍ إلى مستندٍ حقيقي (invoice_id أو claim_id) مع تحقّقٍ من وجوده وحالتِه المعتمدة، وارفض 422 عند غيابه.</t>
  </si>
  <si>
    <t xml:space="preserve">إنشاءُ ذمّةِ عميلٍ بمرجعٍ لا يقابله مستندٌ معتمدٌ يُرفض 422؛ وكلُّ ذمّةٍ تفتح فاتورتَها بنقرة.</t>
  </si>
  <si>
    <t xml:space="preserve">معالجُ «حفظ ذمّة عميل» (109-131) يُدرج في fin_receivables بـdoc_ref نصٍّ حرٍّ (113) والفحصُ الوحيدُ $cust&gt;0 &amp;&amp; $amount&gt;0 (116) — لا تحقّقَ من وجود المستند ولا من اعتماده.</t>
  </si>
  <si>
    <t xml:space="preserve">INJ-0037</t>
  </si>
  <si>
    <t xml:space="preserve">INJAZ-FRD-01 §٩-٣ · المرحلة ١ «أولًا: تحويل العمل إلى مستحق» · §٢٤ بوابةُ الاستحقاق</t>
  </si>
  <si>
    <t xml:space="preserve">فحص شروط الاستحقاق (بوابة الاستحقاق المالي)</t>
  </si>
  <si>
    <t xml:space="preserve">http://localhost/ems/Finance/entitlement_gate.php</t>
  </si>
  <si>
    <t xml:space="preserve">أولًا: تحويل العمل إلى مستحق</t>
  </si>
  <si>
    <t xml:space="preserve">«◆ ما تملكه المالية: بوابةَ الاستحقاق…» — والبوابةُ تعرض الأثرَ الأوليَّ المنتظرَ وتمرّره بقرار.</t>
  </si>
  <si>
    <t xml:space="preserve">الشاشةُ تعرض صفرًا دائمًا وتقول «لا أثرَ أوليًّا ينتظر البوابة» لأن استعلامَها يفشل — والاعتمادُ الفعليُّ يجري في Finance/approvals_inbox.php فلا تتوقف الدورة. — [مُصحَّح بعد التحقق] الصياغة الأولى: استعلامُ الشاشة (الأسطر 17-22) يطلب من جدول fin_dues خمسةَ أعمدةٍ لا وجودَ لها فيه: due_no · party_kind · beneficiary_ref · state · source_kind. وتعريفُ الجدول في database/schema/schema.sql:4009 يحمل </t>
  </si>
  <si>
    <t xml:space="preserve">الشاشةُ الحاكمةُ للمرحلة الأولى في دورة المالية — وهي التي تملكها الإدارةُ نصًّا — عاطلةٌ كليًّا: لا تعرض أي مستحقٍّ مهما بلغ عددُها في القاعدة، فتمرّ الآثارُ الماليةُ بلا بوابةٍ إطلاقًا.</t>
  </si>
  <si>
    <t xml:space="preserve">كُتب الاستعلامُ على تصورٍ لبنيةِ جدولٍ مختلفةٍ عن المنفَّذة، ولا اختبارَ دخانٍ يفتح الشاشةَ ويتحقق من نجاح استعلامها.</t>
  </si>
  <si>
    <t xml:space="preserve">Finance/entitlement_gate.php:17-23; :97-104; database/schema/schema.sql:4009-4028</t>
  </si>
  <si>
    <t xml:space="preserve">١) تأكد من وجود صفوفٍ في fin_dues. ٢) افتح http://localhost/ems/Finance/entitlement_gate.php. ٣) لاحظ «بانتظار البوابة: 0» و«لا أثرَ أوليًّا ينتظر البوابة». ٤) شغّل الاستعلامَ نفسَه في القاعدة → خطأ Unknown column 'd.due_no'.</t>
  </si>
  <si>
    <t xml:space="preserve">أعِد كتابةَ الاستعلام في Finance/entitlement_gate.php:17 على الأعمدة الفعلية (id · party_type · party_ref · due_type · direction · amount · currency · settlement_state · source_doc_type · created_at) وصحّح خلايا العرض في الأسطر 97-101، وأضِف فحصًا يُظهر رسالةَ خطأ القاعدة بدل الصمت.</t>
  </si>
  <si>
    <t xml:space="preserve">بوجود صفوف fin_dues بحالة pending تعرض الشاشةُ عددَها الصحيحَ وصفوفَها بأعمدةٍ مملوءة؛ وصفرُ خطأ SQL في السجل عند فتحها.</t>
  </si>
  <si>
    <t xml:space="preserve">محقَّقٌ حرفيًّا: استعلامُ Finance/entitlement_gate.php:17-22 يطلب due_no·party_kind·beneficiary_ref·state·source_kind وليس منها عمودٌ في fin_dues (schema.sql:4009-4028: party_type·party_ref·due_type·settlement_state) ولا منظارَ يحملها، فيفشل الاستعلامُ ويبقى $rows فارغًا أبدًا؛ غير أن الشاشة عارضةٌ فقط (زرُّها يحيل إلى Finance/approvals_inbox.php) فلا تنقطع بها سلسلةُ الاعتماد — عيبٌ يُميت شاشةَ حوكمةٍ لا يوقف الدورة.</t>
  </si>
  <si>
    <t xml:space="preserve">INJ-0038</t>
  </si>
  <si>
    <t xml:space="preserve">CORE-01 ٤-٢/١٠ · لا زرَّ بلا عقدِ فعلٍ وأثرٍ ظاهر</t>
  </si>
  <si>
    <t xml:space="preserve">فحص شروط الاستحقاق</t>
  </si>
  <si>
    <t xml:space="preserve">«الاعتمادُ عبر UnitJourneyService::postEntitlement — لا كتابةَ مباشرة» كما يعلن رأسُ الملف نفسُه (السطر 7)، ولكل مرحلةٍ مخرَجٌ يُنتَج.</t>
  </si>
  <si>
    <t xml:space="preserve">لا يوجد في الملف أيُّ معالج POST ولا أي استدعاءٍ لـUnitJourneyService؛ عمودُ «إجراء» يحوي رابطًا واحدًا نصُّه «افتح في صندوق الاعتماد» يوجّه إلى Finance/approvals_inbox.php (السطر 103). فالبوابةُ لا تمرّر ولا ترفض شيئًا.</t>
  </si>
  <si>
    <t xml:space="preserve">بوابةٌ اسمًا لا فعلًا: لا يمكن اعتمادُ استحقاقٍ ولا ردُّه من الشاشة المسؤولة عنه، والوثيقةُ تجعل هذه المرحلةَ مخرَجَ «استحقاق معتمد».</t>
  </si>
  <si>
    <t xml:space="preserve">نُفِّذ العرضُ (وهو نفسُه معطَّلٌ باستعلامٍ خاطئ) ولم يُنفَّذ الفعل، ولم يُربط بالخدمة المذكورة في رأس الملف.</t>
  </si>
  <si>
    <t xml:space="preserve">Finance/entitlement_gate.php:7; :103; app/Services/Policy/UnitJourneyService.php:187; tools/act_seed_actions.php:64</t>
  </si>
  <si>
    <t xml:space="preserve">١) افتح بوابةَ الاستحقاق. ٢) ابحث عن زرِّ «اعتماد/ردّ» → لا يوجد سوى رابطٍ إلى صندوق الاعتماد. ٣) ابحث في الملف عن $_POST → صفر.</t>
  </si>
  <si>
    <t xml:space="preserve">أضِف في Finance/entitlement_gate.php معالجَ POST بفعلين (pass/reject) يستدعي UnitJourneyService::postEntitlement مع سببٍ إلزاميٍّ للرد، وفحصِ الفترة، ورمزِ الحماية، وسطرِ تدقيق، ومفتاحِ عطالةٍ على (unit_record × period).</t>
  </si>
  <si>
    <t xml:space="preserve">من البوابة يُمرَّر مستحقٌّ فينتقل إلى المرحلة التالية ويُنشأ سطرُ تدقيق؛ ورفضُه يشترط سببًا ويعيد الواقعةَ معلَّقةً بسببٍ محكوم.</t>
  </si>
  <si>
    <t xml:space="preserve">تحقّقت: لا معالجَ POST في الملف، وعمودُ الإجراء رابطٌ إلى approvals_inbox.php (:103) وهي نفسُها شاشةُ توجيهٍ لا تنفيذ؛ و`UnitJourneyService::postEntitlement` **بصفر مستدعٍ إنتاجيّ** (تعريفُها وسطرُ سجلِّ الأفعال فقط).</t>
  </si>
  <si>
    <t xml:space="preserve">INJ-0039</t>
  </si>
  <si>
    <t xml:space="preserve">SCN-131-أ · SCN-131-ب · ▐ ١١-٣ — «ومحجوبٍ عنه: اعتمادُ ما أنشأتُه»</t>
  </si>
  <si>
    <t xml:space="preserve">سجل الأحداث المالية</t>
  </si>
  <si>
    <t xml:space="preserve">http://localhost/ems/Finance/events_list_fin.php</t>
  </si>
  <si>
    <t xml:space="preserve">«يجب أن تُعرض شاشةُ «صندوق ما ينتظر اعتمادي» لـالمالية والخزينة بنطاق نطاقُه وسقفُه · بأفعالٍ مسموحةٍ هي اعتماد · رفضٌ بسبب · إعادة، ومحجوبٍ عنه: اعتمادُ ما أنشأتُه» — وCORE-01 ٨-٢ الزوج ①: «إنشاءُ المستند × اعتمادُ المستند نفسِه».</t>
  </si>
  <si>
    <t xml:space="preserve">من أنشأ الحدثَ يعتمده في الخطوةِ التي يغطّيها مستواه (ومنها الاعتمادُ الماليُّ النهائيُّ للمدير المالي) — أمّا تمريرُ الدورة كاملةً بيدٍ واحدةٍ فغيرُ ممكنٍ لغير السوبر أدمن. — [مُصحَّح بعد التحقق] الصياغة الأولى: مسارُ التقدّم في دورة الاعتماد (advance_id) يفحص المستوى الوظيفيَّ فقط: fin_can_perform($conn,$ctx['role'],$level) في السطر 232؛ ولا يقارن created_by للحدث بـ$current_user_id ولا يستدعي ems_no_self_ap</t>
  </si>
  <si>
    <t xml:space="preserve">اعتمادُ الذات على جذر الأثر المالي: مستخدمٌ واحدٌ يُنشئ حدثًا بمبلغٍ ويعتمده ويولّد قيدَه — وهو بالضبط ما تحظره مصفوفةُ الواجبات المتعارضة وما تفرض M-14 حجبَه.</t>
  </si>
  <si>
    <t xml:space="preserve">الحارسُ العامُّ ems_no_self_approval لم يُستدعَ إلا في أربعة ملفات (claims · request_actions · approval_api · requests_proc) ولم يُعمَّم على مسارات الاعتماد المالية.</t>
  </si>
  <si>
    <t xml:space="preserve">Finance/events_list_fin.php:219; :232; Finance/fin_helpers.php:31; :147; :397</t>
  </si>
  <si>
    <t xml:space="preserve">١) بحسابٍ دورُه «المدير المالي» أنشئ حدثًا ماليًّا. ٢) من الصفِّ نفسِه اضغط زرَّ التقدم حتى الحالة approved. ٣) لاحظ نجاحَ كل الخطوات بنفس الحساب وتولّدَ القيد الآلي.</t>
  </si>
  <si>
    <t xml:space="preserve">في Finance/events_list_fin.php بعد قراءة $event (السطر 227) وقبل السطر 247 استدعِ ems_no_self_approval($conn,intval($event['created_by']),$current_user_id,'حدث مالي '.$event['event_no'],$company_id) وأعِد 403 عند رجوع مصفوفة؛ وطبّق الشيءَ نفسَه في مسار reject_id.</t>
  </si>
  <si>
    <t xml:space="preserve">منشئُ الحدث يتلقى 403 مسجَّلًا عند محاولة اعتماده؛ ومستخدمٌ ثانٍ بالمستوى المطلوب يعتمده بنجاح.</t>
  </si>
  <si>
    <t xml:space="preserve">صحيحٌ حرفيًّا: مسارُ advance_id (Finance/events_list_fin.php:219-233) يفحص can_edit وfin_can_perform للمستوى فقط ولا يقارن created_by ولا يستدعي `ems_no_self_approval` رغم استعماله في أربعة مساراتٍ أخرى؛ لكنَّ الأثرَ أضيقُ من المدَّعى: fin_user_level (fin_helpers.php:31-39) يمنح 'all' للسوبر أدمن وحدَه، ودورةُ fin_event_flow خمسُ خطواتٍ بأربعة مستوياتٍ مختلفة فلا يقطعها فاعلٌ واحد، والاعتمادُ النهائيُّ يمرّ بـfin_matrix_gate والقيدُ المتولّد مسودة.</t>
  </si>
  <si>
    <t xml:space="preserve">INJ-0040</t>
  </si>
  <si>
    <t xml:space="preserve">CORE-01 ٨-٢ · الزوج ⑥ «إعدادُ القيد × نشرُ القيد — الفصلُ الأساسيُّ في كل نظامٍ محاسبي»</t>
  </si>
  <si>
    <t xml:space="preserve">القيود اليومية</t>
  </si>
  <si>
    <t xml:space="preserve">http://localhost/ems/Finance/journal_form_fin.php</t>
  </si>
  <si>
    <t xml:space="preserve">سادسًا: القيود والدفاتر</t>
  </si>
  <si>
    <t xml:space="preserve">«أزواجٌ لا تُجمع في حسابٍ واحد… ⑥ إعدادُ القيد × نشرُ القيد» — «والقيدُ بنيويٌّ يرفض الاعتماد».</t>
  </si>
  <si>
    <t xml:space="preserve">مسارُ الترحيل (post_id) يفحص fin_can_perform(...,'finance_manager') في السطر 41 ولا يقارن created_by للقيد بـ$current_user_id: التحديثُ في السطر 68 يضع posted_by=$current_user_id بلا أي شرطٍ على المنشئ. فمديرٌ ماليٌّ ينشئ قيدًا (السطر 177 يضع created_by) ثم يرحّله بنفسه.</t>
  </si>
  <si>
    <t xml:space="preserve">جمعُ الإعداد والنشر في يدٍ واحدةٍ على الدفتر نفسِه — أخطرُ أزواج فصل الواجبات محاسبيًّا — ولا شيءَ في النظام يمنعه ولا يرصده وقتَ التنفيذ.</t>
  </si>
  <si>
    <t xml:space="preserve">فصلُ الواجبات نُفِّذ عند منح الصلاحية فقط (Settings/role_permissions.php) ولم يُنفَّذ عند تنفيذ الفعل، والزوجُ ⑥ ليس ضمن الأزواج التي يفحصها includes/sod_guard.php بدرجة exact.</t>
  </si>
  <si>
    <t xml:space="preserve">Finance/journal_form_fin.php:41; :68-70; :177; :183</t>
  </si>
  <si>
    <t xml:space="preserve">١) بحساب دورُه «المدير المالي» أنشئ قيدًا متوازنًا (مسودة). ٢) من الجدول اضغط «ترحيل». ٣) لاحظ نجاحَ الترحيل بنفس الحساب وأن created_by = posted_by.</t>
  </si>
  <si>
    <t xml:space="preserve">في Finance/journal_form_fin.php بعد قراءة $entryRow (السطر 57) أضِف قراءةَ created_by واستدعِ ems_no_self_approval قبل المعاملة (السطر 67)، وأعِد 403 مسجَّلًا عند التطابق.</t>
  </si>
  <si>
    <t xml:space="preserve">استعلامٌ: صفرُ صفٍّ في fin_journal_entries حالتُه posted و created_by = posted_by؛ ومحاولةُ ترحيل قيدٍ من منشئه تُرفض 403.</t>
  </si>
  <si>
    <t xml:space="preserve">مسارُ الترحيل يفحص المستوى الوظيفي فقط ولا يقارن created_by بـposted_by، فمنشئُ القيد يرحّله بنفسه — زوجُ فصلِ واجباتٍ ماليٌّ مكتمل.</t>
  </si>
  <si>
    <t xml:space="preserve">INJ-0041</t>
  </si>
  <si>
    <t xml:space="preserve">CORE-01 ٨-٢ · الزوج ② «اعتمادُ الدفع × تنفيذُ الدفع — من يأذن لا ينفّذ»</t>
  </si>
  <si>
    <t xml:space="preserve">«اعتمادُ الدفع × تنفيذُ الدفع — من يأذن لا ينفّذ وإلا صار الإذنُ صوريًّا»، ومثالُ الاختبار: «نفس المستخدم يعتمد أمرَ دفعٍ ثم ينفّذه — الثانيةُ تُرفض».</t>
  </si>
  <si>
    <t xml:space="preserve">إنشاءُ حركة الخزينة (السطر 131) يضع created_by=$current_user_id، والتنفيذُ (السطر 82) يضع executed_by=$current_user_id بلا أي مقارنةٍ بين الاثنين. الحارسُ الوحيدُ عند التنفيذ هو fin_can_perform(...,'treasurer') في السطر 29 — وهو فحصُ دورٍ لا فحصُ يدين.</t>
  </si>
  <si>
    <t xml:space="preserve">أمينُ خزينةٍ له صلاحيةُ الإضافة ينشئ أمرَ دفعٍ ثم ينفّذه بنفسه فيخرج المالُ بيدٍ واحدة؛ والزوجُ ② من مصفوفة الواجبات المتعارضة غيرُ مفروضٍ عند التنفيذ.</t>
  </si>
  <si>
    <t xml:space="preserve">فصلُ الواجبات نُفِّذ بمستوى الدور لا بمستوى الحساب على المستند الواحد.</t>
  </si>
  <si>
    <t xml:space="preserve">Finance/payments_fin.php:29; :63-78; :81-82; :131-135</t>
  </si>
  <si>
    <t xml:space="preserve">١) بحساب دورُه «أمين الخزينة» وله can_add و can_edit: أنشئ حركةَ صرفٍ مسودة. ٢) نفّذها من الصفِّ نفسِه. ٣) لاحظ نجاحَ التنفيذ وأن created_by = executed_by.</t>
  </si>
  <si>
    <t xml:space="preserve">في Finance/payments_fin.php بعد قراءة $pay (السطر 32) استدعِ ems_no_self_approval($conn,intval($pay['created_by']),$current_user_id,'أمر دفع '.$pay['payment_no'],$company_id) وأعِد 403 عند التطابق.</t>
  </si>
  <si>
    <t xml:space="preserve">استعلامٌ: صفرُ صفٍّ في fin_payments حالتُه executed و created_by = executed_by؛ ومحاولةُ تنفيذ دفعةٍ من منشئها تُرفض 403 مسجَّلة.</t>
  </si>
  <si>
    <t xml:space="preserve">مسارُ التنفيذ (سطر 26-82) يفحص can_edit ورمزَ الفعل ودورَ أمين الخزينة فقط، ولا يقارن fin_payments.created_by (المكتوب في سطر 135) بـexecuted_by (سطر 82)؛ وبوابةُ سلسلة الاعتماد ApprovalGate::assertComplete تعمل بوضع monitor افتراضًا (سطر 63) فلا تحجب.</t>
  </si>
  <si>
    <t xml:space="preserve">INJ-0042</t>
  </si>
  <si>
    <t xml:space="preserve">CORE-01 ٨-٢ · الزوج ⑦ «period.open+journal.entry × period.close.approve» (غيرُ مقيس)</t>
  </si>
  <si>
    <t xml:space="preserve">إقفال الفترة المحاسبية</t>
  </si>
  <si>
    <t xml:space="preserve">http://localhost/ems/Finance/periods_fin.php</t>
  </si>
  <si>
    <t xml:space="preserve">سابعًا: الإقفال والموازنة</t>
  </si>
  <si>
    <t xml:space="preserve">مستندُ المرحلة السابعة «إقفال فترة محاسبية» ومعتمِدُه «المدير المالي» (INJAZ-FRD-01 §٩-٣)، وزوجُ فصل الواجبات «فتحُ الفترة وإدخالُ القيد × اعتمادُ إقفالها» لا يُجمع.</t>
  </si>
  <si>
    <t xml:space="preserve">لا فحصَ مستوى «المدير المالي» على أيِّ انتقال (بحثُ fin_can_perform = صفر)، فالمحاسبُ ذو can_edit يُقفل ويعيد الفتح — غير أن إعادةَ الفتح تُلزِم سببًا وتُقيَّد في سجل التدقيق، والإقفالُ يمرّ بقائمة الموانع. — [مُصحَّح بعد التحقق] الصياغة الأولى: انتقالاتُ حالة الفترة الخمسةُ (open · soft_close · close · lock · reopen) تُنفَّذ عبر روابط GET ويفحصها شرطٌ واحدٌ هو $can_edit في السطر 28؛ لا استدعاءَ لـfin_can_perform(...,'finance_manager') في الم</t>
  </si>
  <si>
    <t xml:space="preserve">من يُدخِل القيودَ هو نفسُه من يُقفل الفترةَ ويعيد فتحَها؛ وإعادةُ فتح فترةٍ مقفلةٍ هي المسارُ الكلاسيكيُّ لتعديل الأرقام بعد الإقفال. وأثرُ الإقفال يمتدّ إلى كل الإدارات عبر ems_period_check.</t>
  </si>
  <si>
    <t xml:space="preserve">الأزواجُ ⑦ و⑧ من مصفوفة SoD «غيرُ مقيسة» في includes/sod_guard.php:69 (تُتخطى بـcontinue)، ولم يُضَف فحصُ مستوًى في الشاشة.</t>
  </si>
  <si>
    <t xml:space="preserve">Finance/periods_fin.php:27-28,40-53,55,57-70; database/schema/seed_reference.sql:804</t>
  </si>
  <si>
    <t xml:space="preserve">١) بحساب دورُه «محاسب الإدارة المالية» له can_edit: أدخِل قيدًا في فترةٍ مفتوحة. ٢) افتح «إقفال الفترة المحاسبية» واضغط «إقفال». ٣) ثم اضغط «فتح استثنائي» واكتب سببًا → تُفتح الفترة. ٤) عدّل الأرقام.</t>
  </si>
  <si>
    <t xml:space="preserve">في Finance/periods_fin.php:28 أضِف fin_can_perform($conn,$ctx['role'],'finance_manager') لأفعال close و lock و reopen، وأضِف ems_no_self_approval مقارنةً بمن أدخل قيودَ الفترة، وسجّل audit لكل انتقالٍ لا للفتح وحدَه.</t>
  </si>
  <si>
    <t xml:space="preserve">محاسبٌ (غيرُ المدير المالي) يتلقى رفضًا عند إقفال الفترة أو إعادة فتحها؛ والمديرُ المالي وحدَه ينجح ويُسجَّل الانتقالُ في سجل التدقيق.</t>
  </si>
  <si>
    <t xml:space="preserve">تحققتُ: بحثُ fin_can_perform في Finance/periods_fin.php = صفر، والانتقالاتُ الخمسةُ خلف $can_edit وحدَه (:28)، ودورُ 18 «محاسب الإدارة المالية» له can_edit=1 على الموديول 93 (seed_reference.sql:804) — ففصلُ الواجبات مكسورٌ فعلًا. لكن reopen يشترط سببًا مكتوبًا ويكتب ems_audit_change بفاعله (:59-70)، وclose محكومٌ بموانع ems_period_close_blockers — فالأثرُ مضبوطٌ ومسجَّلٌ لا صامت.</t>
  </si>
  <si>
    <t xml:space="preserve">INJ-0043</t>
  </si>
  <si>
    <t xml:space="preserve">§٢٧ · الحقلُ الحساس — «لا يُعرض ولا يُصدَّر إلا بمنحٍ فردي» · BR-GOV-07</t>
  </si>
  <si>
    <t xml:space="preserve">تصدير Excel الموحّد</t>
  </si>
  <si>
    <t xml:space="preserve">«التصدير أخطر أبواب الاطّلاع — يُفحص مركزيًّا هنا ضد قاموس الحقول الحساسة» كما يعلن تعليقُ الملف نفسِه؛ والحكمُ الدستوريُّ: «يمنع تصديرَ أعمدةٍ غيرِ مسموحة».</t>
  </si>
  <si>
    <t xml:space="preserve">مسارُ التصدير في excel.php:86-98 يقرأ الحقولَ المصنَّفةَ حساسةً من scr_sensitive_fields ويكتب لكلٍّ منها سطرَ اطّلاعٍ عبر ems_log_sensitive_read، ثم يستدعي $service-&gt;export($def) في السطر 99 الذي يبثّ كلَّ أعمدة التعريف كما هي: لا حذفَ ولا إخفاءَ ولا استبدالَ للحقل الحساس. أي أن التصديرَ يوثّق التسريبَ ولا يمنعه.</t>
  </si>
  <si>
    <t xml:space="preserve">الحقولُ الحساسة (بيانات بنكية · أسعار · رواتب) تخرج كاملةً في ملفات Excel لكل من يملك can_view على الوحدة، مع سطرٍ في السجل يثبت الاطّلاعَ بعد وقوعه لا يمنعه.</t>
  </si>
  <si>
    <t xml:space="preserve">طُبِّق شقُّ «يُسجَّل الاطلاع» من الحكم دون شقِّ «لا يُصدَّر إلا بمنحٍ فردي»، ولا يوجد ربطٌ بين قاموس الحقول الحساسة وبنّاء الأعمدة في Exporter.</t>
  </si>
  <si>
    <t xml:space="preserve">excel.php:82; excel.php:89; excel.php:93; excel.php:99; app/Services/Excel/ExcelService.php:92; app/Services/Excel/ExcelService.php:104</t>
  </si>
  <si>
    <t xml:space="preserve">١) بحسابٍ يملك can_view على وحدةٍ فيها حقلٌ مصنَّفٌ حساسًا وبلا منحةٍ فردية. ٢) نفّذ excel.php?entity=&lt;الكيان&gt;&amp;action=export. ٣) افتح الملف → الحقلُ الحساس موجودٌ بقيمه. ٤) لاحظ وجودَ سطرِ اطّلاعٍ في السجل رغم ذلك.</t>
  </si>
  <si>
    <t xml:space="preserve">في app/Services/Excel/ExcelService::export مرِّر صفوفَ $rows عبر مصفِّي الحقول الحساسة (OwnershipDomainGuard::filterColumns و SensitiveFieldGuard) وأسقِط أعمدةَ التعريف التي لا يملك المستخدمُ منحتَها قبل استدعاء Exporter::build.</t>
  </si>
  <si>
    <t xml:space="preserve">تصديرُ الكيان نفسِه بحسابين مختلفَي المنح ينتج ملفين مختلفَي الأعمدة: الحقلُ الحساسُ غائبٌ تمامًا عن ملف غير المخوَّل (فحصُ محتوى الملف من الخادم).</t>
  </si>
  <si>
    <t xml:space="preserve">excel.php يسجّل الاطّلاعَ الحساس ثم يستدعي export الذي يبثّ كلَّ أعمدة التعريف؛ لا ترشيحَ أعمدةٍ في ExcelService ولا في Exporter، والدستور §٤-٢/٧ يمنع صراحةً تصديرَ أعمدةٍ غيرِ مسموحة ويطلب فحصَ محتوى الملف.</t>
  </si>
  <si>
    <t xml:space="preserve">INJ-0044</t>
  </si>
  <si>
    <t xml:space="preserve">EN-04 · الملكيةُ مئةٌ بالضبط (٧-١ الأحكامُ الخمسةُ الحاكمةُ للهوية)</t>
  </si>
  <si>
    <t xml:space="preserve">حصص الملكية في الأصول</t>
  </si>
  <si>
    <t xml:space="preserve">http://localhost/ems/Financing/owners_registry.php</t>
  </si>
  <si>
    <t xml:space="preserve">ثالثًا: الأعيان والحصص</t>
  </si>
  <si>
    <t xml:space="preserve">«مجموعُ حصص ملكية كلِّ كيانٍ مملوكٍ مئةٌ بالمئة بالضبط في كل لحظة. وحصةُ البائع تُنهى وحصةُ المشتري تُفتح بالتاريخ نفسِه… والقيدُ نفسُه الذي يسري على حصص الأصول — فلا فجوةَ ولا تراكب».</t>
  </si>
  <si>
    <t xml:space="preserve">لا شاشةَ تُنشئ حصةَ ملكيةٍ عبر الحارس؛ ومسارُ النقل الوحيد (asset_disposal.php) خامٌّ لكنه يحفظ المجموعَ ويُلزم مستندًا — فالخللُ غيابُ بابِ الإنشاء لا انهيارُ قاعدة المئة. — [مُصحَّح بعد التحقق] الصياغة الأولى: الدالةُ التي تفرض القيدَ موجودة: FinancingService::applyShares تتحقق من مجموعِ ١٠٠٪ بالضبط (السطران 62-67) ومن عدم التراكب (الأسطر 78-98) وتشترط مستندًا للانتقال (السطر 71). لكنها لا تُستدعى من أي شاش</t>
  </si>
  <si>
    <t xml:space="preserve">حكمٌ دستوريٌّ مُنفَّذٌ في الشيفرة ولا يمرّ به أحد: لا توجد شاشةٌ تنشئ حصةَ ملكيةٍ عبر الحارس، فتبقى asset_ownership_shares تُملأ من البذور ومن Financing/asset_disposal.php الخام. ولا يمكن إثباتُ «Σ = 100 بالضبط» لأي أصل.</t>
  </si>
  <si>
    <t xml:space="preserve">بُنيت الخدمةُ بحرّاسها ولم تُبنَ لها واجهة؛ وشاشةُ «حصص الملكية في الأصول» المعلَنةُ في الوثيقة (shares.php) نُفِّذت كعرضٍ فقط في owners_registry.php.</t>
  </si>
  <si>
    <t xml:space="preserve">app/Services/Financing/FinancingService.php:47,63,71,115; Financing/asset_disposal.php:25-64; Financing/financing_operation_new.php:38,56</t>
  </si>
  <si>
    <t xml:space="preserve">١) بدور ٢٦ ابحث عن شاشةٍ لإضافة حصةِ ملكيةٍ لأصل → لا توجد (owners_registry عرضٌ فقط). ٢) ابحث في الشيفرة عن مستدعٍ لـapplyShares → صفر. ٣) استعلم SUM(percent) لأصلٍ بذَره النظام → قد يخالف ١٠٠.</t>
  </si>
  <si>
    <t xml:space="preserve">أنشئ شاشةَ Financing/shares.php (إضافة/تعديل حصص) تستدعي FinancingService::applyShares حصرًا، واربطها في سايدبار دور ٢٦ ضمن «ثالثًا: الأعيان والحصص»؛ وأضِف تقريرًا يوميًّا يرصد أي أصلٍ مجموعُ حصصه النافذة ≠ ١٠٠.</t>
  </si>
  <si>
    <t xml:space="preserve">إضافةُ حصةٍ تجعل المجموعَ ٩٩ أو ١٠١ تُرفض 422 برسالة الفارق؛ واستعلامٌ يوميٌّ يُظهر صفرَ أصلٍ مجموعُه ≠ ١٠٠.</t>
  </si>
  <si>
    <t xml:space="preserve">أكّدتُ: applyShares (FinancingService.php:47-150) بلا نداءٍ إنتاجيٍّ واحد (النداءان في financing_operation_new.php:38,56 لـcreateOperation/generateInstallments، والباقي في tests/seeds). لكن مسارَ Financing/asset_disposal.php:42-59 يحفظ Σ بالبناء (يُغلق الحصةَ ويكتب الباقيَ والمنقولَ) ويُلزم doc_ref ويرفض تجاوزَ الحصة — فقولُ «لا يمكن إثباتُ Σ=100» مبالغ. الفجوةُ الحقيقيةُ: لا شاشةَ إنشاءِ حصةٍ إطلاقًا.</t>
  </si>
  <si>
    <t xml:space="preserve">INJ-0045</t>
  </si>
  <si>
    <t xml:space="preserve">EN-04 · الملكيةُ مئةٌ بالضبط — «فلا فجوةَ ولا تراكب»</t>
  </si>
  <si>
    <t xml:space="preserve">التصرف في الأصل (نقل/بيع حصة)</t>
  </si>
  <si>
    <t xml:space="preserve">http://localhost/ems/Financing/asset_disposal.php</t>
  </si>
  <si>
    <t xml:space="preserve">«وحصةُ البائع تُنهى وحصةُ المشتري تُفتح بالتاريخ نفسِه» و«يمنع فجوةً أو تراكبًا في التواريخ»؛ واختبارُ الحكم: «ابحث عن فترتين متراكبتين لنفس الحصة = صفر».</t>
  </si>
  <si>
    <t xml:space="preserve">معالجُ النقل يغلق الحصةَ القديمةَ بـvalid_to = CURDATE() (السطر 42) ويفتح حصتَي الباقي والمشتري بـvalid_from = CURDATE() (السطران 49 و57). ومعيارُ السريان المستعملُ في القراءة هو (valid_to IS NULL OR valid_to &gt;= CURDATE())، فالصفوفُ الثلاثةُ كلُّها ساريةٌ في يوم النقل: المجموعُ في ذلك اليوم = القديمة + الباقي + المنقولة = ضعفُ الحصة الأصلية.</t>
  </si>
  <si>
    <t xml:space="preserve">في يوم كل عملية نقلِ ملكيةٍ يتضاعف مجموعُ الحصص لذلك الأصل فيتجاوز ١٠٠٪؛ وأي احتسابٍ يعتمد الحصص في ذلك اليوم (توزيعُ الإهلاك في DepreciationService:364 · توزيعُ تكلفة التمويل) يخرج بأرقامٍ مضاعَفة.</t>
  </si>
  <si>
    <t xml:space="preserve">أُغلقت الحصةُ القديمةُ بتاريخ اليوم بدل اليوم السابق، وهو ما تتجنبه FinancingService::applyShares بمعامل closePrevious وفحصِ التراكب الذي لا يمرّ به هذا المسار.</t>
  </si>
  <si>
    <t xml:space="preserve">Financing/asset_disposal.php:42; :46-52; :53-58; app/Services/Finance/DepreciationService.php:367; app/Services/Financing/FinancingService.php:77-98</t>
  </si>
  <si>
    <t xml:space="preserve">١) اختر أصلًا مجموعُ حصصه ١٠٠. ٢) من Financing/asset_disposal.php انقل ٤٠٪ إلى كيانٍ آخر بمرجع قرار. ٣) نفّذ SELECT SUM(percent) FROM asset_ownership_shares WHERE asset_id=? AND valid_from&lt;=CURDATE() AND (valid_to IS NULL OR valid_to&gt;=CURDATE()) → ١٤٠ لا ١٠٠.</t>
  </si>
  <si>
    <t xml:space="preserve">استبدل منطقَ Financing/asset_disposal.php بنداءٍ واحدٍ لـFinancingService::applyShares مع closePrevious = تاريخ اليوم السابق، أو أصلِح السطر 42 إلى valid_to = DATE_SUB(CURDATE(), INTERVAL 1 DAY) وأضِف فحصَ التراكب قبل الالتزام.</t>
  </si>
  <si>
    <t xml:space="preserve">بعد نقل حصةٍ: SUM(percent) للأصل في يوم النقل وفي اليوم التالي = ١٠٠ بالضبط؛ وصفرُ فترتين متراكبتين لنفس (الأصل × الممول).</t>
  </si>
  <si>
    <t xml:space="preserve">asset_disposal.php يغلق الحصةَ القديمةَ بـvalid_to=CURDATE() (سطر 42) ويفتح الباقيَ والمنقولَ بـvalid_from=CURDATE() (52 و58)، ومعيارُ القراءة في DepreciationService:367 وFinancingService:31 شاملٌ (valid_to &gt;= onDate) — فالثلاثةُ سارياتٌ في يوم النقل والمجموع يتجاوز 100٪؛ والخدمةُ المنظَّمة FinancingService::applyShares تحوي فحصَ التداخل (سطر 77-98) ولا تُستدعى هنا.</t>
  </si>
  <si>
    <t xml:space="preserve">INJ-0046</t>
  </si>
  <si>
    <t xml:space="preserve">PR-01 · مصدرُ الحقيقة الواحد — مسارا سدادٍ متباعدان لنفس الفعل</t>
  </si>
  <si>
    <t xml:space="preserve">الأقساط ومواعيد السداد</t>
  </si>
  <si>
    <t xml:space="preserve">http://localhost/ems/Financing/installments.php</t>
  </si>
  <si>
    <t xml:space="preserve">رابعًا: الأقساط والتكلفة</t>
  </si>
  <si>
    <t xml:space="preserve">«لكل بيانٍ موضعٌ واحدٌ يُنشأ فيه ويُعدَّل» — والخدمةُ FinancingService::payInstallment هي المنفّذُ المعتمدُ لسداد القسط («يُثبَّت سعر يوم السداد… وينقص الرصيد»).</t>
  </si>
  <si>
    <t xml:space="preserve">الشاشةُ تنفّذ السدادَ بـSQL خامٍّ في الأسطر 37-43 ولا تستدعي payInstallment: فلا يُكتب fx_rate_at_payment ولا functional_equivalent، ولا تنتقل العمليةُ إلى الحالة 'settled' عند بلوغ الرصيد صفرًا (وهو ما تفعله الخدمةُ في السطر 284). ومنطقُ إعادة حساب الرصيد مختلفٌ أيضًا: الشاشةُ تحسب capital − Σ المسدَّد أصلًا، والخدمةُ تنقص amount_total من الرصيد القائم.</t>
  </si>
  <si>
    <t xml:space="preserve">منطقان مختلفان لحساب الرصيد القائم على العملية نفسِها؛ والسدادُ من الشاشة يترك العمليةَ نشطةً إلى الأبد ولا يثبّت سعرَ الصرف يومَ السداد، فيسقط حسابُ فروق الصرف المحققة كلُّه.</t>
  </si>
  <si>
    <t xml:space="preserve">نُفِّذت الشاشةُ قبل الخدمة أو بالتوازي معها ولم تُهاجَر إليها، فبقي مساران للفعل الواحد.</t>
  </si>
  <si>
    <t xml:space="preserve">Financing/installments.php:37; Financing/installments.php:40; app/Services/Financing/FinancingService.php:267; app/Services/Financing/FinancingService.php:271; app/Services/Financing/FinancingService.php:284</t>
  </si>
  <si>
    <t xml:space="preserve">١) سدّد آخرَ قسطٍ في عمليةٍ من Financing/installments.php. ٢) افحص الصفَّ → fx_rate_at_payment و functional_equivalent فارغان. ٣) افحص العملية → state ما زالت 'active' رغم أن الرصيد صفر.</t>
  </si>
  <si>
    <t xml:space="preserve">استبدل كتلةَ SQL في Financing/installments.php:36-45 بنداءٍ واحدٍ لـFinancingService::payInstallment مع تمرير سعر الصرف يوم السداد والمعادل الوظيفي، واحذف إعادةَ حساب الرصيد المحلية.</t>
  </si>
  <si>
    <t xml:space="preserve">سدادُ القسط الأخير ينقل العمليةَ إلى 'settled' ويثبّت سعرَ الصرف والمعادلَ في الصف؛ ونتيجةُ الرصيد من الشاشة تطابق نتيجةَ الخدمة.</t>
  </si>
  <si>
    <t xml:space="preserve">الشاشةُ تسدّد بـSQL خامٍّ (37-45) ولا تستدعي FinancingService::payInstallment — وبحثٌ في المستودع كلِّه لا يُظهر لها مستدعيًا إنتاجيًّا (تُستدعى في tests/n15_financing_ownership_test.php فقط)، فلا fx_rate_at_payment ولا انتقالَ إلى settled ومنطقُ الرصيدِ مختلف.</t>
  </si>
  <si>
    <t xml:space="preserve">INJ-0047</t>
  </si>
  <si>
    <t xml:space="preserve">AR-02 · التكاملُ بالأحداث لا بالنداء — «يمنع حدثًا بلا عقدٍ خماسي»</t>
  </si>
  <si>
    <t xml:space="preserve">عمليات التمويل</t>
  </si>
  <si>
    <t xml:space="preserve">http://localhost/ems/Financing/financing_board.php</t>
  </si>
  <si>
    <t xml:space="preserve">ثانيًا: عملية التمويل</t>
  </si>
  <si>
    <t xml:space="preserve">«تتصل الإداراتُ بأحداثٍ منشورةٍ يستهلكها من يعنيه. ولكل حدثٍ عقدٌ خماسيّ»، والإداراتُ المتأثرةُ بالتمويل خمس.</t>
  </si>
  <si>
    <t xml:space="preserve">مفتاحُ حدثٍ واحدٌ فقط معرَّفٌ في نطاق التمويل كلِّه هو financing.installment.due في FinancingService.php:247، والدالةُ التي تنشره (publishInstallmentDue) بلا أي مستدعٍ في المستودع. أفعالُ الإدارة الأخرى — إنشاءُ عملية · ربطُ عين · نقلُ حصة · سدادُ قسط · إغلاقُ انحراف — لا تنشر شيئًا.</t>
  </si>
  <si>
    <t xml:space="preserve">إدارةُ التمويل والملكية لا تنشر حدثًا واحدًا في النظام الحيّ؛ فلا الأسطولُ يعلم بتغيّر ملكية أصله، ولا الماليةُ تعلم بالتزامٍ جديدٍ أو قسطٍ مستحق، ولا الحوكمةُ ترصد نقلَ ملكيةٍ يتطلب كسرَ زجاج.</t>
  </si>
  <si>
    <t xml:space="preserve">نُفِّذت الأفعالُ ككتاباتٍ مباشرةٍ في جداول الإدارة ولم تُلحَق بناقل الأحداث إلا في دالةٍ واحدةٍ لم تُوصل بواجهة.</t>
  </si>
  <si>
    <t xml:space="preserve">app/Services/Financing/FinancingService.php:235; :246-247; Financing/installments.php:36-45</t>
  </si>
  <si>
    <t xml:space="preserve">١) نفّذ كلَّ أفعال التمويل (إنشاء عملية · سداد قسط · نقل حصة · إغلاق انحراف). ٢) استعلم جدولَ الأحداث عن أي مفتاحٍ يبدأ بـfinancing. → صفر.</t>
  </si>
  <si>
    <t xml:space="preserve">أضِف نشرًا لأربعة أحداثٍ بعقدها الخماسيِّ عبر EventPublisher: financing.operation.created · financing.asset.linked · ownership.share.transferred · financing.installment.paid، بمفاتيح عطالةٍ مركَّبة، وسجّل مستهلكيها في المالية والأسطول والحوكمة.</t>
  </si>
  <si>
    <t xml:space="preserve">كلُّ فعلٍ تمويليٍّ ينشر حدثًا واحدًا بمفتاحه؛ وإيقافُ إدارةٍ مستهلِكةٍ يملأ الطابور ولا يوقف المنتِج.</t>
  </si>
  <si>
    <t xml:space="preserve">مفتاحٌ واحدٌ فقط (financing.installment.due) في نطاق التمويل، وناشرُه بلا مستدعٍ إنتاجي؛ وسدادُ القسط يحدّث جداولَ التمويل مباشرةً بلا حدثٍ ولا قيدٍ ماليّ.</t>
  </si>
  <si>
    <t xml:space="preserve">INJ-0048</t>
  </si>
  <si>
    <t xml:space="preserve">INJAZ-FRD-01 §١٠-٤ · شاشاتُها — «الخروج غير المسجَّل من الملكية (fin_exit.php)»</t>
  </si>
  <si>
    <t xml:space="preserve">الخروج غير المسجَّل من الملكية</t>
  </si>
  <si>
    <t xml:space="preserve">http://localhost/ems/Financing/deviations.php</t>
  </si>
  <si>
    <t xml:space="preserve">خامسًا: الانحراف والتصحيح</t>
  </si>
  <si>
    <t xml:space="preserve">تعلن الوثيقةُ ثلاثَ شاشاتِ انحرافٍ مستقلة: «فروق السداد والاستحقاق» (fin_variance.php) و«الخروج غير المسجَّل من الملكية» (fin_exit.php) و«عقود تمويل بلا حركة» (fin_idle.php)، ولكلٍّ أعمدتُها وفعلُها.</t>
  </si>
  <si>
    <t xml:space="preserve">الثلاثةُ مدمجةٌ في شاشةٍ واحدةٍ هي Financing/deviations.php، والسايدبارُ يعرضها أربعَ مراتٍ بأربعة عناوينَ ومِراسٍ لا وجودَ لها في الملف (#n9g13i1 · #n9g14i1 · #n9g15i1). والأخطر: صنفُ «الخروج غير المسجَّل» (unrecorded_exit) معرَّفٌ في خريطة الأنواع (السطر 64) ولا يوجد أي كاشفٍ يولّد صفوفَه — الكاشفان المنفَّذان اثنان فقط: no_movement (السطر 40) و payment_gap (السطر 50).</t>
  </si>
  <si>
    <t xml:space="preserve">أحدُ الانحرافات الثلاثة التي تعلنها الإدارةُ لا يُرصد أبدًا: خروجُ أصلٍ من الملكية بلا تسجيلٍ يبقى غيرَ مكتشَفٍ إلى الأبد، وهو أخطرُ الثلاثة لأنه فقدُ أصلٍ من الدفاتر. والشاشةُ تظهر أربعَ مراتٍ فتوهم بوجود أربع شاشات.</t>
  </si>
  <si>
    <t xml:space="preserve">دُمجت الشاشاتُ الثلاثُ في واحدةٍ ونُفِّذ كاشفان من ثلاثة، وأُبقيت الظهوراتُ الأربعةُ بمِراسٍ صورية.</t>
  </si>
  <si>
    <t xml:space="preserve">Financing/deviations.php:40; :50; :64; database/schema/seed_reference.sql:4899-4902</t>
  </si>
  <si>
    <t xml:space="preserve">١) بدور ٢٦ افتح مجموعة «خامسًا: الانحراف والتصحيح» → أربعةُ روابطَ لملفٍ واحد. ٢) انقر «الخروج غير المسجَّل من الملكية» → الشاشةُ نفسُها بلا تمرير. ٣) استعلم financing_deviations WHERE dev_type='unrecorded_exit' → صفر أبدًا.</t>
  </si>
  <si>
    <t xml:space="preserve">نفّذ كاشفَ unrecorded_exit في Financing/deviations.php (مقارنةُ asset_ownership_shares بحالة الأصل في equipments وبوثائق النقل)، أو استدعِ FinancingService::deviationSweep الذي يغطي الأصنافَ الثلاثة؛ واحذف الظهوراتِ الثلاثةَ الوهميةَ من nav_items واكتفِ بظهورٍ واحدٍ بمرشِّحٍ حقيقي (?type=).</t>
  </si>
  <si>
    <t xml:space="preserve">أصلٌ خرج من الملكية بلا مستندٍ يظهر صفًّا بصنف unrecorded_exit خلال دورة الرصد؛ والسايدبارُ يعرض ظهورًا واحدًا للشاشة بمرشِّحاتٍ تعمل.</t>
  </si>
  <si>
    <t xml:space="preserve">تحقّقت: أربعةُ صفوفِ nav_items للدور 26 تشير كلُّها إلى Financing/deviations.php بمراسٍ غيرِ موجودةٍ في الملف (صفرُ مطابقةٍ لـn9g13i1/n9g14i1/n9g15i1)، والكاشفان المنفَّذان اثنان فقط بينما `unrecorded_exit` في خريطة الأنواع بلا مولِّد.</t>
  </si>
  <si>
    <t xml:space="preserve">INJ-0049</t>
  </si>
  <si>
    <t xml:space="preserve">INJAZ-FRD-01 §١٠-٣ · المرحلة ٤ «تحميل كلفة | المعتمِد: المالية»</t>
  </si>
  <si>
    <t xml:space="preserve">توزيع تكلفة التمويل على المشاريع</t>
  </si>
  <si>
    <t xml:space="preserve">http://localhost/ems/Financing/cost_allocation.php</t>
  </si>
  <si>
    <t xml:space="preserve">مستندُ المرحلة الرابعة «جدول أقساط · تحميل كلفة» ومعتمِدُها المالية — «ولا مرحلةَ بلا مخرَج».</t>
  </si>
  <si>
    <t xml:space="preserve">الشاشةُ تحسب توزيعَ الربح الشهريِّ على مشاريع الأعيان بحسب الحصص في استعلامٍ واحدٍ (الأسطر 27-40) ولا تكتب شيئًا: صفرُ insert وصفرُ update في الملف كلِّه. ولا سجلَّ تحميلٍ ولا قيدَ ولا حدث. ونصُّ الشاشة نفسِه يقرّ: «والتشغيلُ يرى تكلفةً محمَّلةً بلا مصدر» (السطر 60).</t>
  </si>
  <si>
    <t xml:space="preserve">مرحلةٌ في دورة التمويل بلا مخرَجٍ مستنديّ: تكلفةُ التمويل تُعرض على الشاشة ولا تُحمَّل على أي مشروعٍ في الدفاتر، فتظهر ربحيةُ المشاريع أعلى من الحقيقة بمقدار تكلفة تمويل معداتها.</t>
  </si>
  <si>
    <t xml:space="preserve">نُفِّذ الحسابُ عرضًا ولم يُنفَّذ التحميلُ (كتابةُ سجلِّ تكلفةٍ أو قيدٍ) ولا اعتمادُ المالية له.</t>
  </si>
  <si>
    <t xml:space="preserve">Financing/cost_allocation.php:26-40; :60; app/Services/EffectFanout.php:199-233</t>
  </si>
  <si>
    <t xml:space="preserve">١) بدور ٢٦ افتح «توزيع تكلفة التمويل على المشاريع». ٢) لاحظ الأرقامَ المحسوبة. ٣) ابحث عن زرِّ «تحميل»/«اعتماد» → لا يوجد. ٤) افتح «التكاليف والربحية بالمركز» → لا سجلَّ تكلفةِ تمويل.</t>
  </si>
  <si>
    <t xml:space="preserve">أضِف في Financing/cost_allocation.php فعلَ «تحميل الشهر» يُنشئ صفوفَ fin_cost_records بنوع cost_type='financing' لكل مشروعٍ بحصته مع مفتاح عطالةٍ (op × project × period)، ويشترط اعتمادَ المالية، وينشر حدثًا.</t>
  </si>
  <si>
    <t xml:space="preserve">تحميلُ شهرٍ ينشئ سجلَّ تكلفةٍ لكل مشروعٍ بحصته يظهر في تقرير الربحية؛ وإعادةُ التحميل للشهر نفسِه لا تنشئ صفوفًا ثانية.</t>
  </si>
  <si>
    <t xml:space="preserve">Financing/cost_allocation.php صفرُ INSERT/UPDATE في الملف كلِّه: استعلامُ عرضٍ واحدٌ (27-40) وجدولٌ يُطبع؛ ولا يوجد في المستودع أيُّ كاتبٍ لـfin_cost_records بنوع 'financing' (كلُّ كتابات EffectFanout بأنواع equipment/project/maintenance).</t>
  </si>
  <si>
    <t xml:space="preserve">INJ-0050</t>
  </si>
  <si>
    <t xml:space="preserve">§٢٧ · الحقلُ الحساس — «لا يُعرض ولا يُصدَّر إلا بمنحٍ فردي» · INJAZ-FRD-01 §١٠-١</t>
  </si>
  <si>
    <t xml:space="preserve">شاشات المجال المقيَّد الستّ</t>
  </si>
  <si>
    <t xml:space="preserve">«تمويلُ الأصول وإدارةُ ملكيتها بسريةٍ لا يُطّلع عليها إلا بصلاحيةٍ فردية»، والحارسُ المعتمدُ هو app/Core/OwnershipDomainGuard الذي يشترط (الشركة × الشخص × كودَ الصلاحية × نافذةَ السريان) — «فالبوابةُ الوحيدةُ لقراءة بيانات ملكية المعدات».</t>
  </si>
  <si>
    <t xml:space="preserve">أيُّ منحةٍ نشطةٍ بأيِّ permission_code وفي أيِّ كيان — أو الدورُ 26 — تفتح الشاشاتِ الستَّ كلَّها وتتجاهل valid_from/valid_to؛ والبياناتُ نفسُها تبقى معزولةً بـcompany_id. — [مُصحَّح بعد التحقق] الصياغة الأولى: ستُّ شاشاتٍ تتجاوز الحارسَ باستعلامٍ خامٍّ واحد: SELECT 1 FROM ownership_access_grants WHERE person_id = $uid AND state = 'active' LIMIT 1 — بلا company_id، وبلا permission_code، وبلا نافذةِ سريان. ال</t>
  </si>
  <si>
    <t xml:space="preserve">أيُّ منحةٍ من الأكواد الثلاثة (ولو أضعفُها owner_view) تفتح كلَّ شاشات المجال المقيَّد بما فيها الأقساط والتصرف في الحصص؛ والمنحةُ المنتهيةُ صلاحيتُها (valid_to في الماضي) تبقى نافذة؛ والأخطر: المنحةُ في الشركة (أ) تفتح الشاشةَ في جلسةِ الشركة (ب) لأن الاستعلامَ بلا company_id — وهو تسربٌ عابرٌ للكيانات يخالف PR-02.</t>
  </si>
  <si>
    <t xml:space="preserve">نُفِّذ الحارسُ المركزيُّ (OwnershipDomainGuard) واستُعمل في ثلاث شاشاتٍ فقط، ونُسخ فحصٌ مبسَّطٌ خاطئٌ في الستِّ الباقية.</t>
  </si>
  <si>
    <t xml:space="preserve">Financing/owners_registry.php:19; :32; app/Core/OwnershipDomainGuard.php:38-45; database/schema/schema.sql:7238-7252</t>
  </si>
  <si>
    <t xml:space="preserve">١) امنح مستخدمًا في الشركة ٤ منحةَ ownership.owner_view بمدةٍ منتهيةٍ (valid_to بالأمس). ٢) ادخل به وافتح Financing/installments.php → تُفتح رغم انتهاء المنحة. ٣) بدّل شركةَ الجلسة إلى شركةٍ أخرى وافتح الشاشةَ نفسَها → تُفتح أيضًا.</t>
  </si>
  <si>
    <t xml:space="preserve">استبدل الاستعلامَ الخامَّ في الملفات الستة بـOwnershipDomainGuard::hasGrant($conn,$company_id,$uid,$permCode) بالكود المناسب لكل شاشة، وأضِف تسجيلَ الاطّلاع عبر logRead؛ واحذف أي مسارٍ يقرأ ownership_access_grants خارج الحارس.</t>
  </si>
  <si>
    <t xml:space="preserve">منحةٌ منتهيةٌ أو منحةٌ في شركةٍ أخرى لا تفتح أيًّا من الشاشات الستّ (403 مسجَّلة)؛ وبحثُ ownership_access_grants خارج OwnershipDomainGuard يعيد صفرَ نتيجة.</t>
  </si>
  <si>
    <t xml:space="preserve">الأسطرُ صحيحةٌ في الملفات الستة: `SELECT 1 FROM ownership_access_grants WHERE person_id=$uid AND state='active'` بلا company_id ولا permission_code ولا نافذةِ سريان، مقابل OwnershipDomainGuard::hasGrant (سطر 38-45) الذي يفحص الثلاثةَ معًا؛ لكنَّ الاستعلاماتِ الحاملةَ للبيانات مقيَّدةٌ بـcompany_id (owners_registry.php:32) والرفضُ يُنهي التنفيذ — فالخللُ اتّساعُ نطاقِ المنحة (منحةٌ منتهيةٌ أو بكودٍ آخرَ تفتح الشاشاتِ الستَّ) لا انفتاحُها لكلِّ مستخدم.</t>
  </si>
  <si>
    <t xml:space="preserve">INJ-0051</t>
  </si>
  <si>
    <t xml:space="preserve">§٢٧ · الحقلُ الحساس · INJAZ-FRD-01 §١٠-٣ المرحلة ٦ «سرية الملكية»</t>
  </si>
  <si>
    <t xml:space="preserve">الملكية والملّاك (ملّاك الأسطول / حصص الملكية)</t>
  </si>
  <si>
    <t xml:space="preserve">«الحقلُ الحساس | حقلٌ لا يُعرض ولا يُصدَّر إلا بمنحٍ فردي»، ولكل كودٍ حقولُه: ownership.owner_view لاسم المالك وهاتفه · ownership.purchase_value لقيمة الشراء.</t>
  </si>
  <si>
    <t xml:space="preserve">الحارسُ خشنٌ (أيُّ منحةٍ نافذة + الدورُ 26 بلا منحةٍ أصلًا)، وأعمدةُ owner_view تُصيَّر بلا filterColumns، وسطرُ الاطّلاع يُكتب في action_execution_log بدل sensitive_read_log. — [مُصحَّح بعد التحقق] الصياغة الأولى: الشاشةُ تختار r.actual_owner_name و r.owner_type — وهما مصنَّفتان في OwnershipDomainGuard::GUARDED_COLUMNS تحت ownership.owner_view — بعد فحصٍ عامٍّ لا يميّز الأكواد (أي منحةٍ نافذةٍ تكفي، السطر 19). </t>
  </si>
  <si>
    <t xml:space="preserve">أشدُّ حقول النظام سريةً (أسماءُ ملّاك المعدات) تُعرض لمن لا يملك كودَها، وسجلُّ الاطّلاع يُكتب في القناة الخطأ فلا يظهر في تقارير الاطّلاع الحساس؛ فينهار عقدُ السرية الذي تقوم عليه الإدارةُ كلُّها.</t>
  </si>
  <si>
    <t xml:space="preserve">الحارسُ نُفِّذ على مستوى «هل له أي منحة» لا على مستوى «هل له كودُ هذا الحقل»، ولم تُمرَّر الصفوفُ عبر filterColumns.</t>
  </si>
  <si>
    <t xml:space="preserve">Financing/owners_registry.php:17-22,25,30-34; app/Core/OwnershipDomainGuard.php:23-33,94-109,136-150</t>
  </si>
  <si>
    <t xml:space="preserve">١) امنح مستخدمًا ownership.finance_terms فقط. ٢) افتح Financing/owners_registry.php. ٣) لاحظ ظهورَ عمود «مرجع التفويض/اسم المالك». ٤) ابحث في sensitive_read_log → لا سطر (السطرُ في action_execution_log).</t>
  </si>
  <si>
    <t xml:space="preserve">في Financing/owners_registry.php استدعِ OwnershipDomainGuard::hasGrant لكل كودٍ على حِدة، ومرِّر $rows عبر OwnershipDomainGuard::filterColumns قبل التصيير، واستبدل الكتابةَ في action_execution_log (السطر 25) بـlogRead في sensitive_read_log.</t>
  </si>
  <si>
    <t xml:space="preserve">حاملُ finance_terms وحدَه لا يرى اسمَ المالك في جسم الاستجابة؛ وكلُّ فتحٍ للشاشة يكتب سطرًا في sensitive_read_log بالكود المقروء.</t>
  </si>
  <si>
    <t xml:space="preserve">صحيحٌ بالكامل عند الأسطر: :19 يقبل أيَّ منحةٍ نافذةٍ بلا تمييزِ كود (SELECT 1 … WHERE person_id=$uid AND state='active')، و:25 يكتب في action_execution_log لا sensitive_read_log، و:30 يختار actual_owner_name/owner_type المصنَّفَين ownership.owner_view بلا filterColumns. وأشدُّ مما ذُكر: الدورُ 26 يمرّ بلا أيِّ منحة. لكن الجمهورَ محصورٌ سلفًا في حاملي منحةِ المجال المقيَّد، فهو تسرّبٌ بين أكوادِ منحٍ لا بين إدارات.</t>
  </si>
  <si>
    <t xml:space="preserve">INJ-0052</t>
  </si>
  <si>
    <t xml:space="preserve">PR-05 · الحارسُ في الخادم · ▐ ١١-٩ سجلاتُ التدقيق · AR-04 مفتاحُ منع التكرار</t>
  </si>
  <si>
    <t xml:space="preserve">كلُّ فعلٍ ذي أثرٍ يحمل رمزَ حمايةٍ وسطرَ تدقيقٍ ومفتاحَ عطالةٍ وفعلَ عكس (CORE-01 ٩-٢ العقدُ السداسي).</t>
  </si>
  <si>
    <t xml:space="preserve">معالجُ السداد (الأسطر 27-48) بلا رمزِ حمايةٍ (لا verify_csrf_token) وبلا سطرِ تدقيقٍ (لا ems_audit_change) وبلا مفتاحِ عطالةٍ وبلا فعلِ عكسٍ (لا سبيلَ لإلغاء سدادٍ سُجِّل خطأً). والحمايةُ الوحيدةُ من التكرار شرطُ الحالة state IN ('due','pending') في السطر 34.</t>
  </si>
  <si>
    <t xml:space="preserve">سدادُ قسطٍ — وهو إقرارٌ بخروج مالٍ — يمكن تنفيذُه بطلبٍ مزوَّرٍ ولا يترك أثرًا يُبيّن من سجّله، ولا يمكن عكسُه إذا سُجِّل على القسط الخطأ إلا بتعديلٍ في القاعدة.</t>
  </si>
  <si>
    <t xml:space="preserve">المعالجُ كُتب بـSQL خامٍّ خارج طبقة الخدمة، فلم يرث حرّاسَها ولا تدقيقَها.</t>
  </si>
  <si>
    <t xml:space="preserve">Financing/installments.php:26; :34; :36-38; :44</t>
  </si>
  <si>
    <t xml:space="preserve">١) سجّل الدخولَ بدور ٢٦. ٢) أرسل POST من صفحةٍ خارجيةٍ بحقلَي pay_inst و payment_ref. ٣) لاحظ تسجيلَ السداد. ٤) ابحث عن سطر تدقيق → لا يوجد. ٥) ابحث عن زرِّ إلغاء السداد → لا يوجد.</t>
  </si>
  <si>
    <t xml:space="preserve">أضِف verify_csrf_token في Financing/installments.php:27، و ems_audit_change بعد نجاح المعاملة، ومفتاحَ عطالةٍ فريدًا على (op_id, seq_no, payment_ref)، وفعلَ عكسٍ يستدعي ReverseService وينشئ صفَّ إلغاءٍ يشير إلى السداد الأصلي.</t>
  </si>
  <si>
    <t xml:space="preserve">POST بلا رمزٍ صالحٍ يُرفض؛ وكلُّ سدادٍ يترك سطرَ تدقيق؛ وعكسُ سدادٍ ينشئ صفًّا جديدًا ويُبقي الأصل.</t>
  </si>
  <si>
    <t xml:space="preserve">معالجُ السداد (الأسطر 26-48) لا يحوي verify_csrf_token ولا ems_audit_change ولا مفتاحَ عطالةٍ ولا فعلَ عكس، ولا يسجّل حتى هويةَ المُسدِّد في صفّ القسط — والحمايةُ الوحيدةُ شرطُ الحالة في السطر 34.</t>
  </si>
  <si>
    <t xml:space="preserve">INJ-0053</t>
  </si>
  <si>
    <t xml:space="preserve">RB-03 · السقفُ يُفحص عند الاعتماد (٨-١ الأحكامُ الستةُ الحاكمةُ للصلاحيات)</t>
  </si>
  <si>
    <t xml:space="preserve">إنشاء عملية تمويل</t>
  </si>
  <si>
    <t xml:space="preserve">http://localhost/ems/Financing/financing_operation_new.php</t>
  </si>
  <si>
    <t xml:space="preserve">«لكل دورٍ يعتمد سقفٌ ماليٌّ وكميّ. ويُفحص عند كل اعتمادٍ… فالمستندُ فوق السقف يُرفض ويُرفع لمن يعلوه. ومرجعُ التفويض يُسجَّل مع كل اعتماد»؛ وINJAZ-FRD-01 §١٠-٣ يجعل معتمِدَ عقد التمويل «المخوَّل بسقفه».</t>
  </si>
  <si>
    <t xml:space="preserve">FinancingService::createOperation (الأسطر 165-202) يتحقق من النموذج والمعالجة المحاسبية والحقول الإلزامية ثم يُدرج العمليةَ مباشرةً بحالة 'active' — بلا أي فحصِ سقفٍ ماليٍّ للدور، وبلا مرجعِ تفويض، وبلا سلسلةِ اعتماد، وبلا سطرِ تدقيقٍ أو حدثٍ منشور. والشاشةُ تكتفي بمنحة ownership.finance_terms (السطر 26).</t>
  </si>
  <si>
    <t xml:space="preserve">عقدُ تمويلٍ برأسِ مالٍ غيرِ محدودٍ يصير نافذًا (state='active') بضغطةٍ واحدةٍ من حاملِ منحةٍ فردية، بلا سقفٍ ولا اعتمادٍ أعلى ولا أثرٍ تدقيقيٍّ يبيّن بأي صفةٍ اعتُمد.</t>
  </si>
  <si>
    <t xml:space="preserve">لم يُربط إنشاءُ العملية بمحرّك السقوف (app/Core/AuthorityGuard.php) ولا بسلسلة الاعتماد.</t>
  </si>
  <si>
    <t xml:space="preserve">Financing/financing_operation_new.php:26; Financing/financing_operation_new.php:38; app/Services/Financing/FinancingService.php:165; app/Services/Financing/FinancingService.php:180; app/Services/Financing/FinancingService.php:199; app/Core/AuthorityGuard.php:1</t>
  </si>
  <si>
    <t xml:space="preserve">١) بحساب له منحة finance_terms أنشئ عمليةَ تمويلٍ برأس مالٍ ضخم. ٢) لاحظ أنها تُنشأ نافذةً فورًا. ٣) ابحث عن سقفٍ مفحوصٍ أو مرجعِ تفويضٍ في الصف → لا شيء.</t>
  </si>
  <si>
    <t xml:space="preserve">في FinancingService::createOperation أضِف قبل الإدراج فحصَ سقف الدور عبر AuthorityGuard بمبلغ capital، وأنشئ العمليةَ بحالة 'pending_approval' إن تجاوزت السقف مع تصعيدٍ لمن يعلوه، وسجّل approver_capacity و delegation_ref و ems_audit_change عند الاعتماد.</t>
  </si>
  <si>
    <t xml:space="preserve">إنشاءُ عمليةٍ فوق سقف الدور لا يجعلها نافذةً بل معلَّقةً بتصعيدٍ لمن يعلوه؛ وكلُّ عمليةٍ نافذةٍ تحمل مرجعَ تفويضِ معتمِدها.</t>
  </si>
  <si>
    <t xml:space="preserve">createOperation (165-202) يُدرج بحالة 'active' بعد فحص النموذج والحقول فقط: لا AuthorityGuard ولا سقفَ ولا مرجعَ تفويضٍ ولا حدثَ ولا سطرَ تدقيق، والشاشةُ تكتفي بمنحة ownership.finance_terms (السطر 26).</t>
  </si>
  <si>
    <t xml:space="preserve">INJ-0054</t>
  </si>
  <si>
    <t xml:space="preserve">PR-01 · مصدرُ الحقيقة الواحد — «وكلُّ عرضٍ آخرَ له قراءةٌ لا نسخة»</t>
  </si>
  <si>
    <t xml:space="preserve">الخصومات والجزاءات</t>
  </si>
  <si>
    <t xml:space="preserve">http://localhost/ems/Workforce/deductions.php</t>
  </si>
  <si>
    <t xml:space="preserve">خامسًا: الخصومات والسلف</t>
  </si>
  <si>
    <t xml:space="preserve">«◆ ما تملكه الموارد البشرية: … الخصوماتِ · المسيّر» — والخصمُ المعتمدُ مدخلٌ إلى المسيّر (INJAZ-FRD-01 §١١-٣ المرحلة ٥: «قرار خصم معتمد»).</t>
  </si>
  <si>
    <t xml:space="preserve">الخصمُ المسجَّلُ في الشاشة لا يصل إلى مسيّر الرواتب إطلاقًا (جدولان منفصلان) — أمّا خصومُ المقاصة الآليةُ فتُكتب وتُقرأ من payroll_deductions سليمةً. — [مُصحَّح بعد التحقق] الصياغة الأولى: شاشةُ «الخصومات والجزاءات» تكتب وتقرأ من المخزن البيني scr_deductions عبر cmp03_store_insert/cmp03_store_rows (Workforce/deductions.php:30 · :101 · :108)، بينما محرّكُ المسيّر يقرأ ويكتب جدولًا آخرَ ه</t>
  </si>
  <si>
    <t xml:space="preserve">خصمٌ يُقرَّر ويُعتمد في شاشة الموارد البشرية لا يصل إلى مسيّر الرواتب أبدًا: يُصرف الأجرُ كاملًا ويبقى الخصمُ في جدولٍ لا يقرؤه أحد. وهي أوضحُ قطيعةٍ في سلسلة «قرار خصم → مسيّر → أمر دفع».</t>
  </si>
  <si>
    <t xml:space="preserve">وجّهت موجةُ CMP-03 الشاشةَ إلى المخزن البيني ولم تُوصل بجدول المجال payroll_deductions القائم.</t>
  </si>
  <si>
    <t xml:space="preserve">Workforce/deductions.php:30; :101; includes/cmp03_registry.php:1766-1768; app/Services/Payroll/OffsetService.php:331</t>
  </si>
  <si>
    <t xml:space="preserve">١) بدور ٤ افتح «الخصومات والجزاءات» وسجّل خصمًا لموظفٍ واعتمده. ٢) افتح مسيّرَ الرواتب للفترة نفسِها ونفّذ «المقاصّات». ٣) قارن صافيَ الموظف → الخصمُ غيرُ محتسَب. ٤) استعلم payroll_deductions → لا صف.</t>
  </si>
  <si>
    <t xml:space="preserve">غيّر خريطةَ 'deductions.php' في includes/cmp03_registry.php:1766 لتشير إلى payroll_deductions بأعمدته، أو استبدل معالجَ الحفظ في Workforce/deductions.php:101 بكتابةٍ في payroll_deductions عبر بوابة العزل مع ربطها بدورة المسيّر.</t>
  </si>
  <si>
    <t xml:space="preserve">فريق الباك-إند — وحدة الموارد البشرية</t>
  </si>
  <si>
    <t xml:space="preserve">خصمٌ يُعتمد من الشاشة يظهر في مقاصّات المسيّر للفترة نفسِها ويخفض الصافي بمقداره؛ وصفرُ صفٍّ جديدٍ في scr_deductions.</t>
  </si>
  <si>
    <t xml:space="preserve">الانفصالُ محقَّق: includes/cmp03_registry.php:1766-1768 يربط `deductions.php` بـ`scr_deductions`، ومحرّكُ المسيّر يقرأ ويكتب `payroll_deductions` (PayrollStateMachine.php:325 · OffsetService.php:258/306/331)، ولا قارئَ لـscr_deductions خارج شاشتها؛ غير أن الشاشة معلَنةٌ في رأسها سجلًّا بينيًّا من نمط CMP-03 وللمسيّر مسارُ خصمٍ خاصٌّ به (المقاصة من السلف)، فالأثرُ خصمٌ يدويٌّ لا يبلغ الراتبَ لا انهيارُ المسيّر.</t>
  </si>
  <si>
    <t xml:space="preserve">INJ-0055</t>
  </si>
  <si>
    <t xml:space="preserve">PR-01 · مصدرُ الحقيقة الواحد · PR-09 الواقعُ يُسجَّل ولا يُفترض</t>
  </si>
  <si>
    <t xml:space="preserve">الحضور والانصراف</t>
  </si>
  <si>
    <t xml:space="preserve">http://localhost/ems/Operations/attendance.php</t>
  </si>
  <si>
    <t xml:space="preserve">ثالثًا: الحضور والإجازات</t>
  </si>
  <si>
    <t xml:space="preserve">«◆ ما تملكه الموارد البشرية: … الحضورَ»، ومستندُ المرحلة الثالثة «كشف حضور»؛ و«لكل بيانٍ موضعٌ واحدٌ يُنشأ فيه ويُعدَّل».</t>
  </si>
  <si>
    <t xml:space="preserve">شاشةُ «الحضور والانصراف» تكتب وتقرأ من المخزن البيني scr_attendance (Operations/attendance.php:30 · :95 · :102) بينما جدولُ المجال الحقيقيُّ attendance_days موجودٌ في المخطط ويُقرأ من مسارات أخرى. وبحثٌ عن قارئٍ لـscr_attendance خارج شاشتها يعيد صفرَ نتيجة.</t>
  </si>
  <si>
    <t xml:space="preserve">كشفُ الحضور — مدخلُ احتساب الأجر وأساسُ خصم الغياب — يُدخَل في جدولٍ لا يقرؤه المسيّرُ ولا التايم شيت ولا تقاريرُ الموارد؛ فيصير الحضورُ بيانًا معزولًا لا أثرَ له.</t>
  </si>
  <si>
    <t xml:space="preserve">موجةُ CMP-03 وجّهت الشاشةَ إلى المخزن البيني ولم تُوصل بجدول attendance_days.</t>
  </si>
  <si>
    <t xml:space="preserve">Operations/attendance.php:30; Operations/attendance.php:95; Operations/attendance.php:102; includes/cmp03_registry.php:836; app/Core/TenantRegistry.php:58</t>
  </si>
  <si>
    <t xml:space="preserve">١) بدور ٤ افتح «الحضور والانصراف» وسجّل يومَ غيابٍ لموظف. ٢) شغّل مسارَ الزمن في المسيّر للفترة نفسِها. ٣) لاحظ عدمَ تأثر ساعاتِ الموظف. ٤) استعلم attendance_days → لا صف.</t>
  </si>
  <si>
    <t xml:space="preserve">غيّر خريطةَ 'attendance.php' في includes/cmp03_registry.php:836 لتشير إلى attendance_days، أو استبدل معالجَ الحفظ في Operations/attendance.php:95 بكتابةٍ في attendance_days، واربط مسارَ الزمن في TimePathService بقراءتها.</t>
  </si>
  <si>
    <t xml:space="preserve">يومُ غيابٍ يُسجَّل من الشاشة يظهر في مدخلات الزمن في المسيّر ويخفض الساعاتِ المحتسبة؛ وصفرُ صفٍّ جديدٍ في scr_attendance.</t>
  </si>
  <si>
    <t xml:space="preserve">الأسطر 30 و95 و102 تطابق نصًّا: الشاشةُ تكتب وتقرأ scr_attendance عبر cmp03، وattendance_days هو جدولُ المجال الذي تستعمله AttendanceService؛ وصفرُ قارئٍ لـscr_attendance خارج سجلَّي cmp03/TenantRegistry.</t>
  </si>
  <si>
    <t xml:space="preserve">INJ-0056</t>
  </si>
  <si>
    <t xml:space="preserve">SCN-130-أ · SCN-130-ب · ▐ ١١-٣ — «ومحجوبٍ عنه: اعتمادُ ما أنشأتُه» · INJAZ-FRD-01 §١١-٣ المرحلة ٢</t>
  </si>
  <si>
    <t xml:space="preserve">عقود الموظفين — إنهاء/تسوية العقد</t>
  </si>
  <si>
    <t xml:space="preserve">http://localhost/ems/Employees/employee_contract_actions_handler.php</t>
  </si>
  <si>
    <t xml:space="preserve">مرحلةُ «التعاقد والمباشرة» معتمِدُها «المخوَّلُ ضمن سقفِه — ويُرفع للرئيس التنفيذيِّ إن تجاوز السقفَ أو كان محجوزًا له»، ومحجوبٌ على كلٍّ «اعتمادُ ما أنشأتُه».</t>
  </si>
  <si>
    <t xml:space="preserve">لا سلسلةَ اعتمادٍ إطلاقًا على أفعال العقد السبعة: الفحصُ الوحيدُ ems_guard_handler(...,'edit') في السطر 7 و enforce_module_permission_json($conn,'drivers','edit') في السطر 21. فمن أنشأ العقدَ يجدّده ويسوّيه ويُنهيه بنفسه بلا معتمِدٍ ثانٍ وبلا فحصِ سقف.</t>
  </si>
  <si>
    <t xml:space="preserve">قراراتٌ ذاتُ أثرٍ ماليٍّ وقانونيٍّ (زيادةُ ساعاتٍ متعاقدٍ عليها · إنهاءُ عقد) تقع بيدٍ واحدةٍ بلا اعتمادٍ ولا سقف؛ وهي مدخلُ المسيّر والتصفية.</t>
  </si>
  <si>
    <t xml:space="preserve">لم تُبنَ سلسلةُ اعتمادٍ لأفعال العقد ولم يُستدعَ الحارسُ العامُّ لمنع اعتماد الذات ولا محرّكُ السقوف.</t>
  </si>
  <si>
    <t xml:space="preserve">Employees/employee_contract_actions_handler.php:7; :21; :87; :136; :254; :365</t>
  </si>
  <si>
    <t xml:space="preserve">١) بحسابٍ واحدٍ أنشئ عقدًا من «عقود الموظفين». ٢) من الشاشة نفسِها نفّذ «تسوية» بزيادة ساعاتٍ كبيرة ثم «إنهاء». ٣) لاحظ نجاحَ الأفعال كلِّها بلا اعتمادٍ ثانٍ.</t>
  </si>
  <si>
    <t xml:space="preserve">أدخِل أفعالَ العقد في سلسلة اعتمادٍ: أنشئ ملحقًا بحالة pending عبر EmployeeContractAmendmentService::create، وافرض ems_no_self_approval و AuthorityGuard على الاعتماد، وارفع ما تجاوز السقفَ إلى الرئيس التنفيذي.</t>
  </si>
  <si>
    <t xml:space="preserve">منشئُ العقد لا يستطيع اعتمادَ ملحقه (403 مسجَّلة)؛ وملحقٌ يتجاوز السقفَ يُصعَّد تلقائيًّا ولا يُطبَّق قبل اعتماده.</t>
  </si>
  <si>
    <t xml:space="preserve">الحارسان الوحيدان `ems_guard_handler(...,'edit')` (:7) و`enforce_module_permission_json($conn,'drivers','edit')` (:21)، ولا استدعاءَ لـ`AuthorityGuard` ولا لمنعِ اعتمادِ الذات في الأفعال السبعة (تجديد/تسوية/إنهاء…) ذاتِ الأثر المالي.</t>
  </si>
  <si>
    <t xml:space="preserve">INJ-0057</t>
  </si>
  <si>
    <t xml:space="preserve">▐ ١١-٣ مصفوفةُ الظهورِ — «بأفعالٍ مسموحةٍ … ومحجوبٍ عنه» · CORE-01 ٤-٢/٧ التصدير</t>
  </si>
  <si>
    <t xml:space="preserve">سجل الموظفين — تصدير واستيراد Excel</t>
  </si>
  <si>
    <t xml:space="preserve">التصديرُ والاستيرادُ يُفحصان بوحدة صلاحية الشاشة نفسِها، و«يمنع تصديرَ أعمدةٍ غيرِ مسموحة».</t>
  </si>
  <si>
    <t xml:space="preserve">'drivers' يتحلّل إلى الموديول 29 (توزيع المشغّلين · مالكُه الدور 6) لا إلى وحدة الشاشة. — [مُصحَّح بعد التحقق] الصياغة الأولى: شاشةُ سجل الموظفين تفحص صلاحيتَها برمز 'Employees/employees.php' (السطر 42) بينما أزرارُ Excel فيها تشير إلى كيان 'drivers' (السطر 442) الذي رمزُ وحدته 'drivers' (app/Services/Excel/ExcelRegistry.php:</t>
  </si>
  <si>
    <t xml:space="preserve">استيرادُ ملفٍّ يُنشئ موظفين في جدول الموارد البشرية يُصرَّح بوحدةٍ قديمةٍ لا يعرفها مديرُ الصلاحيات؛ وهو أوسعُ أفعال الإدارة أثرًا (إنشاءٌ جماعيٌّ للأشخاص) وأضعفُها ربطًا بمصفوفة الظهور.</t>
  </si>
  <si>
    <t xml:space="preserve">بقي كيانُ Excel القديم 'drivers' مرتبطًا بجدول employees بعد تعميم الشاشة على الموظفين، ولم يُحدَّث moduleCode.</t>
  </si>
  <si>
    <t xml:space="preserve">Employees/employees.php:42; Employees/employees.php:441; Employees/employees.php:442; app/Services/Excel/ExcelRegistry.php:88; app/Services/Excel/ExcelRegistry.php:135; app/Services/Excel/ExcelService.php:64</t>
  </si>
  <si>
    <t xml:space="preserve">١) امنح دورًا can_add على وحدة 'drivers' فقط بلا صلاحيةٍ على 'Employees/employees.php'. ٢) نفّذ excel.php?entity=drivers&amp;action=import_preview ثم import_commit بملفٍّ صحيح. ٣) لاحظ إنشاءَ صفوفٍ في جدول employees.</t>
  </si>
  <si>
    <t xml:space="preserve">حدّث moduleCode للكيان 'drivers' في app/Services/Excel/ExcelRegistry.php:135 إلى 'Employees/employees.php'، وأعِد تسميةَ الكيان إلى employees، وتحقّق من أن قائمةَ أعمدته لا تحوي أي حقلٍ حساسٍ قبل تفعيل التصدير الكامل.</t>
  </si>
  <si>
    <t xml:space="preserve">الاستيرادُ والتصديرُ لجدول الموظفين يُصرَّحان بوحدة الشاشة نفسِها؛ وحسابٌ يملك 'drivers' وحدَه يتلقى 403.</t>
  </si>
  <si>
    <t xml:space="preserve">أزرارُ Excel في شاشة الموظفين تشير إلى الكيان 'drivers' (السطر 442) الذي جدولُه employees وmoduleCode 'drivers' (ExcelRegistry:88 و135)، وExcelService::authorize يفحص check_page_permissions('drivers') الذي يتحلّل إلى موديولٍ آخرَ تمامًا (movement/project_drivers.php #29) — بينما الشاشةُ تفحص 'Employees/employees.php'.</t>
  </si>
  <si>
    <t xml:space="preserve">INJ-0058</t>
  </si>
  <si>
    <t xml:space="preserve">SCN-875-أ · TABLE 36 · ▐ ١١-٣ الشاشاتُ والمناظرُ والعرض</t>
  </si>
  <si>
    <t xml:space="preserve">صلاحية الطوارئ اللحظية (كسر الزجاج)</t>
  </si>
  <si>
    <t xml:space="preserve">http://localhost/ems/Governance/break_glass.php</t>
  </si>
  <si>
    <t xml:space="preserve">خامسًا: المنع والاستثناء</t>
  </si>
  <si>
    <t xml:space="preserve">من أعمدتها المعتمدة: «وقت المنح · مدة الصلاحية · وقت الانتهاء · عدد الأفعال المنفَّذة تحتها» — ومعناها أن المدة تُنفَّذ وتُقاس آليًّا.</t>
  </si>
  <si>
    <t xml:space="preserve">«مدة الصلاحية» حقلُ نصٍّ حرّ (inputmode=decimal) و«وقت الانتهاء» و«وقت المنح» و«عدد الأفعال المنفَّذة تحتها» حقولُ نصٍّ يكتبها المستخدم. لا مؤقّتَ ولا وظيفةَ إسقاطٍ تقرأ هذه القيم — ExpiryJob تقرأ permission_exceptions لا scr_break_glass.</t>
  </si>
  <si>
    <t xml:space="preserve">لا انتهاءَ فعليًّا لصلاحية الطوارئ لأنها لم تُمنح أصلًا؛ ولو مُنحت لاحقًا فالمدةُ المكتوبة نصٌّ لا يُنفَّذ. وعدّاد «الأفعال المنفَّذة تحتها» — أداةُ المراجعة الأساسية — يكتبه المستخدم بيده.</t>
  </si>
  <si>
    <t xml:space="preserve">لا ارتباطَ بين جدول العرض scr_break_glass وجدول الإنفاذ permission_exceptions؛ وExpiryJob لا يعرف الجدول الأول.</t>
  </si>
  <si>
    <t xml:space="preserve">Governance/break_glass.php:160-172; :43-50; Governance/cron_permissions.php:24; app/Services/Security/BreakGlassService.php:51-60</t>
  </si>
  <si>
    <t xml:space="preserve">١) احفظ صفًّا بمدة صلاحية = 1 ووقت انتهاء في الماضي. ٢) شغّل php Governance/cron_permissions.php. ٣) الصف باقٍ بحالته كما هو — لم يُسقَط.</t>
  </si>
  <si>
    <t xml:space="preserve">جعل مدة الصلاحية حقلًا رقميًّا محصورًا (1..24) يُمرَّر إلى BreakGlassService::grant كوسيط hours، واشتقاق «وقت المنح/الانتهاء/عدد الأفعال» من permission_exceptions وaction_execution_log بدل إدخالها يدويًّا (حقول للقراءة فقط في العرض).</t>
  </si>
  <si>
    <t xml:space="preserve">منحٌ بمدة ساعةٍ واحدة يُسقَط تلقائيًّا بعد ساعة عند تشغيل cron_permissions، ويظهر عدد الأفعال المنفَّذة محسوبًا من السجل لا مكتوبًا.</t>
  </si>
  <si>
    <t xml:space="preserve">الشاشةُ نموذجُ CMP-03 بحقولٍ نصيةٍ حرة لمدة الصلاحية ووقت الانتهاء وعدد الأفعال (الأسطر 160-172) تُحفظ في scr_break_glass، والآليةُ الحقيقيةُ في BreakGlassService::grant على permission_exceptions — وهي بلا أيِّ مستدعٍ إنتاجيّ (المستدعي الوحيد sweepUnreviewed من cron_permissions.php:24).</t>
  </si>
  <si>
    <t xml:space="preserve">INJ-0059</t>
  </si>
  <si>
    <t xml:space="preserve">§٤-٥ قواعدُ السايدبار · NAV-09 «فلا تُكتب قائمةٌ يدويًّا ولا يُضاف رابطٌ خارجَ الوثيقة»</t>
  </si>
  <si>
    <t xml:space="preserve">السايدبار الموحَّد (كل الأدوار)</t>
  </si>
  <si>
    <t xml:space="preserve">http://localhost/ems/main/dashboard.php</t>
  </si>
  <si>
    <t xml:space="preserve">«◆ والملفُّ NAV-09 مصدرُ تشغيلٍ حي: المولِّدُ يقرأ ورقتَه الثامنةَ والتسعينَ ليُنتج القوائمَ وظهوراتِها … فلا تُكتب قائمةٌ يدويًّا ولا يُضاف رابطٌ خارجَ الوثيقة — ومن أضاف رابطًا يدويًّا أنشأ عنصرًا لا يعرفه الفاحص.»</t>
  </si>
  <si>
    <t xml:space="preserve">41 صفًّا غيرَ قابلٍ للتصيير ومساراتٌ مكسورةُ البادئة؛ وفراغُ قوائم الأدوار 31-33 قائمٌ في الوضعين (الموحَّدُ يسقطها بالباب، والقديمُ لا يجد موديولًا يملكه الدوران 32 و33). — [مُصحَّح بعد التحقق] الصياغة الأولى: واحدٌ وأربعون صفًّا في `nav_items` (ids 6893-6933) أُدرجت يدويًّا بهجرتين متأخرتين ببابٍ اسمُه `'main'` — وهو ليس من الأبوابِ الثمانيةِ المعرَّفةِ في `unifiedNavDoors()` (`includes/unified_nav.php:32-</t>
  </si>
  <si>
    <t xml:space="preserve">واحدٌ وأربعون رابطًا مبنيًّا ومُمنَحًا لا يظهر لأحد؛ وثلاثةُ أدوارٍ (31 رئيس الحسابات · 32 المدير المالي · 33 المراجع الداخلي) لا يملك أيٌّ منها **أيَّ** عنصرِ سايدبارٍ قابلٍ للتصيير — قوائمُهم فارغةٌ إلا من رابط «المراسلات» الثابت.</t>
  </si>
  <si>
    <t xml:space="preserve">أُضيفت الروابطُ يدويًّا خارجَ مولِّدِ NAV-09 ببابٍ ومسارٍ لا يعرفهما المصيِّر، ولا فاحصَ يرفض بابًا غيرَ معروف.</t>
  </si>
  <si>
    <t xml:space="preserve">database/schema/seed_reference.sql:5057-5097; includes/unified_nav.php:32-42,50-57,281,294-295; includes/dynamic_nav.php:77-108,320</t>
  </si>
  <si>
    <t xml:space="preserve">١) استعلم `SELECT door, COUNT(*) FROM nav_items WHERE active=1 GROUP BY door` → تظهر قيمةٌ `main` بـ٤١ صفًّا.
٢) قارِنها بمفاتيحِ `unifiedNavDoors()`: غيرُ موجودة.
٣) ادخل بحساب دور 31 أو 32 أو 33: السايدبارُ بلا عناصر.</t>
  </si>
  <si>
    <t xml:space="preserve">① نفِّذ هجرةً تُسند لكلِّ صفٍّ من 6893-6933 بابًا من الثمانيةِ ومجموعةً في `link_groups` بـ`stage_no`، وتحذف بادئةَ `'../'` من `route`. ② أضِف قيدًا/فحصًا في `tools/u13_gate.php` يرسب على أيِّ صفِّ `nav_items` ببابٍ خارجَ الثمانيةِ أو بمسارٍ يبدأ بـ`../`. ③ أعِد توليدَ الصفوفِ من NAV-09 بدل الهجراتِ اليدوية.</t>
  </si>
  <si>
    <t xml:space="preserve">فريق الواجهة — وحدة التنقل</t>
  </si>
  <si>
    <t xml:space="preserve">`SELECT COUNT(*) FROM nav_items WHERE door NOT IN ('HOME','DAILY','APPR','REC','REP','GOV','FIN','SET') OR route LIKE '../%'` = 0؛ وكلُّ دورٍ نشطٍ يعرض عنصرًا واحدًا على الأقلِّ في سايدباره.</t>
  </si>
  <si>
    <t xml:space="preserve">عددتُ صفوفَ nav_items: 41 صفًّا بالباب 'main' وgroup_id=NULL، والباب ليس من الثمانية (unified_nav.php:32-42) فيسقط في $doored ثم لا يُطبع (:281,294-295)؛ ومساراتُها مسبوقةٌ بـ'../' مع $basePrefix='../' (dynamic_nav.php:320) فتنتج '../../'. والأدوارُ 31·32·33 ليس لها إلا هذه الصفوف (10·1·16). التحفظُ: السايدبارُ الموحَّد نفسُه خلف EMS_NAV_UNIFIED_ROLES وقيمتُه الافتراضية فارغة، فبالافتراضِ يعمل المسارُ القديم — وفيه أيضًا يبقى الدوران 32 و33 بلا عناصرَ لأن لا موديولَ يملكانه.</t>
  </si>
  <si>
    <t xml:space="preserve">03_UX</t>
  </si>
  <si>
    <t xml:space="preserve">INJ-0060</t>
  </si>
  <si>
    <t xml:space="preserve">§٦ الشاشاتُ وأعمدتُها · OBL-0052 «والحقلُ بلا صنفٍ لا يُدرَج في شاشةٍ حاكمة»</t>
  </si>
  <si>
    <t xml:space="preserve">الشاشات المولَّدة بعُدّة u13 (٤٤ شاشة)</t>
  </si>
  <si>
    <t xml:space="preserve">«كلُّ حقلٍ يُوسَم بصنفٍ … والحقلُ بلا صنفٍ لا يُدرَج في شاشةٍ حاكمة» — والتصنيفُ شرطُ الظهور.</t>
  </si>
  <si>
    <t xml:space="preserve">نشرٌ من database/schema + database/migrations يترك gov_field_class فارغًا فتُصيَّر الشاشاتُ الأربعُ والأربعون برسالة «لا عمودَ مصنَّفٌ لهذه الشاشة» — فجوةُ بذرٍ في خط النشر لا عطبٌ في الشاشات. — [مُصحَّح بعد التحقق] الصياغة الأولى: أعمدةُ الشاشاتِ المولَّدةِ تُقرأ حصرًا من `gov_field_class` (`includes/u13_screen_kit.php:42-73`)، وإن خلا الجدولُ فلا عمودَ يُصيَّر وتُطبع الرسالةُ «لا عمودَ مصنَّفٌ لهذه الشاشة» (`:341-342`). والجدو</t>
  </si>
  <si>
    <t xml:space="preserve">أيُّ نشرٍ يبني القاعدةَ من `database/schema/` + `database/migrations/` يُنتج **أربعًا وأربعين شاشةً بلا أعمدةٍ إطلاقًا** — منها كلُّ شاشاتِ المراجعةِ الداخليةِ الستَّ عشرةَ وشاشاتِ الالتزاماتِ الماليةِ وشاشاتِ رئيسِ الحسابات. جداولُ فارغةٌ برأسٍ فارغ، والمستخدمُ يظنُّ الشاشةَ معطوبة.</t>
  </si>
  <si>
    <t xml:space="preserve">خطوةُ بذرٍ إلزاميةٌ خارجَ مسارِ النشرِ الآلي (أداةُ CLI) وبلا فحصٍ يمنع النشرَ عند خلوِّ الجدول.</t>
  </si>
  <si>
    <t xml:space="preserve">includes/u13_screen_kit.php:42-73,206-207,341-342; database/migrations/2026_12_24_u13_field_governance.sql:52-60; tools/u13_seed.php:802</t>
  </si>
  <si>
    <t xml:space="preserve">١) ابنِ قاعدةً جديدةً من `database/schema/schema.sql` + `seed_reference.sql` + كلِّ الهجرات.
٢) `SELECT COUNT(*) FROM gov_field_class` → صفر.
٣) افتح `Audit/iaf_charter.php` أو `Finance/ob_register.php`: جدولٌ بلا أعمدةٍ ورسالةُ «لا عمودَ مصنَّفٌ لهذه الشاشة».</t>
  </si>
  <si>
    <t xml:space="preserve">حوِّل مخرَجَ `tools/u13_seed.php` إلى هجرةِ SQL ثابتةٍ داخلَ `database/migrations/` (أو صفوفٍ في `seed_reference.sql`) كي يُبذَر الجدولُ في كلِّ نشرٍ آليًّا؛ وأضِف فحصًا في `tools/u13_gate.php` يرسب إن كانت أيُّ شاشةٍ في البيانِ بلا صفوفٍ في `gov_field_class`.</t>
  </si>
  <si>
    <t xml:space="preserve">بعد نشرٍ نظيفٍ من `database/` وحدَه: كلُّ شاشةٍ من الأربعِ والأربعين تعرض أعمدتَها المصنَّفة، و`SELECT COUNT(*) FROM gov_field_class` &gt; 0.</t>
  </si>
  <si>
    <t xml:space="preserve">مؤكَّدٌ بالفحص: u13_columns (includes/u13_screen_kit.php:42-73) تُسقط كلَّ عمودٍ بلا صفٍّ في gov_field_class (:66 «بلا صنفٍ = لا يُصيَّر») وتُطبع رسالةَ الفراغ (:341-342)؛ وgov_field_class لا يرد في seed_reference.sql إطلاقًا، والهجرتان تُنشئان الجدولَ بلا INSERT، والمصدرُ الوحيد tools/u13_seed.php:802 بـ--apply ولا يستدعيه أيُّ سكربتِ نشر. لكنه فجوةُ بذرٍ في النشر تُصلَح بتشغيل أداةٍ واحدة، لا فقدانَ شاشةٍ أو مصدرِ حقيقة.</t>
  </si>
  <si>
    <t xml:space="preserve">INJ-0061</t>
  </si>
  <si>
    <t xml:space="preserve">§٤-٥ · «الرابطُ الميت مستبعدٌ بنيويًّا لا برأي الشاشة»</t>
  </si>
  <si>
    <t xml:space="preserve">السايدبار — مسارات نسبية مزدوجة</t>
  </si>
  <si>
    <t xml:space="preserve">«الظهور = صفٌّ تابعٌ للدور في nav_items (active=1) **و** can_view=1 … الرابطُ الميت مستبعدٌ بنيويًّا» — والمسارُ في `nav_items` «المسارُ كما في سجلِّ الشاشات».</t>
  </si>
  <si>
    <t xml:space="preserve">كلُّ الصفوف الـ41 ذاتِ البادئة `../` تحمل أيضًا `module_id=NULL` مع `permission_code` غيرِ فارغٍ و`door='main'` — فيسقطها شرطُ `getUnifiedNavItems` ولا يُصيَّر أيٌّ منها في أيِّ سايدبار (41 شاشةَ update0013 محجوبةٌ كليًّا). — [مُصحَّح بعد التحقق] الصياغة الأولى: عمودُ `route` في `nav_items` غيرُ متجانس: ١٥٠٧ صفًّا بمسارٍ نسبيٍّ من جذرِ التطبيق (`Risk/risk_board.php`) و٤١ صفًّا بمسارٍ مسبوقٍ بـ`'../'` (`../Audit/iaf_charter.php`). و`printNavLinkItem` يضيف `$ba</t>
  </si>
  <si>
    <t xml:space="preserve">حتى لو صُحِّح البابُ فستُطبع واحدٌ وأربعون رابطًا مكسورًا (404) — إصلاحٌ نصفيٌّ سيُنتج عيبًا ظاهرًا للمستخدم. ويشير إلى غيابِ قيدِ صحةٍ على عمودِ المسار.</t>
  </si>
  <si>
    <t xml:space="preserve">أُدرجت الصفوفُ بهجرةٍ يدويةٍ نسخت المسارَ من `href` في الشاشةِ لا من سجلِّ الشاشات.</t>
  </si>
  <si>
    <t xml:space="preserve">database/schema/seed_reference.sql:5057; :5077; :5096; includes/dynamic_nav.php:320; includes/unified_nav.php:70-78</t>
  </si>
  <si>
    <t xml:space="preserve">١) `SELECT COUNT(*) FROM nav_items WHERE route LIKE '../%'` → ٤١.
٢) قارِنها بالصفوفِ الأخرى: بلا بادئة.
٣) اقرأ `includes/dynamic_nav.php:320`: البادئةُ تُضاف دائمًا.</t>
  </si>
  <si>
    <t xml:space="preserve">نفِّذ `UPDATE nav_items SET route = TRIM(LEADING '../' FROM route) WHERE route LIKE '../%'`؛ وأضِف قيدَ فحصٍ (CHECK أو قادحًا) يمنع إدراجَ مسارٍ يبدأ بـ`../` أو `/`، وفحصًا في بوابةِ القبولِ يقارن `route` بـ`modules.code` ويرسب على الاختلاف.</t>
  </si>
  <si>
    <t xml:space="preserve">`SELECT COUNT(*) FROM nav_items WHERE route LIKE '../%' OR route NOT IN (SELECT code FROM modules)` = 0؛ وكلُّ رابطٍ في السايدبار يفتح صفحتَه بلا 404.</t>
  </si>
  <si>
    <t xml:space="preserve">العددان مطابقان تمامًا (1507 مقابل 41)، و`printNavLinkItem` يضيف `$basePrefix` دائمًا؛ بل الأسوأُ أن الصفوفَ الأربعين لا تُطبع أصلًا فتختفي الشاشاتُ الجديدةُ كليًّا.</t>
  </si>
  <si>
    <t xml:space="preserve">لا — يحتاج مراجعة</t>
  </si>
  <si>
    <t xml:space="preserve">INJ-0062</t>
  </si>
  <si>
    <t xml:space="preserve">١٠-٣ الحكم · العيوبُ المقياسيةُ الأربعة — MD-05</t>
  </si>
  <si>
    <t xml:space="preserve">عيبٌ مقياسيٌّ حرج — إعلانُ إغلاقٍ ببناءِ الحارسِ لا بتطبيقِه</t>
  </si>
  <si>
    <t xml:space="preserve">«MD-05 … سلّمٌ رباعيٌّ — ولا إغلاقَ قبل المستوى الثالث · ◆ ما وقع: عيبٌ أُعلن مغلقًا عند المستوى الأولِ — والشاشةُ المصابةُ لم تُمسّ · وتُعاد قراءةُ المغلقاتِ كلِّها بهذا السلّم».</t>
  </si>
  <si>
    <t xml:space="preserve">أربعةُ حرَّاسٍ محقَّقين مبنيّون (L1) وغيرُ مطبَّقين (لا L3): `InternalAuditService::assertReadOnly` بصفرِ نداءات، و`InternalAuditService::logAccess` بصفرِ نداءات، و`App\Core\ProcessedOperations` بصفرِ مستهلكين، و`app/Services/Actions/ReverseService` بصفرِ نداءات. ويُضاف إليها `SensitiveFieldGuard` غيرُ المستدعى من أيِّ ملفٍّ في `Risk/`.</t>
  </si>
  <si>
    <t xml:space="preserve">كلُّ ادعاءِ إغلاقٍ مبنيٍّ على «بُني الحارسُ» غيرُ صحيح: الحمايةُ غيرُ عاملةٍ في المواضعِ المصابة — والعيبُ يُعيد فتحَ قراءةِ كلِّ العيوبِ المُعلَنةِ مغلقة.</t>
  </si>
  <si>
    <t xml:space="preserve">قياسٌ أو إغلاقٌ أُعلن على أساسٍ لا يطابق ما تُلزم به الوثيقة — والعيبُ مسجَّلٌ ولم يُعلَن إغلاقُه.</t>
  </si>
  <si>
    <t xml:space="preserve">app/Services/Audit/InternalAuditService.php:49; :70; app/Core/ProcessedOperations.php:22; app/Services/Actions/ReverseService.php:13; app/Services/Security/SensitiveFieldGuard.php:103</t>
  </si>
  <si>
    <t xml:space="preserve">١) افتح سجلَّ العيوبِ والقراراتِ في وثيقةِ التنفيذِ وتحقَّق من حالةِ MD-05: مفتوح.
٢) ابحث في النظامِ عن أثرِ إغلاقِه بالأدلةِ المذكورةِ في حقل Evidence: غيرُ موجود.
٣) قارِن بالحكمِ: «لا يُعلَن الإطلاقُ ولا يُقال إن الحزمةَ مكتملةٌ قبل إغلاق كلِّ عيبٍ حاجب».</t>
  </si>
  <si>
    <t xml:space="preserve">أنشئ فاحصًا آليًّا (`tools/guard_adoption_gate.php`) يمرُّ على كلِّ صنفِ حارسٍ في `app/Services/Security` و`app/Core` و`app/Services/Audit` ويرسب إن كان عددُ مستهلكيه في كودِ الإنتاج صفرًا؛ وأعِد تصنيفَ كلِّ عيبٍ مغلقٍ على سلّمِ L1..L4 وأعِد فتحَ ما أُغلق عند L1/L2.</t>
  </si>
  <si>
    <t xml:space="preserve">مالكُ الحزمة + إدارة الحوكمة والالتزام</t>
  </si>
  <si>
    <t xml:space="preserve">سجلُّ حواجزِ الإصدارِ يُظهر MD-05 بحالةِ «مغلق» مع دليلٍ ملفًّا وسطرًا واختبارٍ آليٍّ يمنع عودتَه (المستوى L4).</t>
  </si>
  <si>
    <t xml:space="preserve">تحققتُ من الخمسة كلِّها: InternalAuditService::assertReadOnly و::logAccess بلا نداءٍ خارجَ tools/u13_gate.php، و App\Core\ProcessedOperations بلا مستهلكٍ خارجَ tests/n06_transaction_bounds_test.php، و ReverseService:: بصفرِ نداءاتٍ إطلاقًا (ذكرٌ في تعليقٍ فقط بـActionContractService.php:85)، و SensitiveFieldGuard خارجَ الاختبارات والأدوات. لكنها ملاحظةٌ مقياسيةٌ عن ادعاءات الإغلاق لا عيبٌ واحدٌ يحجب الإصدار بذاته.</t>
  </si>
  <si>
    <t xml:space="preserve">INJ-0063</t>
  </si>
  <si>
    <t xml:space="preserve">SCN-876-أ / glass.break · ▐ ١١-٦ الأفعالُ وعقودُها</t>
  </si>
  <si>
    <t xml:space="preserve">«يجب أن يُنفَّذ فعلُ (منحُ صلاحية طوارئ) من شاشة صلاحية الطوارئ اللحظية (كسر الزجاج) بواسطة الإدارةُ العامة، فيُكتب في break_glass · audit ويُنشر الحدثُ BreakGlassGranted ويستهلكه الحوكمة · الإدارة المعنية»</t>
  </si>
  <si>
    <t xml:space="preserve">الشاشة نموذجُ CMP-03 عامّ يكتب صفًّا نصيًّا واحدًا في scr_break_glass عبر cmp03_store_insert فقط. لا تمنح أي صلاحية، ولا تكتب في permission_exceptions، ولا تُعيد بناء الصلاحية المشتقة، ولا تنشر BreakGlassGranted، ولا تكتب سجل تدقيق. زر «حفظ» يحفظ نصًّا يُعرض في جدولٍ ثم ينتهي أثره.</t>
  </si>
  <si>
    <t xml:space="preserve">«كسر الزجاج» في النظام وهمٌ تشغيليّ: من يحتاج صلاحيةً طارئةً لن يحصل عليها من هذه الشاشة، ومن يريد تجاوزَ حارسٍ سيفعله بطريقٍ آخر بلا أثر. الحوكمة تظنّ أن لديها ضابطًا وهي بلا ضابط.</t>
  </si>
  <si>
    <t xml:space="preserve">الشاشة وُلدت من مولّد CMP-03 كنموذج مفاتيح/قيم عام (payload → cmp03_store_insert) ولم تُوصَل بخدمة المنح app/Services/Security/BreakGlassService::grant التي بُنيت لهذا الغرض.</t>
  </si>
  <si>
    <t xml:space="preserve">Governance/break_glass.php:73; :82; :83; includes/cmp03_local_store.php:31; :55; app/Services/Security/BreakGlassService.php:22</t>
  </si>
  <si>
    <t xml:space="preserve">١) ادخل بدور «إدارة الصلاحيات» (15). ٢) افتح خامسًا: المنع والاستثناء ← صلاحية الطوارئ اللحظية (كسر الزجاج). ٣) اضغط «إضافة» واملأ الحقول واضغط «حفظ». ٤) لاحظ ظهور صفٍّ في الجدول. ٥) افتح قاعدة البيانات: صفر صفٍّ جديدٍ في permission_exceptions وصفر صفٍّ في activity_logs وصفر حدثٍ BreakGlassGranted. ٦) جرّب فتح شاشةٍ ممنوعة على المستخدم المذكور في الصف — ما زالت ممنوعة.</t>
  </si>
  <si>
    <t xml:space="preserve">استبدال معالج POST في Governance/break_glass.php:73-85 بنداءٍ إلى App\Services\Security\BreakGlassService::grant($conn, [...]) مع تمرير company_id · person_id · permission_code · scope_rule · reason · granted_by · hours، واستقبال الردّ (403/422) وعرضه، وإبقاء cmp03_store_insert مرآةَ عرضٍ فقط لا مصدرَ حقيقة.</t>
  </si>
  <si>
    <t xml:space="preserve">منح كسر زجاجٍ لمستخدمٍ على مفتاحٍ محدد ⇐ يجب أن يظهر صفٌّ في permission_exceptions بحالة active وvalid_to = NOW()+ساعات، وأن يفتح المستخدم الشاشةَ الممنوعة فورًا، وأن تُغلق تلقائيًّا بانتهاء المدة.</t>
  </si>
  <si>
    <t xml:space="preserve">معالجُ POST (73-85) لا يفعل إلا cmp03_store_insert في scr_break_glass، و BreakGlassService::grant — المكتملُ بحارس SelfGrantGuard وقيدِ never وفتحِ بلاغٍ آلي — بلا أيِّ مستدعٍ في الشيفرة (المستدعى الوحيدُ sweepUnreviewed من Governance/cron_permissions.php:24). لكن الخللَ يفشل آمنًا: الشاشةُ لا تمنح شيئًا ولا تفتح ثغرةَ صلاحية، فليست حاجزَ إصدار.</t>
  </si>
  <si>
    <t xml:space="preserve">INJ-0064</t>
  </si>
  <si>
    <t xml:space="preserve">SCN-721-أ · SCN-721-ب · ▐ ١١-٣ الشاشاتُ والمناظرُ والعرض</t>
  </si>
  <si>
    <t xml:space="preserve">سجل التدقيق والاطّلاع</t>
  </si>
  <si>
    <t xml:space="preserve">«يجب أن تُتاح شاشةُ (سجل التدقيق والاطّلاع) لـالحوكمة والالتزام بنطاق كل النظام · وزاويتُها: من فعل ومن اطّلع ومتى — ولا يُعدَّل» بأعمدتها الستة والعشرين (SCN-722).</t>
  </si>
  <si>
    <t xml:space="preserve">لا شاشةَ في نطاق الدور 15 تعرض activity_logs؛ والأثرُ محفوظٌ ويُعرض للسوبر أدمن، وسجلُّ المنع وسجلُّ اطّلاع المراجع موجودان في شاشتين أخريَين. — [مُصحَّح بعد التحقق] الصياغة الأولى: لا وجودَ لشاشةِ سجل تدقيقٍ في مجلد Governance/ ولا في سايدبار الدور 15. الشاشةُ الوحيدة التي تعرض activity_logs هي admin/audit_log.php وهي خلف بوابةِ السوبر أدمن المنفصلة (super_admin_require_login) ف</t>
  </si>
  <si>
    <t xml:space="preserve">الحوكمةُ لا ترى سجلَّ التدقيق — وهو مصدرُ عملها الأول. اختبارُ M-14 «من فعل ومن اطّلع ومتى» غيرُ قابلٍ للتنفيذ داخل النظام، والمراجعةُ تتم خارجَه بقاعدة البيانات مباشرة.</t>
  </si>
  <si>
    <t xml:space="preserve">سجلُّ النشاط صُنّف منصّيًّا (T_PLATFORM) وسُكن في بوابة الأدمن المنفصلة، ولم تُبنَ نسخةٌ مستأجَرةٌ للحوكمة داخل التطبيق.</t>
  </si>
  <si>
    <t xml:space="preserve">admin/audit_log.php:2-3; includes/audit_trail.php:68; Governance/guard_denials.php:22; Audit/iaf_access_log.php:3</t>
  </si>
  <si>
    <t xml:space="preserve">١) ادخل بدور 15. ٢) افتح «سادسًا: التدقيق والمراجعة» في السايدبار. ٣) لا رابطَ لسجل التدقيق. ٤) اكتب http://localhost/ems/admin/audit_log.php ⇐ تُعاد للدخول لأن super_admin_require_login يطلب جلسةَ أدمنٍ مختلفة.</t>
  </si>
  <si>
    <t xml:space="preserve">إنشاء Governance/audit_log.php بأعمدة SCN-722 الستة والعشرين تقرأ activity_logs بنطاق الشركة عبر ems_tenant_db، وتسجيلُها موديولًا بمالكٍ 15، وإضافةُ صفِّ nav_items لها في مجموعة «سادسًا: التدقيق والمراجعة»، مع منعِ كل فعلِ تعديلٍ أو حذفٍ عليها بنيويًّا.</t>
  </si>
  <si>
    <t xml:space="preserve">الدور 15 يفتح «سجل التدقيق والاطّلاع» من سايدباره ويرى صفوفَ activity_logs لشركته بأعمدة القيمة قبل/بعد، ولا يجد أيَّ زرِّ تعديلٍ أو حذف.</t>
  </si>
  <si>
    <t xml:space="preserve">محقَّق: لا استعلامَ واحدًا في المستودع يقرأ `audit_logs`، و`activity_logs` (وجهةُ ems_audit_change في includes/audit_trail.php:68) لا تُعرض إلا في admin/audit_log.php:2-3 خلف `super_admin_require_login`؛ غير أن أثرَ التدقيق ليس محجوبًا كلِّيًّا — Governance/guard_denials.php يعرض سجلَّ المنع الحيَّ وAudit/iaf_access_log.php سجلَّ اطّلاع المراجع — فالناقصُ عارضُ أثرِ التدقيق لدور الحوكمة لا الأثرُ نفسُه.</t>
  </si>
  <si>
    <t xml:space="preserve">INJ-0065</t>
  </si>
  <si>
    <t xml:space="preserve">SCN-869..SCN-871 (سياسات الحقول الحساسة) · ▐ ١١-٥</t>
  </si>
  <si>
    <t xml:space="preserve">سياسات الحقول الحساسة</t>
  </si>
  <si>
    <t xml:space="preserve">http://localhost/ems/Governance/sensitive_fields.php</t>
  </si>
  <si>
    <t xml:space="preserve">الحقلُ الحساس يُصنَّف فيُحجب بالصلاحية ويُسجَّل كلُّ اطّلاعٍ عليه، ويقبل الفعلُ عكسًا: «رفعُ التصنيف» (SCN-871).</t>
  </si>
  <si>
    <t xml:space="preserve">الشاشة نموذجُ CMP-03 يكتب صفوفًا في scr_sensitive_fields عبر cmp03_store_insert. الحارسُ الفعلي app/Services/Security/SensitiveFieldGuard يقرأ جدولًا مختلفًا (sensitive_field_policies)، وexcel.php يستعلم scr_sensitive_fields للتسجيل فقط ثم يبثّ الحقلَ كاملًا. لا زرَّ رفعِ تصنيفٍ في الشاشة (زرُّ الرأس الوحيد «إضافة»).</t>
  </si>
  <si>
    <t xml:space="preserve">تصنيفُ حقلٍ حساسٍ من شاشة الحوكمة لا يحجبه عن أحد ولا يغيّر سلوكَ أيِّ شاشةٍ أو تصدير؛ فالسياسةُ إعلانٌ لا إنفاذ، والعكسُ المنصوصُ عليه غيرُ ممكن.</t>
  </si>
  <si>
    <t xml:space="preserve">جدولان لغرضٍ واحد (scr_sensitive_fields للعرض وsensitive_field_policies للإنفاذ) بلا مزامنةٍ ولا مصدرِ حقيقةٍ واحد — مخالفةُ PR-01 داخل الحوكمة نفسها.</t>
  </si>
  <si>
    <t xml:space="preserve">Governance/sensitive_fields.php:88; :135-137; app/Services/Security/SensitiveFieldGuard.php:82; excel.php:89-96</t>
  </si>
  <si>
    <t xml:space="preserve">١) صنّف حقل «الراتب» حساسًا في Governance/sensitive_fields.php. ٢) افتح شاشةً تعرض الراتب بدورٍ بلا منحة ⇐ القيمة ظاهرة. ٣) صدّر الكيان ⇐ العمود في الملف بقيمته.</t>
  </si>
  <si>
    <t xml:space="preserve">توحيدُ المصدر: جعلُ Governance/sensitive_fields.php تكتب في sensitive_field_policies (الجدول الذي يقرؤه الحارس) بدل scr_sensitive_fields، وإضافةُ فعلِ «رفع التصنيف» كسطرٍ جديدٍ يشير إلى الأصل لا كحذف، وتمريرُ نتيجة السياسة إلى Exporter لحجب العمود.</t>
  </si>
  <si>
    <t xml:space="preserve">تصنيفُ حقلٍ حساسًا يُخفي قيمتَه فورًا عمّن لا منحةَ له ويُسقطه من ملف التصدير، ويُنتج صفَّ اطّلاعٍ لمن يملك المنحة.</t>
  </si>
  <si>
    <t xml:space="preserve">انفصالُ المصدر ثابت: الشاشةُ تكتب scr_sensitive_fields عبر cmp03_store_insert بينما SensitiveFieldGuard يقرأ sensitive_field_policies (سطر 82) وهو بلا مستدعٍ إنتاجيٍّ أصلًا؛ وexcel.php:89 يقرأ scr_sensitive_fields للتسجيل ثم يبثّ الحقلَ كاملًا؛ وأفعالُ رأس الشاشة زرُّ «إضافة» وحده (سطر 135-137).</t>
  </si>
  <si>
    <t xml:space="preserve">INJ-0066</t>
  </si>
  <si>
    <t xml:space="preserve">GOV-009-و (حارسُ التفويض على كلِّ موافقة) · SCN-840 · TABLE 36 (delegations.php)</t>
  </si>
  <si>
    <t xml:space="preserve">التفويض بالتوقيع</t>
  </si>
  <si>
    <t xml:space="preserve">http://localhost/ems/Governance/signing_authority.php</t>
  </si>
  <si>
    <t xml:space="preserve">غير موجود في سايدبار الحوكمة</t>
  </si>
  <si>
    <t xml:space="preserve">«التفويض بالتوقيع» (delegations.php) شاشةٌ من شاشات الحوكمة الأربع عشرة المعلنة في INJAZ-FRD-01 §١٣-٤ ومالكُها الحوكمة والالتزام، وعارضوها «14 إدارة».</t>
  </si>
  <si>
    <t xml:space="preserve">الحارسُ في رأس الملف يحصر الوصولَ في الأدوار -1 و1 و19 كتابةً وفي الدور 26 قراءةً: `$gov_write = ($role === '-1' || in_array($role, array('1','19'), true)); if (!$gov_write &amp;&amp; $role !== EMS_ROLE_FINANCING_MGR) { redirect }`. الدور 15 (إدارة الصلاحيات — الحوكمة) ليس في القائمتين فيُعاد توجيهُه، والشاشةُ غائبةٌ عن سايدباره تمامًا.</t>
  </si>
  <si>
    <t xml:space="preserve">الإدارةُ المالكةُ للتفويض بالتوقيع لا تستطيع فتحَ سجلِّ التفويض ولا قراءتَه — بينما إدارةُ التشغيل (1) تملك عليه صلاحيةَ كتابةٍ كاملة. انقلابُ ملكيةٍ صريحٌ في أخطر سجلٍّ قانونيٍّ في النظام.</t>
  </si>
  <si>
    <t xml:space="preserve">حارسٌ مكتوبٌ بأرقام أدوارٍ ثابتة في الكود بدل مفتاحِ صلاحيةٍ مسجَّل، وقائمةُ الأرقام نُسخت من شاشةٍ ماليةٍ (ownership_grants) دون مراجعةِ المالك.</t>
  </si>
  <si>
    <t xml:space="preserve">Governance/signing_authority.php:24-27,31-33; database/schema/seed_reference.sql:259; database/schema/seed_reference.sql:1431,1432,1447,1729</t>
  </si>
  <si>
    <t xml:space="preserve">١) ادخل بدور 15. ٢) ابحث في السايدبار عن «التفويض بالتوقيع» ⇐ غير موجود. ٣) اكتب http://localhost/ems/Governance/signing_authority.php ⇐ إعادةُ توجيهٍ برسالة «باب الحوكمة خلف صلاحيته». ٤) ادخل بدور 1 ⇐ تُفتح كاملةً بصلاحية كتابة.</t>
  </si>
  <si>
    <t xml:space="preserve">استبدالُ الفحص المرمَّز في Governance/signing_authority.php:24-26 بـcheck_page_permissions($conn,'Governance/signing_authority.php')، وتسجيلُ الشاشة موديولًا بمالكٍ 15، ومنحُ الدور 15 can_view/can_add/can_edit والدور 1 عرضًا فقط، وإضافةُ صفِّ nav_items في مجموعة «ثالثًا: الحسابات والأدوار» أو مجموعةٍ جديدة «التفويض».</t>
  </si>
  <si>
    <t xml:space="preserve">الدور 15 يفتح «التفويض بالتوقيع» من سايدباره ويضيف تفويضًا؛ والدور 1 يفتحها للقراءة ويُرفض POST منه برمز GOV-PERM-403.</t>
  </si>
  <si>
    <t xml:space="preserve">الأسطر 24-26 حرفيًّا كما وُصفت، ومصفوفةُ الصلاحيات للموديول 207 تمنح الأدوار 1 و19 كتابةً و26 و9 عرضًا ولا شيءَ للدور 15 — فانقلابُ الملكية حقيقيّ. لكنه خللُ إسنادِ صلاحياتٍ وبذرة، لا أثرًا ماليًّا غيرَ مصرَّحٍ ولا تسريبَ بيانات، وإصلاحُه صفوفُ role_permissions ونداءُ check_page_permissions.</t>
  </si>
  <si>
    <t xml:space="preserve">INJ-0067</t>
  </si>
  <si>
    <t xml:space="preserve">includes/action_guard.php · PR-05 · «الحارسُ في الخادم»</t>
  </si>
  <si>
    <t xml:space="preserve">طبقة حارس الأفعال</t>
  </si>
  <si>
    <t xml:space="preserve">http://localhost/ems/includes/action_guard.php</t>
  </si>
  <si>
    <t xml:space="preserve">«كلُّ منعٍ يُنفَّذ في الخادم قبل الحفظ … والنداءُ المخالفُ يُرفض ولو جاء بمساره مباشرةً» — والحارسُ يفحص مفتاحًا محددًا لا يُخمَّن.</t>
  </si>
  <si>
    <t xml:space="preserve">حارسُ الأفعال يمرّر تسعةَ مفاتيحَ زائفةٍ بادئتُها اسمُ مجلد (Contracts/ · Employees/ · Equipments/ · Maintenance/ · Oprators/ · Reports/ · Risk/ · Suppliers/ · Timesheet/) إلى check_page_permissions، والتي تسقط إلى استعلامٍ تقريبيّ `code LIKE '%&lt;prefix&gt;%' ORDER BY CHAR_LENGTH(code) ASC, id ASC LIMIT 1` فيُحَلّ المفتاحُ إلى أيِّ موديولٍ تحت المجلد اعتباطًا. وتعليقُ الملف نفسُه يوثّق أن هذا العطبَ أسقط ٢٧ من ٣٧ اعتمادًا في اختبار شاملٍ سابق.</t>
  </si>
  <si>
    <t xml:space="preserve">قرارُ السماح أو المنع في تسعة مجلداتٍ كاملة يُبنى على موديولٍ يُختار بطول الاسم لا على الشاشة المقصودة — فقد يُمنح فعلٌ خطيرٌ لأن موديولًا آخر تحت المجلد نفسه ممنوحٌ للدور. حارسٌ غيرُ حتميّ.</t>
  </si>
  <si>
    <t xml:space="preserve">غيابُ سجلِّ مفاتيحَ مسمّاة (انظر الملاحظة السابقة) دفع إلى تمرير بادئات مجلدات، وسقطت في مسار التطابق التقريبي في permissions_helper.</t>
  </si>
  <si>
    <t xml:space="preserve">includes/action_guard.php:39; :93; :100; includes/permissions_helper.php:512; :518</t>
  </si>
  <si>
    <t xml:space="preserve">١) امنح دورًا can_edit على شاشةٍ صغيرةٍ تحت Maintenance/ ولا تمنحه Maintenance/orders.php. ٢) نفّذ فعلًا محروسًا بمفتاح 'Maintenance/'. ٣) يُقبل الفعلُ لأن الاستعلامَ التقريبيَّ حلَّ المفتاحَ إلى الموديول الممنوح.</t>
  </si>
  <si>
    <t xml:space="preserve">استبدالُ البادئات التسع في includes/action_guard.php:39-112 بمفاتيحَ مطابقةٍ حرفيًّا لمسارات الشاشات، وإلغاءُ فرع التطابق التقريبي في includes/permissions_helper.php:512-518 واستبدالُه بمطابقةٍ حرفيةٍ ترجع null عند عدم التطابق (ثم fail-closed).</t>
  </si>
  <si>
    <t xml:space="preserve">مفتاحٌ لا يطابق موديولًا مسجَّلًا حرفيًّا يُرجع منعًا مسجَّلًا لا موديولًا مشابهًا؛ واختبارُ الاعتمادات الشامل يمرّ ٣٧/٣٧.</t>
  </si>
  <si>
    <t xml:space="preserve">السجلُّ يمرّر بادئاتِ مجلداتٍ (Risk/ · Timesheet/ · Contracts/ · Suppliers/ · Equipments/ …) إلى check_page_permissions التي تسقط إلى LIKE '%prefix%' ORDER BY CHAR_LENGTH(code) ASC (permissions_helper:511-512)، وتعليقُ الملف نفسِه يوثّق الحادثةَ (37←10). والعلمُ الحيُّ EMS_ACTION_GUARD=enforce بنصِّ docs/PHASE1_CLOSURE_REPORT_ar.md فالقرارُ نافذٌ لا مراقَب.</t>
  </si>
  <si>
    <t xml:space="preserve">INJ-0068</t>
  </si>
  <si>
    <t xml:space="preserve">GOVX-0974 · التصديرُ والاستيرادُ والمشاركة</t>
  </si>
  <si>
    <t xml:space="preserve">إطار الاستيراد الموحَّد (Excel)</t>
  </si>
  <si>
    <t xml:space="preserve">http://localhost/ems/excel.php?action=import_commit</t>
  </si>
  <si>
    <t xml:space="preserve">CORE AR-05: «الحارسُ في الخادم يرفض النداءَ ولو جاء بمساره مباشرةً» — وكلُّ كتابةٍ تمرُّ بالحارسِ المالكِ للحكمِ مهما كان مصدرُها.</t>
  </si>
  <si>
    <t xml:space="preserve">`Importer::commit` يبني جملةَ إدراجٍ عامةً `INSERT INTO `{$table}` (...) VALUES (...)` (`app/Services/Excel/Importer.php:134`) وينفّذها في معاملةٍ واحدةٍ لكلِّ الصفوف (`:145-186`) — بلا أيِّ نداءٍ للخدماتِ المالكةِ للحكم: لا `RiskService` ولا `WorkItemService` ولا حرَّاسِ فصلِ الواجباتِ ولا قادحاتِ الحالةِ ولا نشرِ أحداث. الحارسُ الوحيدُ فحصُ `can_add` على مودولِ الشاشةِ في `ExcelService` (`:61-65`).</t>
  </si>
  <si>
    <t xml:space="preserve">بابُ كتابةٍ موازٍ يلتفُّ على كلِّ الحرَّاس: يمكن استيرادُ صفوفٍ إلى `commercial_risks` أو أيِّ كيانٍ مسجَّلٍ بحالاتٍ وقيمٍ لا يسمح بها المحرّك، بلا حدثٍ منشورٍ ولا أثرٍ في «مهامي» ولا سجلِّ تدقيقٍ للفعلِ نفسِه — ويُفسد ذلك ثقةَ كلِّ المؤشراتِ المبنيةِ على تلك الجداول.</t>
  </si>
  <si>
    <t xml:space="preserve">بُني الإطارُ العامُّ للاستيرادِ على مستوى الجدولِ لا على مستوى الفعل، فتجاوز طبقةَ الخدماتِ كلَّها.</t>
  </si>
  <si>
    <t xml:space="preserve">app/Services/Excel/Importer.php:129; :134; :136; :145; :147; app/Services/Excel/ExcelService.php:61; :64; :65; app/Services/Excel/ExcelRegistry.php:941</t>
  </si>
  <si>
    <t xml:space="preserve">١) نزِّل نموذجَ الاستيرادِ لكيانٍ حاكمٍ (مثلًا `commercial_risks`) من `excel.php?entity=commercial_risks&amp;action=template`.
٢) املأه بصفوفٍ بحالاتٍ نهائيةٍ مباشرةً وارفعه عبر `import_preview` ثم `import_commit`.
٣) الصفوفُ تُدرَج كما هي؛ ولا حدثَ منشورٌ ولا عنصرُ عملٍ ولا تحققٌ من قواعدِ الحالة.</t>
  </si>
  <si>
    <t xml:space="preserve">أضِف إلى `EntityDefinition` خطّافًا إلزاميًّا `serviceInsert` يستدعي الخدمةَ المالكةَ لكلِّ صفّ، واجعل `Importer::commit` يرفض أيَّ كيانٍ لا يعرّف الخطّافَ إن كان جدولُه ضمن الجداولِ الحاكمة (`app/Core/TenantRegistry`)؛ وسجِّل لكلِّ عمليةِ استيرادٍ صفًّا في سجلِّ التدقيقِ بعددِ الصفوفِ ومرجعِ الملف.</t>
  </si>
  <si>
    <t xml:space="preserve">استيرادُ صفوفٍ إلى كيانٍ حاكمٍ يمرُّ بخدمتِه: كلُّ صفٍّ يُنتج الحدثَ نفسَه الذي ينتجه الإدخالُ اليدوي؛ والاستيرادُ إلى كيانٍ بلا خطّافٍ يُرفض برسالةٍ واضحة.</t>
  </si>
  <si>
    <t xml:space="preserve">محقَّق: Importer::commit يبني `INSERT INTO {$table}` عامًّا (سطر 134) وينفّذه لكلِّ الصفوف في معاملةٍ واحدةٍ (سطر 145-186) بلا نداءِ خدمةٍ مالكةٍ ولا قادحِ حالةٍ ولا نشرِ حدثٍ ولا سطرِ تدقيق؛ والحارسُ الوحيدُ فعلًا هو can_add وCSRF في ExcelService:56-70 و119-124 كما ذكرت الملاحظةُ نفسُها. بابُ كتابةٍ موازٍ حقيقيٌّ لكنه يظلّ خلف صلاحيةِ الإضافة على الشاشة المالكة.</t>
  </si>
  <si>
    <t xml:space="preserve">INJ-0069</t>
  </si>
  <si>
    <t xml:space="preserve">GOVX-0974-أ · «الحقولُ الحساسةُ محجوبةٌ بالصلاحية» · TABLE 46</t>
  </si>
  <si>
    <t xml:space="preserve">إطار التصدير الموحَّد (Excel)</t>
  </si>
  <si>
    <t xml:space="preserve">http://localhost/ems/excel.php?action=export</t>
  </si>
  <si>
    <t xml:space="preserve">«سجلُّ تصديرٍ … **والحقولُ الحساسةُ محجوبةٌ بالصلاحية**» — فالتسجيلُ لا يُغني عن الحجب.</t>
  </si>
  <si>
    <t xml:space="preserve">`excel.php:86-99` يقرأ الحقولَ الحساسةَ من `scr_sensitive_fields` ويكتب لكلٍّ منها صفَّ اطّلاعٍ في `sensitive_read_log`، ثم يستدعي `$service-&gt;export($def)` (`:99`) الذي يبثُّ الملفَّ **بالحقولِ كاملةً غيرَ محجوبة**. وأيُّ استثناءٍ في كتلةِ التسجيلِ يُبتلع ولا يعطّل التصدير (`:96-98` — «لا يعطل التصدير»).</t>
  </si>
  <si>
    <t xml:space="preserve">أخطرُ أبوابِ الاطّلاعِ يُسجَّل ولا يُحجب: أيُّ مستخدمٍ يملك `can_view` على الشاشةِ يصدّر ملفًّا يحوي كلَّ الحقولِ الحساسةِ (رواتبَ وأسعارَ وهوامشَ ومالكي مخاطر) خارجَ النظامِ بلا قيد. وإن فشل التسجيلُ خرج الملفُّ بلا أثرٍ إطلاقًا.</t>
  </si>
  <si>
    <t xml:space="preserve">نُفِّذ شقُّ «السجل» من الحكمِ دون شقِّ «الحجب»، ولم تُوصَل `SensitiveFieldGuard` بمسارِ التصدير.</t>
  </si>
  <si>
    <t xml:space="preserve">excel.php:82; :86; :89; :93; :96; :97; :99; app/Services/Security/SensitiveFieldGuard.php:103; app/Services/Excel/ExcelService.php:64</t>
  </si>
  <si>
    <t xml:space="preserve">١) بدورٍ غيرِ مخوَّلٍ لحقلٍ حساسٍ في كيانٍ ما، افتح `excel.php?entity=&lt;كيان&gt;&amp;action=export`.
٢) افتح الملفَّ الناتج: العمودُ الحساسُ موجودٌ بقيمِه.
٣) استعلم `sensitive_read_log`: صفٌّ مسجَّلٌ باسمِك — أي أنَّ النظامَ سجَّل التسريبَ ولم يمنعه.</t>
  </si>
  <si>
    <t xml:space="preserve">في `excel.php` قبل السطر 99 مرِّر إلى `ExcelService::export` قائمةَ الحقولِ المحظورةِ على دورِ الجلسةِ من `SensitiveFieldGuard::canRead`، واجعل المصدِّرَ يستبدل قيمَها بـ`●●●` أو يحذف أعمدتَها؛ واجعل فشلَ كتلةِ التسجيلِ يوقف التصديرَ لا يتجاوزَه.</t>
  </si>
  <si>
    <t xml:space="preserve">تصديرُ كيانٍ فيه حقلٌ حساسٌ بدورٍ غيرِ مخوَّل: العمودُ محجوبٌ في الملفِّ الناتج؛ وبدورٍ مخوَّل: ظاهرٌ ومسجَّلٌ اطّلاعُه.</t>
  </si>
  <si>
    <t xml:space="preserve">‏excel.php:86-99 يقرأ scr_sensitive_fields ويكتب سطرَ اطّلاعٍ ثم يستدعي export بلا تمريرِ أيِّ قائمةِ حجب، وSensitiveFieldGuard::filterRow (المُقنِّعُ والمُسقِط) بلا مستدعٍ إنتاجيٍّ واحد؛ والاستثناءُ يُبتلع في :96-98 فيخرج الملفُّ بلا تسجيلٍ أصلًا.</t>
  </si>
  <si>
    <t xml:space="preserve">INJ-0070</t>
  </si>
  <si>
    <t xml:space="preserve">§١٤-٣ المرحلة ٢ (ثانيًا: التصنيف والتوجيه — بلاغ مصنَّف محال) · ticket_route.php</t>
  </si>
  <si>
    <t xml:space="preserve">مركز البلاغات</t>
  </si>
  <si>
    <t xml:space="preserve">تصنيف البلاغ وتوجيهه آليًّا</t>
  </si>
  <si>
    <t xml:space="preserve">http://localhost/ems/Tickets/ticket_types_config.php</t>
  </si>
  <si>
    <t xml:space="preserve">ثانيًا: التصنيف والتوجيه</t>
  </si>
  <si>
    <t xml:space="preserve">المرحلة الثانية «التصنيف والتوجيه» مستندُها «بلاغ مصنَّف محال» ومعتمِدُها مركز البلاغات، وشاشتُها ticket_route.php بـ٢٢ عمودًا وفعلٍ واحد.</t>
  </si>
  <si>
    <t xml:space="preserve">الرابطُ في مجموعة «ثانيًا: التصنيف والتوجيه» عنوانُه «تصنيف البلاغ وتوجيهه آليًّا» ويقود إلى Tickets/ticket_types_config.php — وهي شاشةُ إعداداتِ أنواعِ البلاغات (مرجعٌ ثابت)، لا شاشةَ تصنيفِ بلاغٍ بعينه. والشاشةُ الحقيقية موجودةٌ وتعمل: Tickets/intake_classify.php تصنّف البلاغَ الجديد وتحدّث owner_role_id وتنقل المرحلةَ إلى 'routed' — وليس لها صفُّ nav_items في أيِّ سايدبار. والملفُّ نفسُه ticket_types_config.php مربوطٌ ثانيةً بمجموعة «إعدادات البلاغات» (المرحلة ٨) بمرساةٍ مختلفة.</t>
  </si>
  <si>
    <t xml:space="preserve">Wrong Label</t>
  </si>
  <si>
    <t xml:space="preserve">مديرُ البلاغات لا يجد شاشةَ تصنيف البلاغات في قائمته؛ يفتح شاشةَ الإعدادات ظنًّا أنه يصنّف. والمرحلةُ الثانية — قلبُ عمل المركز اليومي — بلا منفذ. وفي الوقت نفسه ملفُّ الإعدادات مكرَّرٌ في مجموعتين بعنوانين مختلفين.</t>
  </si>
  <si>
    <t xml:space="preserve">خريطةُ البذرة أسندت شاشةَ المرحلة إلى ملفِّ الإعدادات، ولم يُنشأ صفٌّ لـintake_classify.php التي بُنيت لاحقًا في موجة update0007-ب.</t>
  </si>
  <si>
    <t xml:space="preserve">database/schema/seed_reference.sql:4921 (nav#6742); :4932 (nav#6753); :4014 (nav#1334 active=0)</t>
  </si>
  <si>
    <t xml:space="preserve">١) ادخل بدور 24. ٢) افتح «ثانيًا: التصنيف والتوجيه» ⇐ الرابطُ يفتح إعداداتِ الأنواع. ٣) افتح «إعدادات البلاغات» ⇐ الملفُّ نفسُه. ٤) اكتب http://localhost/ems/Tickets/intake_classify.php ⇐ شاشةُ التصنيف الحقيقية تعمل ولا رابطَ لها.</t>
  </si>
  <si>
    <t xml:space="preserve">تعديلُ صفِّ nav_items للمرحلة ٢ ليشير إلى Tickets/intake_classify.php بعنوان «تصنيف البلاغ وتوجيهه آليًّا»، وإبقاءُ ticket_types_config.php في المرحلة ٨ وحدَها بعنوان «إعدادات البلاغات — الأنواع»، فيزول التكرارُ ويُصحَّح المسار.</t>
  </si>
  <si>
    <t xml:space="preserve">مكتب الهندسة — مولّد التنقل NAV-09</t>
  </si>
  <si>
    <t xml:space="preserve">مجموعةُ «ثانيًا: التصنيف والتوجيه» تفتح شاشةَ تصنيف البلاغات الجديدة؛ وملفُّ إعدادات الأنواع يظهر مرةً واحدةً في السايدبار.</t>
  </si>
  <si>
    <t xml:space="preserve">صفُّ nav 6742 للمرحلة الثانية يقود إلى `Tickets/ticket_types_config.php` (شاشةُ إعداداتٍ تتكرر في المرحلة ٨ بالصف 6753)، بينما `Tickets/intake_classify.php` صفُّه الوحيد active=0 في مجموعة «خارج الوثيقة».</t>
  </si>
  <si>
    <t xml:space="preserve">INJ-0071</t>
  </si>
  <si>
    <t xml:space="preserve">PR-05 الحارسُ في الخادم · TABLE 46 (الحارسُ + مفتاحُ منع التكرار)</t>
  </si>
  <si>
    <t xml:space="preserve">لوحة المسارات المتوازية</t>
  </si>
  <si>
    <t xml:space="preserve">http://localhost/ems/Tickets/ticket_workstreams_board.php</t>
  </si>
  <si>
    <t xml:space="preserve">ثالثًا: التحويل والتفريع</t>
  </si>
  <si>
    <t xml:space="preserve">كلُّ منعٍ في الخادم قبل الحفظ، والنداءُ المخالفُ يُرفض ولو جاء من أداةٍ خارجية — ويُسجَّل الرفض.</t>
  </si>
  <si>
    <t xml:space="preserve">معالجُ POST يقبل سبعةَ أفعالٍ بشرطٍ واحدٍ هو can_edit على الشاشة، بلا أيِّ تحقّقٍ من أن المستخدم طرفٌ في المسار (مكلَّفٌ أو مبلِّغٌ أو من الإدارة المالكة) وبلا رمز CSRF. واستعلامُ اللوحة يجلب كلَّ بلاغات الشركة المفتوحة بلا أيِّ ترشيحٍ بالسرية (ConfidentialityGuard بلا نداءٍ إنتاجيٍّ في النظام كلِّه).</t>
  </si>
  <si>
    <t xml:space="preserve">أيُّ حاملٍ لـcan_edit يستلم ويبدأ ويعلّق ويُنجز ويغلق ويعيد فتحَ أيِّ مسارٍ لأيِّ بلاغٍ في الشركة — بما فيها بلاغاتُ الشكاوى والسرية. وغيابُ رمز CSRF يجعل إغلاقَ بلاغٍ ممكنًا بطلبٍ مزوَّرٍ من موقعٍ آخر.</t>
  </si>
  <si>
    <t xml:space="preserve">الحراسةُ صُمّمت على مستوى الشاشة لا على مستوى الصف؛ وحارسُ السرية بُني ولم يُوصَل.</t>
  </si>
  <si>
    <t xml:space="preserve">Tickets/ticket_workstreams_board.php:38; :41; :71; app/Services/Tickets/ConfidentialityGuard.php:51</t>
  </si>
  <si>
    <t xml:space="preserve">١) ادخل بدورٍ له can_edit على اللوحة وليس مكلَّفًا بأيِّ مسار. ٢) افتح اللوحة ⇐ ترى كلَّ بلاغات الشركة المفتوحة بما فيها السرية. ٣) اضغط «إنجاز» على مسارٍ لا تخصّك ⇐ ينفَّذ. ٤) أرسل نفسَ POST بلا رمز CSRF ⇐ ينفَّذ.</t>
  </si>
  <si>
    <t xml:space="preserve">إضافةُ فحصِ طرفيةٍ في Tickets/ticket_workstreams_board.php قبل تنفيذ الفعل: يُقبل الفعلُ إن كان المستخدمُ مكلَّفَ المسار أو مبلِّغَ البلاغ أو من دور 24، وإلا 403 مسجَّل؛ وإلزامُ رمز CSRF في النموذج والتحقّقُ منه في المعالج؛ وتمريرُ استعلام اللوحة عبر ConfidentialityGuard لترشيح البلاغات السرية.</t>
  </si>
  <si>
    <t xml:space="preserve">فريق الباك-إند — وحدة مركز البلاغات</t>
  </si>
  <si>
    <t xml:space="preserve">مستخدمٌ ليس طرفًا في مسارٍ يُرفض فعلُه 403 ويُسجَّل؛ والبلاغاتُ السرية لا تظهر في اللوحة لغير أطرافها؛ وطلبٌ بلا رمز CSRF يُرفض.</t>
  </si>
  <si>
    <t xml:space="preserve">تحقّقت بدقة: معالجُ الـPOST (:41) يقبل سبعةَ أفعالٍ بشرط can_edit وحدَه بلا تحقّقٍ من كون المستخدم طرفًا وبلا رمز CSRF، واستعلامُ اللوحة (:71) يجلب كلَّ بلاغات الشركة المفتوحة بلا مرشِّح سرية، و`ConfidentialityGuard` بلا مستدعٍ إنتاجيٍّ واحد.</t>
  </si>
  <si>
    <t xml:space="preserve">INJ-0072</t>
  </si>
  <si>
    <t xml:space="preserve">AR-02 التكاملُ بالأحداث لا بالنداء · §١٥-٥ «لا إدارةَ تكتب في جداول إدارةٍ أخرى» · §١٥-١ «ما لا تملكه: كرتَ المعدة»</t>
  </si>
  <si>
    <t xml:space="preserve">إدارة الصيانة</t>
  </si>
  <si>
    <t xml:space="preserve">العودة للخدمة</t>
  </si>
  <si>
    <t xml:space="preserve">http://localhost/ems/Maintenance/return_to_service.php</t>
  </si>
  <si>
    <t xml:space="preserve">«تتصل الإداراتُ بأحداثٍ منشورةٍ يستهلكها من يعنيه … لا نداءٌ مباشر» (AR-02) و«لا إدارةَ تكتب في جداول إدارةٍ أخرى — والأثرُ ينتقل بالأحداث» (§١٥-٥)، و«ما لا تملكه إدارةُ الصيانة: كرتَ المعدة».</t>
  </si>
  <si>
    <t xml:space="preserve">استعلامٌ خامٌّ يتجاوز بوابةَ العزل (والمخاطرةُ نظريةٌ لأن الصفَّ الأبَ مُرشَّحٌ بالشركة)، وصفرُ فحصِ صلاحيةٍ في الشاشة كلِّها — فأيُّ مستخدمٍ في الكيان يُقفل أمرًا ويعيد معدةً للخدمة. — [مُصحَّح بعد التحقق] الصياغة الأولى: السطرُ 27 استعلامٌ خامٌّ مبنيٌّ بدمج النصوص يكتب مباشرةً في جدول الأسطول: UPDATE equipments SET status=1 WHERE id=... — بلا بوابة المستأجر (ems_tenant_db) فبلا حقنِ شرطِ الشركة، وبلا حدثٍ منشور، وبلا </t>
  </si>
  <si>
    <t xml:space="preserve">إدارةُ الصيانة تغيّر حالةَ أصلٍ في سجلِّ الأسطول بيدها؛ فمصدرُ الحقيقة لحالة المعدة مزدوج. والأخطرُ أن الاستعلامَ بلا عزلِ كيان: قيمةُ equipment_id مأخوذةٌ من صفِّ أمرٍ تحقّق من شركته، لكن الكتابةَ نفسَها بلا شرطِ company_id فتخرج عن الطبقة الوحيدة التي يفرضها AR-01 — سابقةٌ خطيرةٌ في مسارٍ مالي/تشغيليٍّ حسّاس.</t>
  </si>
  <si>
    <t xml:space="preserve">كُتب المعالجُ باستعلاماتٍ خامّةٍ (mysqli_query) بدل بوابة المستأجر المستعملة في بقية المجلد، ولم يُبنَ ناشرُ حدثِ الجاهزية.</t>
  </si>
  <si>
    <t xml:space="preserve">Maintenance/return_to_service.php:9-16,22-28; Maintenance/mnt_helpers.php:118,186</t>
  </si>
  <si>
    <t xml:space="preserve">١) اقرأ Maintenance/return_to_service.php:27 ⇐ استعلامٌ خامٌّ على equipments بلا company_id. ٢) نفّذ الفعل ⇐ يتغيّر equipments.status. ٣) ابحث عن حدثٍ منشورٍ للجاهزية ⇐ لا شيء.</t>
  </si>
  <si>
    <t xml:space="preserve">استبدالُ الاستعلام الخام في Maintenance/return_to_service.php:26-28 بنشرِ حدثٍ EquipmentReadinessCertified عبر App\Core\EventPublisher يحمل equipment_id وorder_id وشهادةَ الجاهزية، وبناءُ مستهلكٍ في وحدة الأسطول هو الوحيدُ الذي يكتب equipments.status — فيلتزم AR-02 وتُصان ملكيةُ كرت المعدة.</t>
  </si>
  <si>
    <t xml:space="preserve">مكتب الهندسة — طبقة الأحداث والحراس</t>
  </si>
  <si>
    <t xml:space="preserve">إقفالُ أمرِ صيانةٍ لا يكتب في جدول equipments من كود الصيانة؛ بل ينشر حدثًا يستهلكه الأسطولُ فيغيّر حالةَ المعدة، ويظهر الحدثُ بمفتاح منعِ تكرارٍ ومعرّفِ ارتباط.</t>
  </si>
  <si>
    <t xml:space="preserve">السطرُ 27 كما وُصف: UPDATE equipments SET status=1 خامًّا بلا بوابة المستأجر وبلا حدث. لكن equipment_id مقروءٌ من صفٍّ مُرشَّحٍ بـcompany_id=$company_id (:23) فلا كتابةَ عابرةَ كيانٍ عمليًّا، وكتابةُ الصيانةِ في equipments نمطٌ قائمٌ ومقنَّنٌ في Maintenance/mnt_helpers.php:118,186 عبر البوابة — فليست سابقةَ ملكيةٍ فريدة. والأخطرُ مما ذُكر: الملفُّ كلُّه بلا أيِّ فحصِ صلاحية.</t>
  </si>
  <si>
    <t xml:space="preserve">INJ-0073</t>
  </si>
  <si>
    <t xml:space="preserve">§١٥-٢ الدورةُ المستنديةُ (… محضرُ إقفالٍ · شهادةُ جاهزية) · §١٥-٣ المرحلة ٥</t>
  </si>
  <si>
    <t xml:space="preserve">المرحلةُ الخامسة «الإقفال وإعادة الخدمة» مستندُها «محضر إقفال · شهادة جاهزية» ومعتمِدُها مديرُ الصيانة؛ و«لكل مرحلةٍ مستندٌ يُنتَج ومعتمِدٌ يشهد — ولا مرحلةَ بلا مخرَج»؛ وشهادةُ الجاهزية الفنية هي مستندُ المرحلة الثانية في دورة الأسطول (§٨-٣).</t>
  </si>
  <si>
    <t xml:space="preserve">شهادةُ الجاهزية لا تُحفظ إطلاقًا: القيمةُ تُقرأ في المتغير $cert وتُستعمل في نصِّ رسالةِ النجاح فقط ($msg) ثم تُهمَل. لا عمودَ ولا جدولَ يستقبلها، ولا مرفقَ ولا توقيعَ ولا رقمَ مستند. والمُقفِلُ لا يُسجَّل (لا عمودَ closed_by يُكتب) ولا وقتُ الشهادة.</t>
  </si>
  <si>
    <t xml:space="preserve">المستندُ الحاكم للمرحلة الخامسة غيرُ موجودٍ في النظام: لا يمكن إثباتُ من شهد بجاهزية المعدة ولا بماذا شهد. والمرحلةُ التي «لا مرحلةَ بلا مخرَج» بلا مخرَج. وإدارةُ الأسطول تستلم معدةً «جاهزة» بلا شهادةٍ تسندها — وهو انقطاعٌ في سلسلة الأدلة يمتدّ إلى الفوترة.</t>
  </si>
  <si>
    <t xml:space="preserve">بُني الحقلُ في النموذج كإلزامٍ شكليٍّ (required) ولم يُبنَ له مخزن؛ والشاشةُ خارج السايدبار فلم تُختبر.</t>
  </si>
  <si>
    <t xml:space="preserve">Maintenance/return_to_service.php:20,21,28; database/schema/schema.sql:6735</t>
  </si>
  <si>
    <t xml:space="preserve">١) افتح Maintenance/return_to_service.php. ٢) اكتب شهادةً واضغط «أعد للخدمة وأقفل». ٣) تظهر الشهادةُ في رسالة النجاح. ٤) استعلم mnt_order عن الأمر ⇐ لا عمودَ يحمل نصَّ الشهادة ولا مرجعَ مستند.</t>
  </si>
  <si>
    <t xml:space="preserve">إضافةُ أعمدةِ readiness_note وreadiness_by وreadiness_at إلى mnt_order في هجرة، وكتابتُها في نفس معاملة الإقفال في Maintenance/return_to_service.php:26-28، وعرضُ الشهادة في بطاقة الأمر وفي جدول العودة للخدمة كمستندٍ لا كرسالة.</t>
  </si>
  <si>
    <t xml:space="preserve">فريق الباك-إند — وحدة الصيانة</t>
  </si>
  <si>
    <t xml:space="preserve">إقفالُ أمرٍ بشهادةِ جاهزيةٍ يُخزّن نصَّ الشهادة ومُصدِرَها ووقتَها في صفِّ الأمر، وتظهر في بطاقة الأمر وفي أيِّ تصديرٍ للأوامر المقفلة.</t>
  </si>
  <si>
    <t xml:space="preserve">تحققتُ حرفيًّا: $cert يُقرأ في السطر 20 ويُفحَص فراغُه في 21 ويُستعمل في نصِّ $msg في السطر 28 ثم يُهمَل — ولا عمودَ يستقبله؛ و mnt_order فيه closed_by (schema.sql:6735) ولا يُكتب هنا. لكن العيبَ نقصُ حفظِ مستندٍ يُصلَح بهجرةٍ صغيرةٍ وثلاثةِ أعمدة، لا أثرًا غيرَ مصرَّحٍ ولا فقدانَ مصدرِ حقيقةٍ قائم.</t>
  </si>
  <si>
    <t xml:space="preserve">INJ-0074</t>
  </si>
  <si>
    <t xml:space="preserve">§٨-٣ إدارة الأسطول (مرحلة ٢ الجاهزية والتفعيل) · سلسلةُ الجاهزية ← توفرُ التشغيل</t>
  </si>
  <si>
    <t xml:space="preserve">جاهزية الأسطول وتوفر التشغيل</t>
  </si>
  <si>
    <t xml:space="preserve">http://localhost/ems/Fleet/readiness_board.php</t>
  </si>
  <si>
    <t xml:space="preserve">لوحة الإدارة (الدور 3)</t>
  </si>
  <si>
    <t xml:space="preserve">«الجاهزية والتفعيل — المستند: شهادة جاهزية فنية — المعتمِد: الصيانة»؛ والجاهزيةُ محسوبةٌ من مصادرها لا حقولًا محلية، وتُغذّي توفّرَ التشغيل.</t>
  </si>
  <si>
    <t xml:space="preserve">السلسلةُ تعمل بالقراءة لا بالمستند: لوحةُ الجاهزية تحسب النسبةَ من مصادرَ حية (وحداتُ اليوم · البلاغاتُ المفتوحة · حالُ الإتاحة) — وهو صحيحٌ — لكن الطرفَ الذي يفترض أن يعتمده (شهادةُ الجاهزية الفنية من الصيانة) غيرُ مخزَّنٍ أصلًا (انظر ملاحظة العودة للخدمة)، وتغييرُ حالة المعدة يقع بكتابةٍ مباشرةٍ من الصيانة على equipments وoperations لا بحدثٍ يحمل الشهادة. فتوفّرُ التشغيل يتغيّر بلا مستندٍ يسنده.</t>
  </si>
  <si>
    <t xml:space="preserve">«جاهزيةُ الأسطول» رقمٌ يتغيّر بلا مستندٍ يمكن الرجوعُ إليه: لا يمكن الإجابةُ عن «بأيِّ شهادةٍ عادت هذه المعدةُ للخدمة ومن وقّعها» — وهو سؤالٌ تعاقديٌّ مباشرٌ يؤثر في المطالبة والاستحقاق.</t>
  </si>
  <si>
    <t xml:space="preserve">بُنيت اللوحةُ حاسبةً من الحقول التشغيلية، ولم يُبنَ مستندُ الشهادة ولا الحدثُ الذي يحمله.</t>
  </si>
  <si>
    <t xml:space="preserve">Fleet/readiness_board.php:2; :6; :24; Maintenance/return_to_service.php:20; :27; Maintenance/mnt_helpers.php:112; :118; :140</t>
  </si>
  <si>
    <t xml:space="preserve">١) أقفل أمرَ صيانةٍ عبر Maintenance/return_to_service.php. ٢) افتح Fleet/readiness_board.php ⇐ ترتفع نسبةُ الجاهزية. ٣) اضغط على خلية المعدة وابحث عن شهادة الجاهزية التي أعادتها ⇐ لا مستند.</t>
  </si>
  <si>
    <t xml:space="preserve">ربطُ السلسلة بالمستند: تخزينُ شهادة الجاهزية في mnt_order (انظر الملاحظة المخصصة)، ونشرُ حدث EquipmentReadinessCertified يحمل رقمَ الشهادة، وعرضُ رقم آخرِ شهادةِ جاهزيةٍ وتاريخِها في بطاقة كل معدةٍ في لوحة الجاهزية.</t>
  </si>
  <si>
    <t xml:space="preserve">كلُّ معدةٍ في لوحة الجاهزية تعرض مرجعَ آخر شهادةِ جاهزيةٍ وتاريخَها ومُصدرَها، والنقرُ عليه يفتح الأمرَ الذي أصدرها.</t>
  </si>
  <si>
    <t xml:space="preserve">return_to_service.php يفرض نصَّ شهادة الجاهزية (السطر 20-21) ثم لا يخزّنه — يعرضه في الرسالة ويحدّث mnt_order وequipments مباشرةً، فلا مستندَ يسند تغيّرَ الجاهزية ولا معتمِدَ يُختم.</t>
  </si>
  <si>
    <t xml:space="preserve">INJ-0075</t>
  </si>
  <si>
    <t xml:space="preserve">PR-05 الحارسُ في الخادم · TABLE 46 (الحارسُ لكلِّ فعلِ كتابة)</t>
  </si>
  <si>
    <t xml:space="preserve">«كلُّ منعٍ يُنفَّذ في الخادم قبل الحفظ … والنداءُ المخالفُ يُرفض ولو جاء بمساره مباشرةً أو من أداةٍ خارجية — ويُسجَّل الرفضُ بالمستخدم والوقت والرمز» — ولكلِّ فعلِ كتابةٍ حارسٌ.</t>
  </si>
  <si>
    <t xml:space="preserve">الشاشةُ بلا حارسٍ للكتابة **وللعرض** معًا لأنها غيرُ مسجَّلةٍ موديولًا (get_current_page_permissions يعيد can_view=true عند id===null). — [مُصحَّح بعد التحقق] الصياغة الأولى: الشاشة تُضمّن includes/permissions_helper.php ولا تستدعي منه شيئًا: الحارسُ الوحيد وجودُ الجلسة. لا check_page_permissions ولا فحصُ can_edit ولا رمزُ CSRF. ومعالجُ POST يُقفل أمرَ الصيانة ويعيد المعدة</t>
  </si>
  <si>
    <t xml:space="preserve">أيُّ مستخدمٍ مصادَقٍ في الشركة — سائقٌ أو محاسب — يُقفل أيَّ أمرِ صيانةٍ منجَزٍ ويعيد المعدةَ للخدمة بطلبٍ واحد. شهادةُ الجاهزية الفنية — التي يشهد بها مديرُ الصيانة وتفتح بابَ التشغيل والفوترة — تُصدَر بيد من لا صلاحيةَ له، بلا رفضٍ ولا سجل.</t>
  </si>
  <si>
    <t xml:space="preserve">الشاشة بُنيت في موجة update0007 خارج نمط الحراسة المتبع في المجلد (Maintenance/orders.php:35 يستدعي الحارس)، وبقيت خارج السايدبار فلم تُلحظ.</t>
  </si>
  <si>
    <t xml:space="preserve">Maintenance/return_to_service.php:18; :26; :27; :46; includes/permissions_helper.php:621-629</t>
  </si>
  <si>
    <t xml:space="preserve">١) ادخل بحسابٍ بدورٍ غيرِ صيانيٍّ (مثلًا 12 المبيعات) وله company_id. ٢) اكتب http://localhost/ems/Maintenance/return_to_service.php ⇐ تُفتح وتعرض الأوامر المنجَزة. ٣) اكتب شهادةً واضغط «أعد للخدمة وأقفل» ⇐ يُقفل الأمرُ وتعود المعدة. ٤) لا صفَّ رفضٍ في guard_denials.</t>
  </si>
  <si>
    <t xml:space="preserve">إضافةُ الكتلة المتبعة في Maintenance/orders.php:35-43 إلى رأس Maintenance/return_to_service.php قبل معالج POST: check_page_permissions($conn,'Maintenance/return_to_service.php') وحجبُ can_view وحجبُ POST بلا can_edit مع log_security_event، وإلزامُ رمز CSRF في النموذج.</t>
  </si>
  <si>
    <t xml:space="preserve">دورٌ بلا can_edit على شاشة العودة للخدمة يُرفض 403 ويُسجَّل الرفض؛ ودورُ الصيانة يُقفل الأمرَ ويُعيد المعدة.</t>
  </si>
  <si>
    <t xml:space="preserve">محقَّق: Maintenance/return_to_service.php:18-32 يُقفل mnt_order ويعيد المعدةَ للخدمة (`UPDATE equipments SET status=1`) بلا أيِّ فحصِ صلاحيةٍ ولا CSRF، وinsidebar في السطر 46 بعد الكتابة؛ والأسوأُ مما ذُكر أن الشاشةَ **غيرُ مسجَّلةٍ في modules** فالحارسُ المركزيُّ يمرّها شفافةً حتى للعرض. أثرٌ تشغيليٌّ غيرُ مأذونٍ وقابلٌ للعكس — دون عتبة P0 المالية/القانونية.</t>
  </si>
  <si>
    <t xml:space="preserve">INJ-0076</t>
  </si>
  <si>
    <t xml:space="preserve">GOV-018-د «اعتمادُ الذات» · §٢٦-٣ مصدر ٤ «أمرُ عملٍ أُقفل | شرطُه: فحصٌ نهائيٌّ ناجح | من يُنسب إليه: الفنيُّ ومديرُ الصيانة»</t>
  </si>
  <si>
    <t xml:space="preserve">أوامر الصيانة</t>
  </si>
  <si>
    <t xml:space="preserve">http://localhost/ems/Maintenance/orders.php</t>
  </si>
  <si>
    <t xml:space="preserve">ثانيًا: أمر العمل والتكليف</t>
  </si>
  <si>
    <t xml:space="preserve">«أمرُ عملٍ أُقفل | شرطُه: فحصٌ نهائيٌّ ناجح | من يُنسب إليه: الفنيُّ ومديرُ الصيانة» — يدان لا يدٌ واحدة؛ و«اعتمادُ الذات» من المنع المطلق.</t>
  </si>
  <si>
    <t xml:space="preserve">شاشةُ الأوامر تفحص can_edit وحدَه للانتقال إلى حالة «إغلاق»؛ ولا فحصَ يمنع أن يكون المُقفِلُ هو الفنيَّ المكلَّفَ نفسَه ولا أن يكون منشئَ الأمر. وشاشةُ العودة للخدمة تُقفل بلا أيِّ فحصِ صلاحيةٍ أصلًا. ورأسُ الملف يعلن «بلا اعتماد (DEC-14)» — أي أن الأمرَ يُقفل بيدٍ واحدةٍ بقرارِ تصميم.</t>
  </si>
  <si>
    <t xml:space="preserve">الفنيُّ الذي نفّذ الإصلاح يقفل أمرَه ويشهد بنجاح الفحص النهائيِّ بنفسه؛ فتسقط «اليدُ الثانية» المنصوصُ عليها في معيار الإنجاز، ويصير إقفالُ الأوامر — وما يترتب عليه من جاهزيةٍ وتكلفةٍ — بلا شاهدٍ مستقلّ.</t>
  </si>
  <si>
    <t xml:space="preserve">قرارُ تصميمٍ سابق (DEC-14: «بلا اعتماد») لم يُراجَع بعد صدور معيار §٢٦-٣ الذي ينسب الإقفالَ إلى الفنيِّ ومديرِ الصيانة معًا.</t>
  </si>
  <si>
    <t xml:space="preserve">Maintenance/orders.php:4; :35; :38; :46; Maintenance/return_to_service.php:18; app/Services/Security/SelfGrantGuard.php</t>
  </si>
  <si>
    <t xml:space="preserve">١) بدور 13 أنشئ أمرًا وكلّف نفسَك فنيًّا. ٢) انقله إلى حالة «فحص» ثم «إغلاق» ⇐ يُقبل. ٣) لا رسالةَ منعٍ ولا صفَّ رفض.</t>
  </si>
  <si>
    <t xml:space="preserve">إضافةُ حارسٍ في معالج تغيير الحالة في Maintenance/orders.php يمنع الانتقالَ إلى «إغلاق» إن كان المستخدمُ هو الفنيَّ المكلَّفَ أو منشئَ الأمر، ويشترط can_edit على مستوى مديرِ الصيانة؛ وتسجيلُ الرفض؛ وتوثيقُ مراجعة قرار DEC-14 في ملف التتبع.</t>
  </si>
  <si>
    <t xml:space="preserve">محاولةُ الفنيِّ المكلَّف إقفالَ أمره تُرفض 403 وتُسجَّل؛ وإقفالُ مديرِ الصيانة يمرّ ويسجّل اسمين: الفنيَّ والمقفِل.</t>
  </si>
  <si>
    <t xml:space="preserve">رأسُ Maintenance/orders.php يعلن «بلا اعتماد (DEC-14)» والانتقالُ إلى «إغلاق» يفحص can_edit وحدَه بلا مقارنةٍ بالفنيِّ أو المنشئ؛ وأخطرُ منه أن Maintenance/return_to_service.php يعالج POST (سطر 18) بلا أيِّ فحصِ صلاحيةٍ إطلاقًا وقبل تضمين insidebar.</t>
  </si>
  <si>
    <t xml:space="preserve">INJ-0077</t>
  </si>
  <si>
    <t xml:space="preserve">PR-05 الحارسُ في الخادم · ٤-١ المبادئُ الاثنا عشرَ الحاكمة</t>
  </si>
  <si>
    <t xml:space="preserve">القوى التشغيلية</t>
  </si>
  <si>
    <t xml:space="preserve">تسجيل التايم شيت والإنتاج</t>
  </si>
  <si>
    <t xml:space="preserve">http://localhost/ems/Timesheet/timesheet.php</t>
  </si>
  <si>
    <t xml:space="preserve">رابعًا: الوردية والتناوب التبادلي</t>
  </si>
  <si>
    <t xml:space="preserve">الكتابةُ (إنشاءُ وتعديلُ صفوف التايم شيت) تقع قبل الحارس المركزي فتمرّ بلا can_add/can_edit؛ أمّا عرضُ الشاشة فمحروسٌ بـcan_view. — [مُصحَّح بعد التحقق] الصياغة الأولى: الشاشة لا تستدعي check_page_permissions إطلاقًا؛ حارسُها الوحيد وجودُ الجلسة وcompany_id &gt; 0. والحارسُ المركزيُّ enforce_current_page_view_permission يعمل داخل insidebar.php وهو مُضمَّنٌ في السطر 695 </t>
  </si>
  <si>
    <t xml:space="preserve">أيُّ مستخدمٍ مصادَقٍ في الشركة يُنشئ ويعدّل صفوفَ التايم شيت بطلبٍ مباشر — وهي مصدرُ الحقيقة الذي تُبنى عليه مطالبةُ العميل ومستحقُّ المورد وأجرُ المشغّل. لا رفضَ ولا سجلَّ رفض. أخطرُ ثغرةِ صلاحيةٍ ذاتِ أثرٍ ماليٍّ في نطاق هذا التدقيق.</t>
  </si>
  <si>
    <t xml:space="preserve">الشاشةُ موروثةٌ وتعتمد على الحارس المركزي في insidebar، وترتيبُ التضمين يضع الحارسَ بعد المعالج — نمطٌ يتكرر في الشاشات الموروثة الكبيرة.</t>
  </si>
  <si>
    <t xml:space="preserve">Timesheet/timesheet.php:15; :229; :610-625; :695; insidebar.php:12-14</t>
  </si>
  <si>
    <t xml:space="preserve">١) ادخل بحسابٍ بدورٍ لا علاقةَ له بالتايم شيت (مثلًا 25 أمين المستودع). ٢) أرسل POST إلى http://localhost/ems/Timesheet/timesheet.php بحقل operator وبقية الحقول. ٣) يُنشأ صفُّ تايم شيت. ٤) لا صفَّ رفضٍ في guard_denials.</t>
  </si>
  <si>
    <t xml:space="preserve">إضافةُ check_page_permissions($conn,'Timesheet/timesheet.php') في رأس Timesheet/timesheet.php قبل السطر 229، وحجبُ العرض عند غياب can_view وحجبُ POST عند غياب can_add (للإنشاء) وcan_edit (للتعديل) مع log_security_event — أي نقلُ الحارس قبل المعالج لا بعده.</t>
  </si>
  <si>
    <t xml:space="preserve">فريق الباك-إند — وحدة القوى التشغيلية</t>
  </si>
  <si>
    <t xml:space="preserve">دورٌ بلا can_add على Timesheet/timesheet.php يُرفض 403 عند إرسال POST ويُسجَّل الرفض؛ ودورُ القوى التشغيلية يُنشئ الصفَّ بنجاح.</t>
  </si>
  <si>
    <t xml:space="preserve">محقَّق حرفيًّا: Timesheet/timesheet.php لا يستدعي check_page_permissions قط، والحارسُ الوحيدُ الجلسةُ وcompany_id&gt;0 (سطر 15)، ومعالجُ POST يبدأ في السطر 229 ويكتب عبر البوابة في 610-625 بينما insidebar في السطر 695؛ غير أن الشاشةَ مسجَّلةٌ موديولًا فالعرضُ محروسٌ — والخللُ في مسار الكتابة وحدَه، وهو مصدرُ حقيقةِ الساعات للفوترة.</t>
  </si>
  <si>
    <t xml:space="preserve">INJ-0078</t>
  </si>
  <si>
    <t xml:space="preserve">q7_import · «الاستيرادُ يمرّ بحرّاس الإدخال اليدويِّ نفسِها»</t>
  </si>
  <si>
    <t xml:space="preserve">تسجيل التايم شيت والإنتاج — الاستيراد</t>
  </si>
  <si>
    <t xml:space="preserve">البيانُ يُدخل مرةً واحدةً في مصدره المعتمد ويمرّ بحرّاسه؛ والحرّاسُ في الخادم قبل الحفظ لا في الشاشة وحدَها.</t>
  </si>
  <si>
    <t xml:space="preserve">الاستيرادُ يلتفّ على حرّاس المجال (الطاقة · الوثائق · المرآة · الحدث · سجلّ التدقيق) لكنه يظلّ خلف CSRF وفحصِ can_add على موديول شاشة التايم شيت. — [مُصحَّح بعد التحقق] الصياغة الأولى: كيانُ timesheet مسجَّلٌ في إطار الاستيراد الموحَّد، والمستورِدُ يبني INSERT مباشرًا على جدول timesheet صفًّا صفًّا داخل معاملةٍ واحدة. فالصفوفُ المستورَدة تتخطى كلَّ حرّاس الإدخال اليدوي: حارسَ الطاقة</t>
  </si>
  <si>
    <t xml:space="preserve">بابٌ خلفيٌّ لإدخال ساعاتٍ بالجملة إلى مصدر حقيقة الفوترة والأجور بلا أيِّ حارس: يمكن تحميلُ آلاف الصفوف بساعاتٍ تتجاوز الطاقةَ اليومية ولمشغّلين بوثائقَ منتهيةٍ ولمعداتٍ غيرِ متاحة، وكلُّها ستدخل سلسلةَ الاعتماد كأنها صحيحة.</t>
  </si>
  <si>
    <t xml:space="preserve">إطارُ الاستيراد عامٌّ يكتب في الجدول مباشرةً ولا يعرف حرّاسَ الوحدات، ولم يُستثنَ منه كيانٌ ذو دورةِ إدخالٍ محروسة.</t>
  </si>
  <si>
    <t xml:space="preserve">app/Services/Excel/Importer.php:134; :145-186; app/Services/Excel/ExcelRegistry.php:429; :454; app/Services/Excel/ExcelService.php:56-70; :119-124</t>
  </si>
  <si>
    <t xml:space="preserve">١) نزّل قالبَ استيراد ساعات العمل من شاشة التايم شيت. ٢) املأ صفًّا بساعاتٍ تتجاوز الحدَّ اليوميَّ للمعدة. ٣) استورد ⇐ يُقبل الصفُّ بلا وسمِ تجاوزِ طاقةٍ وبلا مرآةٍ في unit_entries.</t>
  </si>
  <si>
    <t xml:space="preserve">إمّا إلغاءُ تسجيل كيان timesheet من app/Services/Excel/ExcelRegistry (السطر 429) لأن دورةَ إدخاله محروسة، وإمّا تمريرُ صفوفه في Importer إلى App\Services\Unit\TimesheetEntryService::submit بدل INSERT المباشر ليمرّ بحرّاس الطاقة والوثائق ويُنتج المرآة — والأسلمُ الأول حتى يكتمل الثاني.</t>
  </si>
  <si>
    <t xml:space="preserve">استيرادُ ملفِّ ساعاتٍ إمّا يُرفض برسالةٍ تشرح أن الساعاتِ تُدخل من شاشتها المحروسة، وإمّا يمرّ كلُّ صفٍّ بحارسَي الطاقة والوثائق ويُنتج مرآةً في unit_entries ووسمًا عند التجاوز.</t>
  </si>
  <si>
    <t xml:space="preserve">صحيحٌ أن ExcelRegistry.php:429 يسجّل كيانَ timesheet وأن Importer::commit (سطر 134-186) يدرج في جدول timesheet مباشرةً فيتخطّى TimesheetEntryService وحرّاسَ الطاقة والوثائق ومرآةَ unit_entries والحدث؛ لكنّ «بلا أيِّ حارس» مبالغة: ExcelService::importCommit (سطر 119-124) يتحقق من CSRF ومن can_add على `Timesheet/timesheet.php` قبل النداء.</t>
  </si>
  <si>
    <t xml:space="preserve">INJ-0079</t>
  </si>
  <si>
    <t xml:space="preserve">q7_import · «الحقولُ تُطابَق بالاسم لا بالموضع»</t>
  </si>
  <si>
    <t xml:space="preserve">الاستيراد الموحَّد — مطابقة الأعمدة</t>
  </si>
  <si>
    <t xml:space="preserve">http://localhost/ems/app/Services/Excel/FileReader.php</t>
  </si>
  <si>
    <t xml:space="preserve">الاستيرادُ الآمنُ يطابق الحقولَ بأسمائها ويفشل عند عدم التطابق؛ والملفُّ المصدَّر يجب أن يُعاد استيرادُه دون تشويه.</t>
  </si>
  <si>
    <t xml:space="preserve">عند فشل مطابقة اسم العمود يسقط المطابِقُ إلى المطابقة بالموضع (mapColumns تعود إلى الترتيب) فتهبط القيمُ في حقولٍ خاطئةٍ بصمتٍ بدل الفشل. والمطابقةُ بالاسم مطابقةُ بادئةٍ في الاتجاهين فتتصادم التسمياتُ المتشابهة. والملفُّ المصدَّر لا يُعاد استيرادُه أصلًا لأن المُصدِّر يضع عنوانًا مدمجًا في الصف الأول والرؤوسَ في الثاني بينما القارئُ يعدّ الصفَّ الأول رؤوسًا.</t>
  </si>
  <si>
    <t xml:space="preserve">استيرادُ ملفِّ ساعاتٍ برؤوسٍ مختلفةٍ قليلًا يضع الساعاتِ في حقولٍ خاطئة (ساعاتُ الاستعداد مكان ساعاتِ التنفيذ مثلًا) بلا أيِّ رسالةِ خطأ — تشويهٌ صامتٌ لمصدر حقيقة الفوترة. ودورةُ «صدّر ← عدّل ← استورد» مكسورةٌ من أصلها.</t>
  </si>
  <si>
    <t xml:space="preserve">بُني القارئُ متسامحًا لتقليل رسائل الفشل، فصار التسامحُ مصدرَ فسادِ بيانات.</t>
  </si>
  <si>
    <t xml:space="preserve">app/Services/Excel/FileReader.php:142; :181; :188; app/Services/Excel/Exporter.php:39; :40; app/Services/Excel/EntityDefinition.php:101; :109</t>
  </si>
  <si>
    <t xml:space="preserve">١) صدّر كيانَ ساعات العمل. ٢) استورد الملفَّ المصدَّر نفسَه ⇐ لا يطابق شيئًا (الرؤوس في الصف الثاني). ٣) عدّل رأسًا واحدًا في القالب واستورد ⇐ تُوضع القيمُ بالموضع بلا خطأ.</t>
  </si>
  <si>
    <t xml:space="preserve">حذفُ السقوط إلى المطابقة بالموضع في app/Services/Excel/FileReader.php:188 وإرجاعُ خطأٍ صريحٍ يسمّي العمودَ غيرَ المطابق، وتشديدُ المطابقة الاسمية إلى تطابقٍ تامٍّ بعد التطبيع بدل مطابقة البادئة (السطر 181)، وتوحيدُ صفِّ الرؤوس بين المُصدِّر والقارئ ليصير الملفُّ المصدَّر قابلًا لإعادة الاستيراد.</t>
  </si>
  <si>
    <t xml:space="preserve">استيرادُ ملفٍّ برأسٍ غيرِ مطابقٍ يفشل برسالةٍ تسمّي العمود؛ والملفُّ المصدَّر يُعاد استيرادُه فيطابق كلَّ أعمدته بالاسم.</t>
  </si>
  <si>
    <t xml:space="preserve">السقوطُ إلى المطابقة الموضعية عند فشل الاسم مؤكَّدٌ حرفيًّا (السطر 188)، ومطابقةُ البادئة في الاتجاهين (181)، والقارئُ يعدّ الصفَّ الأول رؤوسًا بينما المُصدِّر يضع فيه عنوانًا مدمجًا — هبوطُ قيمٍ في حقولٍ خاطئةٍ بصمت.</t>
  </si>
  <si>
    <t xml:space="preserve">INJ-0080</t>
  </si>
  <si>
    <t xml:space="preserve">TABLE 54 (قاعدةُ عدمِ الرجعية) · §٢٤-٢ الحلقة الرابعة · UX-03 §8.2 قفلُ النسخة</t>
  </si>
  <si>
    <t xml:space="preserve">«المستندُ المعتمدُ في هذه الإدارةِ لا يُعدَّل ولا يُحذف. والتصحيحُ حركةٌ جديدةٌ تشير إلى الأصلِ أو حركةٌ عاكسةٌ بمرجعها … والسجلُّ يحفظ الأصلَ والتصحيحَ معًا» — وقفلُ النسخة: «اعتُمد موقعُ هذا اليوم — التعديلُ بالإعادة الرسمية بسببٍ وبالرقم نفسه».</t>
  </si>
  <si>
    <t xml:space="preserve">المسارُ الموروثُ يعدّل صفًّا معتمَدًا بلا مانع (وهو الافتراضيُّ في الكود، والوثيقةُ تعلن قيمةَ الإنتاج service)، لكن الأثرَ الماليَّ المولَّد لا يتغيّر تبعًا له: المروحةُ ترفض وتُعلن «مراجعة كمية». — [مُصحَّح بعد التحقق] الصياغة الأولى: قفلُ النسخة (الردُّ 423) منفَّذٌ في مسارِ خدمةٍ لا يعمل افتراضيًّا: الكتلةُ كلُّها محكومةٌ بـ$ts_writer_service الذي يُقرأ من العلَم EMS_TS_WRITER وقيمتُه الافتراضية في الكود 'legacy'. وحين يكون legac</t>
  </si>
  <si>
    <t xml:space="preserve">ساعاتٌ اعتُمدت بأربع طبقاتٍ ورُفعت عليها مطالبةٌ ومستحقٌّ يمكن تعديلُها بصمتٍ بعد الاعتماد. مصدرُ الحقيقة للفوترة والأجور غيرُ محصَّنٍ بعد الاعتماد، ولا حركةَ عاكسةَ ولا سجلَّ يحفظ الأصلَ والتصحيحَ معًا — وهو نقضٌ مباشرٌ لقاعدة عدم الرجعية.</t>
  </si>
  <si>
    <t xml:space="preserve">الحماية بُنيت في المسار الجديد خلف علَمٍ مطفأٍ افتراضيًّا، وبقي المسارُ الموروث حيًّا بلا الحماية نفسِها — ولا فحصَ في المسار الموروث على حالة الاعتماد.</t>
  </si>
  <si>
    <t xml:space="preserve">Timesheet/timesheet.php:429,513,608-621; app/Services/Unit/TimesheetEntryService.php:768-771; app/Services/EffectFanout.php:973-989; docs/ARCHITECTURE_CURRENT_SYSTEM_v9_ar.md:134</t>
  </si>
  <si>
    <t xml:space="preserve">١) أنشئ صفَّ تايم شيت واعتمده أربعَ مراتٍ عبر Approvals/hours_approval.php. ٢) بالإعدادات الافتراضية (EMS_TS_WRITER=legacy) افتح Timesheet/timesheet.php وعدّل ساعاتِ الصف. ٣) يُحفظ التعديل بلا رسالة 423. ٤) استعلم activity_logs ⇐ لا أثر.</t>
  </si>
  <si>
    <t xml:space="preserve">إضافةُ فحصٍ في المسار الموروث في Timesheet/timesheet.php قبل السطر 615: استعلامٌ عن timesheet_approvals للصف، فإن وُجد أيُّ اعتمادٍ رُفض التعديلُ برسالةٍ توجّه إلى «الإعادة الرسمية بسبب»، وإتاحةُ فعلِ إعادةٍ ينشئ صفًّا جديدًا يشير إلى الأصل — أو ترقيةُ EMS_TS_WRITER إلى 'service' في الإنتاج بعد إثبات تغطيته لكل المسارات.</t>
  </si>
  <si>
    <t xml:space="preserve">تعديلُ صفِّ تايم شيت عليه اعتمادٌ واحدٌ فأكثر يُرفض برسالةِ قفلِ نسخةٍ ويُوجَّه إلى إعادةٍ رسمية؛ والإعادةُ تُنشئ صفًّا جديدًا مرتبطًا بالأصل ويظهر الاثنان في السجل.</t>
  </si>
  <si>
    <t xml:space="preserve">أكّدتُ الآلية: writerServiceOn() (TimesheetEntryService.php:768-771) تشترط EMS_TS_WRITER==='service' والافتراضُ في الكود 'legacy'، والسطرُ 513 يُطفئ العلمَ محليًّا لصفٍّ بلا مرآة، والمسارُ الموروث :608-621 ينفّذ UPDATE على timesheet وبحثُ timesheet_approvals في Timesheet/ = صفر. والتخفيفُ الذي أغفله الفاحص: EffectFanout يرفض إعادةَ التوليد ويرفع FANOUT_REVISION_PENDING إذا تغيّرت الكميةُ بعد المروحة (:973-989) فلا يتبع المالُ التعديلَ صامتًا.</t>
  </si>
  <si>
    <t xml:space="preserve">INJ-0081</t>
  </si>
  <si>
    <t xml:space="preserve">GOV-018-د «اعتمادُ الذات» منعٌ مطلق · §٢٦-٣ «إغلاقٌ بتأكيدٍ من غير المنفِّذ»</t>
  </si>
  <si>
    <t xml:space="preserve">اعتماد الوحدات التشغيلية</t>
  </si>
  <si>
    <t xml:space="preserve">http://localhost/ems/Approvals/hours_approval_handler.php</t>
  </si>
  <si>
    <t xml:space="preserve">«اعتمادُ الذات» من أمثلة المنع المطلق الذي لا يُتجاوز؛ ولا يشهد المنفِّذُ على عمله.</t>
  </si>
  <si>
    <t xml:space="preserve">لا فحصَ لاعتماد الذات في المعالج؛ والأثرُ محصورٌ بمن يحمل أحدَ الأدوار 1-4 ويكون هو مُدخِلَ الصف، فيتمّ حلقةً واحدةً من أربعٍ لا السلسلةَ كلَّها. — [مُصحَّح بعد التحقق] الصياغة الأولى: معالجُ الاعتماد يُدرج صفَّ موافقةٍ في timesheet_approvals بـapproved_by = المستخدم الحالي دون أيِّ مقارنةٍ بمُنشئ صفِّ التايم شيت. جدولُ timesheet يحمل عمودَي user_id وcreated_by، ولا يُقرأ أيٌّ منهما</t>
  </si>
  <si>
    <t xml:space="preserve">من أدخل الساعاتِ يعتمدها بنفسه في مستواه؛ وإن كان حسابُه يحمل دورًا من الأربعة (1 · 2 · 3 · 4) فقد أتمَّ حلقةً من أربع حلقاتٍ على عمله هو. أثرٌ ماليٌّ مباشرٌ (مطالبةٌ ومستحقٌّ وأجر) يقع بيدٍ واحدة، وهو منعٌ مطلقٌ بنصّ M-14.</t>
  </si>
  <si>
    <t xml:space="preserve">الحارسُ الذاتيُّ العام بُني وطُبّق على أربعِ نقاطِ اعتمادٍ من سبعٍ وعشرين، ولم يُطبَّق على مسار اعتماد الساعات رغم أنه أعلاها أثرًا.</t>
  </si>
  <si>
    <t xml:space="preserve">Approvals/hours_approval_handler.php:105,164-166; database/schema/schema.sql:11992; app/Services/Security/PermissionChangeWorkflow.php:78</t>
  </si>
  <si>
    <t xml:space="preserve">١) ادخل بحسابٍ دورُه 1 وأدخل صفَّ تايم شيت من Timesheet/timesheet.php. ٢) بنفس الحساب افتح Approvals/hours_approval.php واعتمد الصفَّ في المستوى الأول. ٣) يُقبل الاعتماد ويُدرج الصفُّ في timesheet_approvals.</t>
  </si>
  <si>
    <t xml:space="preserve">إضافةُ فحصٍ في Approvals/hours_approval_handler.php داخل حلقة المعالجة قبل الإدراج (السطر 163): جلبُ created_by/user_id للصف ورفضُه إن ساوى $user_id، مع إضافته إلى $blocked بوسمٍ 'self_approval' وتسجيلِ الرفض عبر log_security_event — أو استدعاءُ SelfGrantGuard::checkApproval إن كان يغطي الحالة.</t>
  </si>
  <si>
    <t xml:space="preserve">محاولةُ اعتماد صفِّ تايم شيت أدخله المعتمِدُ نفسُه تُرفض وتظهر في قائمة «الموقوف» بسببٍ صريحٍ «اعتماد ذات»، وتُسجَّل في سجل الرفض.</t>
  </si>
  <si>
    <t xml:space="preserve">صحيحٌ أن حلقةَ الاعتماد (105-180) لا تقارن المعتمِدَ بمنشئ الصف قبل الإدراج في 164-166. لكن التفاصيلَ مبالَغة: جدولُ timesheet يحمل user_id ولا يحمل created_by (schema.sql:11992+)، و SelfGrantGuard::checkApproval له نقطةُ نداءٍ واحدةٌ لا أربع (PermissionChangeWorkflow.php:78)، والاعتمادُ محصورٌ بالأدوار 1-4 عبر role_level_map فلا يكتمل بيدٍ واحدةٍ إلا حلقةٌ من أربع.</t>
  </si>
  <si>
    <t xml:space="preserve">INJ-0082</t>
  </si>
  <si>
    <t xml:space="preserve">TABLE 53 (سجلُّ التدقيق) · «كلُّ فعلٍ يكتب في هذه الإدارة»</t>
  </si>
  <si>
    <t xml:space="preserve">شاشات القوى التشغيلية الاثنتان والعشرون</t>
  </si>
  <si>
    <t xml:space="preserve">http://localhost/ems/Workforce/</t>
  </si>
  <si>
    <t xml:space="preserve">متعدد</t>
  </si>
  <si>
    <t xml:space="preserve">«سجلُّ التدقيق | الفاعلُ بصفته · الوقتُ · الفعلُ · القيمةُ قبلَ وبعد · رمزُ العملية | كلُّ فعلٍ يكتب»؛ و«كل ضغطة إجراء حسّاس تُقيَّد في سجل التدقيق بفاعلها ووقتها ونتيجتها».</t>
  </si>
  <si>
    <t xml:space="preserve">صفرُ سجلِّ تدقيقٍ وصفرُ رمزِ حمايةٍ في الاثنتين والعشرين (مؤكَّد)؛ أما غيابُ فحصِ الصلاحية فيخصّ ثمانيَ شاشاتٍ مولَّدةً تكتب في جداولِ scr_* لا شاشاتِ الأجور والسلف والتصفيات. — [مُصحَّح بعد التحقق] الصياغة الأولى: صفرُ ملفٍّ من اثنين وعشرين في Workforce/ يستدعي ems_audit_change، وصفرُ ملفٍّ يستعمل رمزَ CSRF. من بينها شاشاتٌ ذاتُ أثرٍ ماليٍّ مباشر: payroll_runs (المسيّر) · final_settlement (التصفية النهائية) · e</t>
  </si>
  <si>
    <t xml:space="preserve">أفعالُ الأجور والسلف والتصفيات — أعلى الأفعال أثرًا ماليًّا في الإدارة — تقع بلا أثرٍ يبيّن القيمةَ قبل وبعد ومن غيّرها، وبلا حمايةٍ من طلبٍ مزوَّر، وبعضُها بلا فحصِ صلاحيةٍ أصلًا. لا يمكن للحوكمة ولا للمراجع الداخلي مساءلةُ أيِّ تغييرٍ في أجرٍ أو سلفة.</t>
  </si>
  <si>
    <t xml:space="preserve">المجلدُ بُني في موجة القوى التشغيلية بنمطٍ لا يشمل طبقتَي التدقيق والحماية، ولم يُلحق بهما لاحقًا؛ ونمطُ الحراسة غيرُ موحَّدٍ داخل المجلد نفسِه.</t>
  </si>
  <si>
    <t xml:space="preserve">Workforce/payroll_runs.php:43-47; Workforce/final_settlement.php:32-36; Workforce/employee_advances.php:34-38; Workforce/deductions.php:21,101; includes/audit_trail.php:20; includes/security.php:233</t>
  </si>
  <si>
    <t xml:space="preserve">١) نفّذ grep -c "ems_audit_change" على ملفات Workforce/ ⇐ صفر في الاثنين والعشرين. ٢) نفّذ grep -L "check_page_permissions" Workforce/*.php ⇐ عدةُ ملفاتٍ كاتبة. ٣) عدّل سلفةً في employee_advances ⇐ لا صفَّ في activity_logs.</t>
  </si>
  <si>
    <t xml:space="preserve">استخراجُ كتلة حراسةٍ موحدةٍ في includes/wf_screen_guard.php (فحصُ الصلاحية + رمز CSRF + نداءُ ems_audit_change قبل/بعد) ونداؤها من رؤوس شاشات Workforce/ الاثنتين والعشرين — وأولويةُ التطبيق للشاشات ذات الأثر المالي الستّ.</t>
  </si>
  <si>
    <t xml:space="preserve">أيُّ حفظٍ في أيِّ شاشةٍ من Workforce/ يُنتج صفًّا في activity_logs بقيم قبل وبعد؛ ودورٌ بلا منحةٍ يُرفض 403 مسجَّلًا؛ وطلبٌ بلا رمز CSRF يُرفض.</t>
  </si>
  <si>
    <t xml:space="preserve">عددتُ الملفات: 22 ملفًّا في Workforce/، صفرٌ منها يستدعي ems_audit_change وصفرٌ يستعمل رمزَ CSRF — الشقُّ هذا مؤكَّدٌ ويشمل payroll_runs وfinal_settlement وemployee_advances ذاتِ الأثر المالي الحقيقي. لكن قائمةَ «بلا فحصِ صلاحية» خاطئة: payroll_runs (:43-47) وfinal_settlement (:32-36) وemployee_advances (:34-38) وcontract_registry (:42-46) تستعلم role_permissions مباشرةً؛ والخاليةُ فعلًا (deductions · op_codes · op_monthly · op_qual · project_contracts · proposed_deductions · recruitment_pipeline · rotation) شاشاتُ CMP-03 تكتب في scr_* المغلقة.</t>
  </si>
  <si>
    <t xml:space="preserve">INJ-0083</t>
  </si>
  <si>
    <t xml:space="preserve">§٢-٢ الأحكامُ التي لا تُخالَف · مصدرُ الحقيقة (وINJAZ-FRD-01 §١٧-١)</t>
  </si>
  <si>
    <t xml:space="preserve">متابعة الرحلات في الطريق</t>
  </si>
  <si>
    <t xml:space="preserve">http://localhost/ems/Transport/transfer_in_transit.php</t>
  </si>
  <si>
    <t xml:space="preserve">رابعًا: الحركة والوصول</t>
  </si>
  <si>
    <t xml:space="preserve">«◆ ما لا تملكه: … تأكيدَ الوصول» — و«إثباتُ الوصولِ يعتمده مشرفُ الموقع» (INJAZ-FRD-01 §١٧-١)</t>
  </si>
  <si>
    <t xml:space="preserve">زرُّ «وصلت» في شاشةِ النقلِ ينقل الأمرَ إلى arrived بصلاحيةِ الدور ٢٣ وحدَه (can_edit على الموديول ٣١١ ممنوحٌ لإدارة النقل فقط) — ولا يشارك مشرفُ الموقعِ في الاعتماد لا بحساب ولا بصلاحية؛ وشاشةُ الوصولِ الثانيةُ transfer_arrival.php بلا أيِّ حارسٍ إطلاقًا</t>
  </si>
  <si>
    <t xml:space="preserve">إدارةُ النقلِ تشهد لنفسها بوصولِ حمولتها؛ يسقط الفصلُ بين الناقلِ والمستلِم فتُقفل أوامرُ وتُحمَّل تكاليفُ على شهادةِ طرفٍ واحد</t>
  </si>
  <si>
    <t xml:space="preserve">مصفوفةُ الصلاحياتِ منحت can_edit على موديول الوصول لدور النقل ولم تُنشئ فعلًا مستقلًّا لمشرف الموقع، ولا يوجد دورُ «مشرف الموقع» في جدول roles أصلًا</t>
  </si>
  <si>
    <t xml:space="preserve">Transport/transfer_in_transit.php:19; Transport/transfer_in_transit.php:21; database/schema/seed_reference.sql:359; database/schema/seed_reference.sql:2056; database/schema/seed_reference.sql:18</t>
  </si>
  <si>
    <t xml:space="preserve">١) استعلِم role_permissions للموديول ٣١١: الدورُ الوحيدُ صاحبُ can_edit هو ٢٣ (إدارة النقل والترحيل).
٢) اجرد جدول roles: لا دورَ باسم «مشرف الموقع».
٣) اضغط «وصلت» بحساب النقل: الحالةُ تتقدم بلا أيِّ شهادةٍ من الموقع.</t>
  </si>
  <si>
    <t xml:space="preserve">افصِل فعلَ «تأكيد الوصول» إلى فعلٍ يملكه دورُ الموقع (role_id=6) بصلاحيةٍ مستقلة، وامنع الدورَ ٢٣ من تنفيذه، واجعل transfer_in_transit.php يعرض الحالةَ ويطلب الاعتماد بدل تنفيذه — وأنشئ صفَّ role_permissions للدور ٦ على الموديول ٣١١</t>
  </si>
  <si>
    <t xml:space="preserve">فريق الحوكمة والالتزام M-14</t>
  </si>
  <si>
    <t xml:space="preserve">محاولةُ تأكيد الوصول بحساب دور النقل تُرفض بـ٤٠٣؛ ونجاحُها بحساب دور إدارة الموقع فقط، ويُسجَّل الفاعلُ في transfer_events.</t>
  </si>
  <si>
    <t xml:space="preserve">تحديثُ stage='arrived' يقع في السطر 21 قبل أيِّ حارسِ صلاحيةٍ أو حارسِ الشاشة، والدورُ 23 وحدَه يملك can_edit على الوحدة 311، وtransfer_arrival.php بلا صفِّ modules فحارسُها fail-open — ولا مشاركةَ لمشرف الموقع.</t>
  </si>
  <si>
    <t xml:space="preserve">INJ-0084</t>
  </si>
  <si>
    <t xml:space="preserve">١٧-١ الغرضُ والاختصاص · «◆ ما تملكه: … تحميلَ التكلفة»</t>
  </si>
  <si>
    <t xml:space="preserve">«تحميلُ تكلفة» مستندُ المرحلة الخامسة ومصدرُ حقيقةِ الإدارة — «أمرُ ترحيلٍ مقفَلٌ بتكلفةٍ محمَّلةٍ على مشروعها»</t>
  </si>
  <si>
    <t xml:space="preserve">سطرُ التحميل لا يُكتب (قيمتان خارج المجال) بينما يُقفل الأمرُ وتُحفظ تكلفتُه على transfer_orders — فالضائعُ دفترُ التحميل التحليليُّ لا التكلفةُ كلُّها. — [مُصحَّح بعد التحقق] الصياغة الأولى: سطرُ الإدراج يكتب cost_type='actual_total' و cost_bearer='project' بينما العمودان في القاعدة enum('fuel','labor','contractor','misc','permit') و enum('client','company','new_client') — فالقيمتان خارج </t>
  </si>
  <si>
    <t xml:space="preserve">دفترُ تحميل التكلفة transfer_cost_lines لا يستقبل سطرَ الإقفال أبدًا؛ مصدرُ حقيقةِ إدارةِ النقل مفقود، وتقاريرُ ربحيةِ المشروعِ تخسر تكلفةَ الترحيل كاملةً بينما تُعلن الشاشةُ «أُقفل الأمرُ بتكلفة … محمَّلةً على مشروعه»</t>
  </si>
  <si>
    <t xml:space="preserve">الشاشةُ كُتبت بقاموسِ قيمٍ مختلفٍ عن مخطط الجدول، ولم يُفحص ناتجُ الاستعلام ولا استُعمل عمودُ amount_local ولا fx_rate</t>
  </si>
  <si>
    <t xml:space="preserve">Transport/transfer_close_cost.php:33; Transport/transfer_close_cost.php:34; database/schema/schema.sql:12171; database/schema/schema.sql:12176</t>
  </si>
  <si>
    <t xml:space="preserve">١) افتح شاشة «إقفال الأمر وتحميل تكلفته».
٢) أدخل تكلفةً فعليةً لأيِّ أمرٍ واصلٍ واضغط «أقفل وحمّل».
٣) تظهر رسالةُ نجاح.
٤) استعلِم: SELECT * FROM transfer_cost_lines WHERE order_id=&lt;الأمر&gt; — لا صفَّ (أو صفٌّ بـcost_type فارغ و amount_local=0).</t>
  </si>
  <si>
    <t xml:space="preserve">في Transport/transfer_close_cost.php:33-34 استعمل cost_type='misc' (أو وسِّع الـENUM بقيمة actual_total بهجرةٍ معلنة) و cost_bearer من العمود transfer_orders.cost_bearer، واملأ amount_local و currency و fx_rate و amount_usd، وافحص ناتجَ mysqli_query وارجِع خطأً صريحًا عند الفشل</t>
  </si>
  <si>
    <t xml:space="preserve">بعد الإقفال يوجد صفٌّ واحدٌ في transfer_cost_lines لهذا الأمر بقيمِ cost_type و cost_bearer ضمن الـENUM وبمبلغٍ مطابقٍ للمُدخَل؛ وعند تعمّدِ الفشل تُعرض رسالةُ خطأٍ لا رسالةُ نجاح.</t>
  </si>
  <si>
    <t xml:space="preserve">محقَّقٌ بالسطر والرقم: Transport/transfer_close_cost.php:33-34 يدرج cost_type='actual_total' وcost_bearer='project' بينما schema.sql:12171 enum('fuel','labor','contractor','misc','permit') و:12176 enum('client','company','new_client')، ونتيجةُ mysqli_query غيرُ مفحوصةٍ فتُطبع رسالةُ النجاح في كلِّ حال؛ الأثرُ فقدانُ سطرِ دفترِ التحميل صامتًا (الأمرُ يُقفل وactual_cost_usd يُحفظ على الصفِّ) فيقلّ إجماليُّ transfer_cost_lines في transfer_order_form.php:47.</t>
  </si>
  <si>
    <t xml:space="preserve">INJ-0085</t>
  </si>
  <si>
    <t xml:space="preserve">١٧-٣ المرحلة ٤ · إثبات وصول · إثبات مغادرة</t>
  </si>
  <si>
    <t xml:space="preserve">الوصول والتسليم</t>
  </si>
  <si>
    <t xml:space="preserve">http://localhost/ems/Transport/transfer_arrival.php</t>
  </si>
  <si>
    <t xml:space="preserve">«رابعًا: الحركة والوصول | إثبات مغادرة · إثبات وصول» — ولا مرحلةَ بلا مخرَجٍ موثَّق</t>
  </si>
  <si>
    <t xml:space="preserve">مستندُ التسليم لا يُخزَّن والرابطُ المباشرُ للإقفال لا يظهر، لكن شاشةَ الإقفال تبقى بالغةً من السايدبار مباشرةً فلا تنقطع الدورةُ كليًّا. — [مُصحَّح بعد التحقق] الصياغة الأولى: زرُّ «تأكيدُ التسليم» يُدرج صفًّا في transfer_events بقيمة event_type='delivered' بينما العمودُ enum('note','communication','status_change','alert','attachment','system') — فالقيمةُ خارج المجال ولا تُ</t>
  </si>
  <si>
    <t xml:space="preserve">مستندُ التسليمِ لا يُكتب أبدًا، والدورةُ تنقطع عند الوصول: لا طريقَ من شاشة التسليم إلى الإقفال، والمستخدمُ يضغط الزرَّ مرارًا بلا أثرٍ ظاهر</t>
  </si>
  <si>
    <t xml:space="preserve">قيمُ event_type في ثلاث شاشاتٍ من موجة update0007 كُتبت بمفرداتِ المرحلة (delivered/arrived/closed) لا بمفرداتِ الـENUM المعرَّفة في المخطط</t>
  </si>
  <si>
    <t xml:space="preserve">Transport/transfer_arrival.php:22,30,86; Transport/transfer_close_cost.php:31; database/schema/schema.sql:12212</t>
  </si>
  <si>
    <t xml:space="preserve">١) افتح «الوصول والتسليم» لأمرٍ حالتُه arrived.
٢) اكتب ملاحظةَ تسليمٍ واضغط «تأكيدُ التسليم».
٣) تظهر رسالةُ نجاح، لكن الصفَّ نفسَه يبقى «بانتظار التسليم» ولا يظهر رابطُ الإقفال.
٤) استعلِم: SELECT * FROM transfer_events WHERE order_id=&lt;الأمر&gt; AND event_type='delivered' — صفرُ صف.</t>
  </si>
  <si>
    <t xml:space="preserve">في Transport/transfer_arrival.php:22 استعمل event_type='status_change' مع new_value='delivered' (كما يفعل trs_log_event في Transport/trs_helpers.php)، وبدِّل شرطَ العدّ في السطر ٣٠ إلى new_value='delivered'، أو وسِّع الـENUM بهجرةٍ معلنة</t>
  </si>
  <si>
    <t xml:space="preserve">بعد الضغط على «تأكيدُ التسليم» يتحول الصفُّ إلى شارة «مُسلَّم» ويظهر رابطُ «أقفل بتكلفته ←»، ويوجد صفٌّ مطابقٌ في transfer_events.</t>
  </si>
  <si>
    <t xml:space="preserve">مؤكَّدٌ حرفيًّا: transfer_events.event_type = enum('note','communication','status_change','alert','attachment','system') في schema.sql:12212 و'delivered' خارجَه، فالعدُّ في السطر 30 يبقى صفرًا والرابطُ في السطر 86 لا يظهر (والعيبُ نفسُه في transfer_close_cost.php:31 بقيمة 'closed'). لكن شاشةَ الإقفال مستقلةٌ في السايدبار وتسرد الأوامرَ الواصلة، فالدورةُ تكتمل بمسارٍ آخر — والإصلاحُ سلسلةٌ واحدة.</t>
  </si>
  <si>
    <t xml:space="preserve">INJ-0086</t>
  </si>
  <si>
    <t xml:space="preserve">§٤-٢ العيوبُ الحاجبةُ للإطلاق (§٨-١)</t>
  </si>
  <si>
    <t xml:space="preserve">وحدة النقل والترحيل — حصيلة الحرّاس</t>
  </si>
  <si>
    <t xml:space="preserve">لا يُعلَن الإطلاقُ قبل إغلاق كلِّ عيبٍ حاجب — والإغلاقُ لا يُعدُّ قبل المستوى الثالث L3 (التطبيقُ على الشاشة المصابة)</t>
  </si>
  <si>
    <t xml:space="preserve">ثلاثٌ من شاشاتِ النقلِ السبعِ العاملةِ تكتب بلا حارسِ صلاحيةٍ (transfer_close_cost · transfer_arrival · transfer_in_transit) — وهي بالضبط شاشاتُ المراحل الرابعة والخامسة، أي الأثرُ الماليُّ ونهايةُ الدورة؛ ومكتبةُ الحرّاس trs_page_perms مبنيةٌ ومستعملةٌ في سبعِ شاشاتٍ أخرى من الوحدة نفسِها</t>
  </si>
  <si>
    <t xml:space="preserve">Risk/Governance Gap</t>
  </si>
  <si>
    <t xml:space="preserve">حارسٌ مبنيٌّ (L1) ومطبَّقٌ على شاشاتٍ تمثيلية (L2) ولم يُطبَّق على الشاشات المصابة (L3) — فالوحدةُ حاجبةٌ للإطلاق بنصِّ القرار الحاكم الثالث</t>
  </si>
  <si>
    <t xml:space="preserve">إعلانُ إغلاقِ عيبِ الحرّاس عند بناء المكتبة لا عند تطبيقها على كل شاشةٍ كاتبة</t>
  </si>
  <si>
    <t xml:space="preserve">Transport/trs_helpers.php:27-39; Transport/transfer_requests.php:21; Transport/transfer_close_cost.php:19-34; Transport/transfer_arrival.php:18-25; Transport/transfer_in_transit.php:19-26</t>
  </si>
  <si>
    <t xml:space="preserve">١) grep على Transport/ عن trs_page_perms: سبعُ شاشاتٍ تستدعيه.
٢) اجرد الشاشاتِ ذاتَ معالجِ POST: عشر.
٣) الفارقُ ثلاثُ شاشاتٍ تكتب بلا حارس.</t>
  </si>
  <si>
    <t xml:space="preserve">طبِّق trs_page_perms على الشاشات الثلاث، ثم أضِف فحصًا آليًّا (L4) في خط التسليم يمنع دمجَ أيِّ ملفٍ تحت Transport/ فيه $_POST بلا استدعاءِ حارسٍ قبل أولِ كتابة</t>
  </si>
  <si>
    <t xml:space="preserve">فحصُ خطِّ التسليم يعيد صفرَ ملفٍ في Transport/ يكتب في القاعدة قبل استدعاء trs_page_perms؛ والعيبُ يُعلَن مغلقًا عند L4 لا قبله.</t>
  </si>
  <si>
    <t xml:space="preserve">محقَّق: transfer_close_cost.php وtransfer_arrival.php وtransfer_in_transit.php تكتب في معالجات POST مبكّرةٍ بلا `trs_page_perms` الموجودة في Transport/trs_helpers.php:27-39 والمستعملة في transfer_requests.php:21؛ وأوسعُ مما ذُكر: transfer_arrival.php غيرُ مسجَّلةٍ في modules أصلًا فلا يبلغها حتى الحارسُ المركزيّ.</t>
  </si>
  <si>
    <t xml:space="preserve">INJ-0087</t>
  </si>
  <si>
    <t xml:space="preserve">▐ ١٠ الحرّاس · الحكمُ الرابع (fail-closed)</t>
  </si>
  <si>
    <t xml:space="preserve">الوصول والتسليم / متابعة الرحلات في الطريق</t>
  </si>
  <si>
    <t xml:space="preserve">لكلِّ فعلٍ حارسٌ خادميٌّ يسبق الأثر — والصلاحيةُ تُفشَل مغلقة</t>
  </si>
  <si>
    <t xml:space="preserve">الشاشتان transfer_arrival.php و transfer_in_transit.php تفحصان وجودَ الجلسة فقط (السطر ١١) ثم تكتبان؛ الحارسُ الوحيدُ enforce_current_page_view_permission يأتي مع تضمين insidebar.php في السطر ٤٣ و٥٠ على التوالي — أي بعد الكتابة — وهو يفحص can_view لا can_edit</t>
  </si>
  <si>
    <t xml:space="preserve">أيُّ مستخدمٍ مسجَّلٍ يستطيع تقديمَ حالةِ أيِّ أمرِ ترحيلٍ وتوثيقَ تسليمٍ لم يقع؛ آلةُ الحالاتِ مفتوحةٌ لغير أهلها</t>
  </si>
  <si>
    <t xml:space="preserve">نمطُ الشاشات المختصرِ في موجة update0007 لم يستدعِ trs_page_perms، والحارسُ المركزيُّ متأخرٌ ولا يفحص صلاحياتِ الكتابة</t>
  </si>
  <si>
    <t xml:space="preserve">Transport/transfer_arrival.php:10; :18-31; :43; Transport/transfer_in_transit.php:19-26; :50</t>
  </si>
  <si>
    <t xml:space="preserve">١) ادخل بحسابٍ لا صلاحيةَ له على النقل.
٢) أرسِل POST إلى transfer_in_transit.php بالحقل arrive_id=&lt;أمرٌ in_transit&gt;.
٣) الحالةُ تتقدم إلى arrived.</t>
  </si>
  <si>
    <t xml:space="preserve">أضِف في رأس كلٍّ من Transport/transfer_arrival.php و transfer_in_transit.php: $perms = trs_page_perms($conn, &lt;رمزُ الشاشة&gt;, $is_super); ثم if (!$perms['can_edit']) { ems_gov_flash_redirect(...,'GOV-PERM-403'); exit(); } قبل معالج POST</t>
  </si>
  <si>
    <t xml:space="preserve">POST بلا can_edit على الموديولين ٣١١ و(شاشة الوصول) يعيد ٤٠٣ ولا يغيّر أيَّ صفٍّ في transfer_orders ولا transfer_events.</t>
  </si>
  <si>
    <t xml:space="preserve">الشاشتان تفحصان وجودَ الجلسة فقط ثم تكتبان في `transfer_orders`، والحارسُ الوحيدُ يأتي مع `include '../insidebar.php'` (:43 و:50) أي بعد الكتابة، وهو can_view لا can_edit.</t>
  </si>
  <si>
    <t xml:space="preserve">INJ-0088</t>
  </si>
  <si>
    <t xml:space="preserve">▐ ٤ من يرى ماذا (Visibility) · عزلُ الكيان</t>
  </si>
  <si>
    <t xml:space="preserve">لا صفَّ بلا كيانٍ مالك — والعزلُ بين الكيانات مثبَّتٌ في كلِّ قراءةٍ وكتابة</t>
  </si>
  <si>
    <t xml:space="preserve">الشاشةُ أيضًا بلا أيِّ فحصِ can_edit؛ وtrs_order_owned معرَّفةٌ داخل transfer_order_form.php لا في trs_helpers.php فيلزم نقلُها لتطبيق الإصلاح. — [مُصحَّح بعد التحقق] الصياغة الأولى: معالجُ POST يأخذ deliver_id من الطلب ويُدرج صفَّ حدثٍ بـ(company_id = شركةُ الجلسة, order_id = المُدخَل) بلا أيِّ تحققٍ من أن الأمرَ يعود لشركة المستخدم — بخلاف بقيةِ شاشات النقل التي تستعمل trs_order</t>
  </si>
  <si>
    <t xml:space="preserve">يمكن حقنُ صفوفِ أحداثٍ على أوامرِ شركاتٍ أخرى تحت كيانِ المهاجم، فيتلوث سجلُّ الأحداثِ ويُخترق العزل</t>
  </si>
  <si>
    <t xml:space="preserve">غيابُ استدعاء trs_order_owned قبل الإدراج في الشاشة المختصرة</t>
  </si>
  <si>
    <t xml:space="preserve">Transport/transfer_arrival.php:18; Transport/transfer_arrival.php:22; Transport/transfer_order_form.php:241</t>
  </si>
  <si>
    <t xml:space="preserve">١) ادخل بحساب شركة A.
٢) أرسِل POST إلى transfer_arrival.php بـdeliver_id = معرّف أمرٍ يعود لشركة B.
٣) استعلِم transfer_events: صفٌّ جديدٌ بـcompany_id=A و order_id يعود لـB.</t>
  </si>
  <si>
    <t xml:space="preserve">أضِف في Transport/transfer_arrival.php قبل الإدراج: if (!trs_order_owned($conn, $oid, $is_super, $company_id)) { رفضٌ ٤٠٤ }، على غرار Transport/transfer_order_form.php:241</t>
  </si>
  <si>
    <t xml:space="preserve">POST بمعرّف أمرٍ من شركةٍ أخرى يعيد ٤٠٤ ولا يُدرج صفًّا في transfer_events.</t>
  </si>
  <si>
    <t xml:space="preserve">المعالجُ يُدرج صفَّ transfer_events بـorder_id من الطلب مباشرةً بلا فحصِ ملكية، بينما transfer_order_form.php تفحص trs_order_owned في كلِّ مسلكٍ كاتب — والعدُّ في قائمة الوصول لا يرشّح بالشركة فيُعدّ الحدثُ المحقون.</t>
  </si>
  <si>
    <t xml:space="preserve">INJ-0089</t>
  </si>
  <si>
    <t xml:space="preserve">§١١-٤ سجلُّ القرارات · DEC-H المشترياتُ المركزية (الحكمُ المؤقتُ النافذ)</t>
  </si>
  <si>
    <t xml:space="preserve">طلبات الشراء</t>
  </si>
  <si>
    <t xml:space="preserve">http://localhost/ems/Procurement/requests_proc.php</t>
  </si>
  <si>
    <t xml:space="preserve">أولًا: استقبال الاحتياج</t>
  </si>
  <si>
    <t xml:space="preserve">«الحكمُ المؤقت: كلُّ شراءٍ بالتشغيليةِ وما فوقَ سقفِها للنائبِ المالي» — وفي FRD §١٨: «كلُّ شراءٍ يمرُّ بالمشترياتِ التشغيليةِ · وما تجاوز سقفَها يُرفع لنائب الشؤون المالية والاستثمارِ باعتمادٍ موثَّق»</t>
  </si>
  <si>
    <t xml:space="preserve">لا سقفَ ولا تصعيدَ في أيِّ مرحلةٍ (الطلبُ والأمرُ معًا)، والاعتمادُ الماليُّ حقلٌ يملؤه الطالب؛ غير أن اعتمادَ المشتريات محكومٌ بحارس «من أنشأ لا يعتمد» ومُقيَّدٌ في سجل التدقيق. — [مُصحَّح بعد التحقق] الصياغة الأولى: لا سقفَ في الكود إطلاقًا: جدولُ proc_request لا يحمل أيَّ عمودِ مبلغٍ يُقاس عليه سقف؛ وحقلُ fin_approval_state («بانتظار/معتمد مالياً/مرفوض») قائمةٌ منسدلةٌ في نموذجِ الطلبِ نفسِه يملؤها مُنشئُ الطلبِ</t>
  </si>
  <si>
    <t xml:space="preserve">الحكمُ المؤقتُ النافذُ لـDEC-H غيرُ مُنفَّذٍ بشقّيه: لا سقفَ يُقاس، ولا تصعيدَ للنائب المالي — والاعتمادُ الماليُّ يقرّره الطالبُ نفسُه بقائمةٍ منسدلة. كلُّ شراءٍ مهما بلغ يُعتمد داخل التشغيلية وحدَها</t>
  </si>
  <si>
    <t xml:space="preserve">نُفِّذ الشقُّ الأولُ من الحكم («كلُّ شراءٍ بالتشغيلية») بإسقاطِ الشقِّ الثاني، ولم يُربط محرّكُ السقوفِ الموجودُ (App\Services\Finance\ApprovalGate::capFor على fin_authority_caps) بأيِّ شاشةِ مشتريات</t>
  </si>
  <si>
    <t xml:space="preserve">Procurement/requests_proc.php:75,91,134-163; Procurement/orders_proc.php:148; database/schema/schema.sql:8156; app/Services/Finance/ApprovalGate.php:89,289</t>
  </si>
  <si>
    <t xml:space="preserve">١) ادخل بدور «إدارة المشتريات».
٢) أنشئ طلبَ شراءٍ واختر «معتمد مالياً» من قائمة الاعتماد المالي في النموذج نفسِه.
٣) احفظ: الحالةُ المالية صارت «معتمد مالياً» بلا أيِّ اعتمادٍ من المالية.
٤) استعلِم proc_request: لا عمودَ مبلغٍ ولا عمودَ معتمِدٍ ماليٍّ ولا تاريخ.</t>
  </si>
  <si>
    <t xml:space="preserve">أضِف عمودَ estimated_amount و currency إلى proc_request بهجرةٍ معلنة؛ واحذف حقلَ fin_approval_state من نموذج الطالب؛ وأضِف في Procurement/requests_proc.php انتقالًا مستقلًّا 'مراجعة مالية' يستدعي App\Services\Finance\ApprovalGate::record($conn,…,'APR-3',['amount'=&gt;…]) الذي يفرض السقفَ ويصعّد إلى escalates_to_role؛ واربِط سقفَ التشغيلية في fin_authority_caps بدور المشتريات وسقفَ ما فوقه بدور نائب المالية</t>
  </si>
  <si>
    <t xml:space="preserve">طلبُ شراءٍ بقيمةٍ فوق سقفِ المشتريات لا يمكن اعتمادُه داخل الإدارة ويظهر في صندوق اعتماد نائب المالية؛ ومحاولةُ الطالبِ ضبطَ الحالة المالية بنفسه غيرُ ممكنةٍ (الحقلُ غيرُ موجودٍ في نموذجه).</t>
  </si>
  <si>
    <t xml:space="preserve">تحققتُ من كلِّ شقّ: proc_request بلا عمودِ مبلغ (schema.sql:8145+)، وfin_approval_state قائمةٌ منسدلةٌ يملؤها الطالبُ (:75,:91)، وe21_decide (:134-163) لا يُنتج إلا «اعتماد المشتريات»/«مسودة»/«مرفوض»، وApprovalGate::record بلا نداءٍ إنتاجيٍّ (النداءاتُ في tools/u13_gate.php وحدَها). بل وحالةُ أمرِ الشراء نفسُها قائمةٌ منسدلةٌ (orders_proc.php:148). لكن الطلبَ يمرّ باعتمادٍ بيدٍ ثانيةٍ (ems_no_self_approval :145-149) وبسجلِّ تدقيق، والذمّةُ لا تنشأ إلا بالاستلام — فهي ضابطُ سقفٍ مفقودٌ لا فعلٌ غيرُ مأذون.</t>
  </si>
  <si>
    <t xml:space="preserve">فجوة قرار (Decision)</t>
  </si>
  <si>
    <t xml:space="preserve">Decision Open</t>
  </si>
  <si>
    <t xml:space="preserve">INJ-0090</t>
  </si>
  <si>
    <t xml:space="preserve">§٢-٢ مصدرُ الحقيقة وملكيةُ الفعل (وINJAZ-FRD-01 §١٨-١)</t>
  </si>
  <si>
    <t xml:space="preserve">«◆ ما تملكه (مصدرُ الحقيقة): طلبَ الشراء · طلبَ العروض · الترسيةَ · أمرَ الشراء · المطابقةَ الثلاثية» — الترسيةُ مملوكةٌ للمشتريات التشغيلية وحدَها</t>
  </si>
  <si>
    <t xml:space="preserve">الشاشةُ نفسُها معروضةٌ في سايدبار دورَي «ادارة الموردين» (٢) و«مشرف موردين» (٨) داخل مجموعةٍ اسمُها «ثالثًا: طلب العروض والترسية» — وبما أن الشاشةَ بلا حارسٍ خادميٍّ فإن إدارةَ الموردين تستطيع فعليًّا ترسيةَ العروض على مورديها</t>
  </si>
  <si>
    <t xml:space="preserve">الجهةُ التي تدير الموردين هي نفسُها التي ترسي عليهم — تعارضُ واجباتٍ صريحٌ يفتح بابَ الترسية المحاباة، ويخرق ملكيةَ الفعل المنصوصَ عليها للمشتريات التشغيلية</t>
  </si>
  <si>
    <t xml:space="preserve">بُذر صفُّ nav_items للشاشة تحت ثلاثة أدوارٍ بدل دورِ المشتريات وحدَه، وبُنيت الشاشةُ بلا حارسٍ يميّز الزاويةَ (عرضٌ لا ترسية)</t>
  </si>
  <si>
    <t xml:space="preserve">database/schema/seed_reference.sql:346; database/schema/seed_reference.sql:1963; database/schema/seed_reference.sql:1964; database/schema/seed_reference.sql:1965; Procurement/rfq_compare_award.php:20; Procurement/rfq_compare_award.php:135</t>
  </si>
  <si>
    <t xml:space="preserve">١) ادخل بحساب دور «ادارة الموردين».
٢) افتح مجموعة «ثالثًا: طلب العروض والترسية»: «طلب العروض ومقارنتها».
٣) اضغط زرَّ «رسِّ» على أيِّ عرض: تقع الترسية.</t>
  </si>
  <si>
    <t xml:space="preserve">اجعل ظهورَ الشاشة لدورَي الموردين «قراءةً فقط» بزاويةٍ معلَنة: أخفِ عمودَ الترسية وزرَّها متى كان الدورُ ليس المشتريات، وافرض ذلك في الخادم بفحص can_edit على الموديول ٢٩٨؛ وسجِّل الزاويةَ في مصفوفة العرض</t>
  </si>
  <si>
    <t xml:space="preserve">حساب دور الموردين يرى المقارنةَ بلا زرِّ ترسية، ومحاولةُ POST منه تُرفض ٤٠٣.</t>
  </si>
  <si>
    <t xml:space="preserve">معالجُ الترسية (سطر 20) يكتب rfq_awards بلا أيِّ فحصِ صلاحيةٍ وقبل تضمين insidebar، والشاشةُ لها صفوفُ nav_items نشطةٌ للأدوار 16 و2 و8 داخل مجموعة «ثالثًا: طلب العروض والترسية» — فالجهةُ التي تدير الموردين تستطيع الترسيةَ فعلًا.</t>
  </si>
  <si>
    <t xml:space="preserve">INJ-0091</t>
  </si>
  <si>
    <t xml:space="preserve">١٨-٢ الدورةُ المستنديةُ الحاكمة · «محضرُ مقارنةٍ ← أمرُ شراءٍ»</t>
  </si>
  <si>
    <t xml:space="preserve">«طلبُ شراءٍ ← طلبُ عروضٍ ← محضرُ مقارنةٍ ← أمرُ شراءٍ ← مطابقةٌ ثلاثيةٌ ← أمرُ دفع» — والترتيبُ من الدورة</t>
  </si>
  <si>
    <t xml:space="preserve">بنيةُ طلب العروض الحيةُ مشتقّةٌ من العقود لا من طلبات الشراء: supplier_rfqs.client_contract_id إلزاميٌّ، و rfq_lines.commitment_id إلزاميٌّ بتعليقٍ «مصدرُ البند — من الالتزامات اشتقاقًا»، ولا عمودَ يربط طلبَ العروض بـproc_request؛ وجدولُ proc_order لا يحمل أيَّ عمودِ rfq_id أو award_id — فالترسيةُ لا تُنتج أمرَ شراءٍ ولا تُربط به</t>
  </si>
  <si>
    <t xml:space="preserve">حلقتان من ستٍّ في الدورة الحاكمة مقطوعتان: طلبُ الشراءِ لا يولّد طلبَ عروض، والترسيةُ لا تولّد أمرَ شراء — فالمستنداتُ الأربعةُ الأولى غيرُ متسلسلةٍ وتتبعُ المستندِ الأبِ مستحيلٌ آليًّا</t>
  </si>
  <si>
    <t xml:space="preserve">جدولا supplier_rfqs و rfq_lines أُنشئا لدورة سورسنغ الموردين المشتقةِ من العقود، واستُعملت شاشتُهما في مرحلة المشتريات التشغيلية دون بناءِ مسار RFQ مشتقٍّ من proc_request</t>
  </si>
  <si>
    <t xml:space="preserve">database/schema/schema.sql:11263; database/schema/schema.sql:8619; database/schema/schema.sql:8009; Procurement/orders_proc.php:141; Procurement/rfq_compare_award.php:48</t>
  </si>
  <si>
    <t xml:space="preserve">١) أنشئ طلبَ شراءٍ واعتمِده.
٢) افتح «طلب العروض ومقارنتها»: قائمةُ الطلبات لا تحوي طلبَك (لأنها تقرأ supplier_rfqs المشتقةَ من العقود).
٣) أرسِ عرضًا ثم افتح «أوامر الشراء»: لا أمرَ مُنشأً ولا حقلَ يربط الأمرَ بالترسية.</t>
  </si>
  <si>
    <t xml:space="preserve">أضِف عمود request_id إلى supplier_rfqs (أو أنشئ proc_rfq مشتقًّا من proc_request)، وأضِف عمودَي rfq_id و award_id إلى proc_order، وأضِف في Procurement/rfq_compare_award.php بعد نجاح الترسية إنشاءَ مسودةِ أمرِ شراءٍ مرتبطةٍ بالترسية داخل المعاملة نفسِها</t>
  </si>
  <si>
    <t xml:space="preserve">اعتمادُ طلبِ شراءٍ يُظهره في شاشة طلب العروض؛ والترسيةُ تُنشئ مسودةَ أمرِ شراءٍ تحمل rfq_id و award_id ويظهر المرجعُ الأبُ في كلا الشاشتين.</t>
  </si>
  <si>
    <t xml:space="preserve">المخططُ يؤكّد: supplier_rfqs.client_contract_id NOT NULL و rfq_lines.commitment_id NOT NULL بتعليق «من الالتزامات اشتقاقًا»، ولا عمودَ يربط الطلبَ بـproc_request، ولا rfq_id/award_id في proc_order؛ والشاشةُ Procurement/rfq_compare_award.php تعمل على supplier_rfqs/rfq_quotes/rfq_awards ولا جدولَ proc_rfq أصلًا.</t>
  </si>
  <si>
    <t xml:space="preserve">INJ-0092</t>
  </si>
  <si>
    <t xml:space="preserve">١٨-٥ الأثرُ العابرُ للإدارات · ذرّيةُ الأثر</t>
  </si>
  <si>
    <t xml:space="preserve">مطابقة الفاتورة بالأمر والاستلام</t>
  </si>
  <si>
    <t xml:space="preserve">http://localhost/ems/Procurement/po_match.php</t>
  </si>
  <si>
    <t xml:space="preserve">رابعًا: الاستلام والمطابقة</t>
  </si>
  <si>
    <t xml:space="preserve">الأثرُ المستنديُّ ذرّيٌّ: إمّا يقع كاملًا أو لا يقع — و«لا استحقاقَ بلا مطابقة»</t>
  </si>
  <si>
    <t xml:space="preserve">في proc_open_supplier_payable تُنشر واقعةُ payable.purchase.accrued داخل معاملةٍ تُغلق بـcommit في السطر ٥٩٤، ثم يُدرج صفُّ الذمّة fin_dues في السطر ٦١٢ خارجَ تلك المعاملةِ وداخلَ كتلةِ try/catch تكتفي بـerror_log عند الفشل — فانقطاعٌ بين السطرين يترك حدثًا منشورًا بلا التزامٍ مالي، وفشلُ الإدراج يُعيد ok=true مع due_id=null</t>
  </si>
  <si>
    <t xml:space="preserve">فاتورةُ موردٍ مطابَقةٌ قد تُنتج حدثًا ماليًّا بلا ذمّةٍ مقابلة: المورد لا يُستحق له شيءٌ في الدفاتر بينما الحدثُ يُظهر الاستحقاق — فارقٌ صامتٌ بين طبقتي الحقيقة، والمصالحُ الدوريةُ في cron_events.php تغطي سجلاتِ الوحداتِ والتايم شيت فقط لا أوامرَ الشراء</t>
  </si>
  <si>
    <t xml:space="preserve">فصلُ نشرِ الحدثِ عن كتابة الأثرِ في معاملتين، وابتلاعُ الاستثناء عند كتابة الذمّة</t>
  </si>
  <si>
    <t xml:space="preserve">Procurement/proc_helpers.php:568; :594; :601-621; :626</t>
  </si>
  <si>
    <t xml:space="preserve">١) طابِق فاتورةً ضمن حدود السماح.
٢) اقطع الاتصالَ بالقاعدة بين السطرين ٥٩٤ و٦١٢ (أو أفشِل إدراج fin_dues بقيدٍ).
٣) استعلِم fin_financial_events: حدثٌ موجود؛ واستعلِم fin_dues: لا صف؛ والشاشةُ تعرض رسالةَ نجاح.</t>
  </si>
  <si>
    <t xml:space="preserve">اجعل نشرَ الحدث وإدراجَ الذمّة في معاملةٍ واحدةٍ في Procurement/proc_helpers.php (انقل commit إلى ما بعد إدراج fin_dues)، وأرجِع ok=false عند فشل الذمّة، وأضِف مصالحةً دوريةً لأوامر الشراء في cron_events.php</t>
  </si>
  <si>
    <t xml:space="preserve">إفشالُ إدراج الذمّة يُرجِع فشلًا للمستخدم ولا يترك حدثًا منشورًا؛ ولا يوجد حدثُ payable.purchase.accrued بلا صفِّ fin_dues مقابل.</t>
  </si>
  <si>
    <t xml:space="preserve">النشرُ يُغلق بـcommit في السطر 594 ثم يُدرج صفُّ fin_dues في الأسطر 601-621 خارج المعاملة داخل try/catch يكتفي بـerror_log، والدالةُ تعيد ok=true مع due_id=null عند الفشل (السطر 626) — فحدثٌ مالي منشورٌ بلا التزامٍ مقابل.</t>
  </si>
  <si>
    <t xml:space="preserve">INJ-0093</t>
  </si>
  <si>
    <t xml:space="preserve">١٨-٢ · «مطابقةٌ ثلاثيةٌ قبل أمرِ الدفع»</t>
  </si>
  <si>
    <t xml:space="preserve">«مطابقةٌ ثلاثيةٌ قبل أمرِ الدفع — مطابقة الفاتورة بالأمر والاستلام» ولكل قرارِ حسمِ فرقٍ مخوَّلُه</t>
  </si>
  <si>
    <t xml:space="preserve">قرارا «حسم الفرق» (قبول الفرق · إشعار دائن · رفض الفاتورة) يُحرسان بـ$can_edit نفسِه الذي يسمح بتسجيل الفاتورة — فالشخصُ الذي سجّل الفاتورةَ بفرقٍ فوق السماح هو نفسُه الذي يقبل الفرقَ ويفتح الذمّةَ بقيمة الفاتورة كاملة، بلا حارسِ اعتمادِ ذاتٍ ولا سقفِ فرقٍ ولا اعتمادٍ أعلى</t>
  </si>
  <si>
    <t xml:space="preserve">بوابةُ «لا استحقاقَ بلا مطابقة» تُلتفُّ عليها بقرارٍ من الشخص نفسِه: يسجّل فاتورةً أعلى من الأمرِ ثم يقبل الفرقَ فتُفتح ذمّةٌ بالقيمة الأعلى</t>
  </si>
  <si>
    <t xml:space="preserve">حارسُ حسمِ الفرق مبنيٌّ على صلاحية الشاشة لا على صلاحيةِ فعلٍ مستقلٍّ بسقفٍ ومعتمِدٍ أعلى</t>
  </si>
  <si>
    <t xml:space="preserve">Procurement/po_match.php:66; Procurement/po_match.php:147; Procurement/po_match.php:314; Procurement/proc_helpers.php:547</t>
  </si>
  <si>
    <t xml:space="preserve">١) بحساب واحد: سجِّل فاتورةً بقيمةٍ فوق سماح الأمر ← الحالة var_pending.
٢) بالحساب نفسِه اضغط «حسم الفرق» ← «قبول الفرق».
٣) تُفتح ذمّةٌ بقيمة الفاتورة كاملة.</t>
  </si>
  <si>
    <t xml:space="preserve">أنشئ رمزَ فعلٍ مستقلًّا لحسم الفرق بصلاحيةٍ منفصلةٍ وسقفٍ مالي، وأضِف في Procurement/po_match.php:147 استدعاءَ ems_no_self_approval بمقارنة الفاعل بمن سجّل الفاتورة، واستدعِ ApprovalGate::record للفرق فوق سقفٍ معلَن</t>
  </si>
  <si>
    <t xml:space="preserve">من سجّل الفاتورةَ لا يستطيع حسمَ فرقِها؛ والفرقُ فوق السقف يتطلب اعتمادَ صاحبِ سقفٍ أعلى مسجَّلًا في سلسلة الاعتماد.</t>
  </si>
  <si>
    <t xml:space="preserve">حسمُ الفرق (السطر 65-68) محروسٌ بـ$can_edit نفسِه الذي يسمح بتسجيل الفاتورة، وproc_match_resolve لا يقارن الفاعلَ بمن سجّل الفاتورةَ ولا يفرض سقفًا ولا اعتمادًا أعلى — فيفتح الذمّةَ بيدٍ واحدة.</t>
  </si>
  <si>
    <t xml:space="preserve">INJ-0094</t>
  </si>
  <si>
    <t xml:space="preserve">§١-٧ ملكيةُ الشاشة — الإدارةُ المالكةُ والإداراتُ العارضة</t>
  </si>
  <si>
    <t xml:space="preserve">أرصدة المخزون · كتالوج الأصناف · الاستلام المؤقت · صرف المخزون · العهد والمرتجعات · حدود إعادة الطلب</t>
  </si>
  <si>
    <t xml:space="preserve">http://localhost/ems/Procurement/stock_proc.php</t>
  </si>
  <si>
    <t xml:space="preserve">«لكل شاشةٍ مالكٌ واحدٌ يملك مضمونَها، وعارضون يرونها بزوايا مختلفة» — و«◆ ما لا تملكه [المشتريات]: الاستلامَ الفعلي · الصرفَ · الدفعَ نفسَه»</t>
  </si>
  <si>
    <t xml:space="preserve">سطرُ الشاهد 3390 خاطئ (مجموعةُ الدور 21 لا 16). — [مُصحَّح بعد التحقق] الصياغة الأولى: سايدبار دورِ المشتريات يعرض ستَّ شاشاتٍ مملوكةٍ لإدارة المخازن (M-06) بزاويةِ عملٍ لا بزاويةِ قراءة: «أرصدة المخزون بحالاتها» و«كتالوج الأصناف والقطع الحرجة» في المرحلة الأولى، و«الاستلام المؤقت قبل ا</t>
  </si>
  <si>
    <t xml:space="preserve">المشترياتُ تكتب في مستنداتِ المخازنِ التي تنصُّ الوثيقةُ على أنها لا تملكها (الاستلامُ الفعلي والصرف) — فتُغلق حلقةُ الشراء الصوري داخل إدارةٍ واحدةٍ ويسقط مصدرُ الحقيقة للمخزون</t>
  </si>
  <si>
    <t xml:space="preserve">بُنيت شاشاتُ المخازن داخل نطاقِ المشترياتِ منذ البداية (مجلد Procurement/) وبُذرت صلاحياتُها لدور المشتريات كاملةً بدل زاويةِ قراءةٍ فقط</t>
  </si>
  <si>
    <t xml:space="preserve">database/schema/seed_reference.sql:123; :125; :761; :763; :1399; :1401; :3021; :3022</t>
  </si>
  <si>
    <t xml:space="preserve">١) ادخل بدور «إدارة المشتريات».
٢) افتح «صرف المخزون والعهدة» من مجموعة «خارج الوثيقة».
٣) أنشئ سندَ صرفٍ: ينجح رغم أن الصرفَ ليس مما تملكه المشتريات.</t>
  </si>
  <si>
    <t xml:space="preserve">اسحب can_add/can_edit/can_delete على الموديولات ٦٨ و٧١ و٧٢ و٧٣ و٧٤ من الدور ١٦ وأبقِ can_view وحدَه (زاويةُ قراءةٍ للاحتياج)، وسجِّل مالكَ كلِّ شاشةٍ منها «إدارة المخازن» في نظام الشاشات</t>
  </si>
  <si>
    <t xml:space="preserve">حساب دور المشتريات يفتح شاشات المخزون للقراءة فقط ولا يستطيع إنشاءَ سندِ صرفٍ ولا استلام؛ وتقريرُ الملكية يُظهر مالكًا واحدًا لكل شاشة.</t>
  </si>
  <si>
    <t xml:space="preserve">الوثيقةُ تُسند stock/items/issue/wh_receipt لإدارة المخازن وتنفي عن المشتريات «الاستلامَ الفعلي والصرف»، بينما modules تُسجّل 71 و73 بمالكٍ 16 وrole_permissions (414/416) تمنح الدور 16 صلاحياتٍ كاملة 1,1,1,1.</t>
  </si>
  <si>
    <t xml:space="preserve">INJ-0095</t>
  </si>
  <si>
    <t xml:space="preserve">▐ ٢ الصلاحيات · سجلُّ الأفعالِ الحاكم (من يملك الفعل)</t>
  </si>
  <si>
    <t xml:space="preserve">لكلِّ فعلٍ حاكمٍ مالكٌ معلَنٌ في سجل الصلاحيات — ومن لا صلاحيةَ له لا ينفّذ</t>
  </si>
  <si>
    <t xml:space="preserve">الشاشةُ بلا حارسٍ إطلاقًا فيُرسي أيُّ مستخدمٍ مصادَق (لا مجرَّدُ تناقضٍ بين النموذج والواقع)، والمنحُ الثلاثةُ قراءةٌ فقط فعلًا. — [مُصحَّح بعد التحقق] الصياغة الأولى: في جدول role_permissions تملك الأدوارُ الثلاثةُ الوحيدةُ المرتبطةُ بالموديول ٢٩٨ (إدارة المشتريات · ادارة الموردين · مشرف موردين) can_view=1 و can_add=0 و can_edit=0 و can_delete=0 — أي أن نموذجَ الصل</t>
  </si>
  <si>
    <t xml:space="preserve">تناقضٌ كاملٌ بين نموذج الصلاحيات والواقع: التقريرُ الرقابيُّ سيُظهر أن أحدًا لا يملك الترسية، والنظامُ يسمح بها لكلِّ مستخدم — فأيُّ مراجعةِ وصولٍ تُبنى على البيانات ستكون مضلِّلة</t>
  </si>
  <si>
    <t xml:space="preserve">بُذرت صفوفُ الصلاحيات بحقوقِ عرضٍ فقط، وبُنيت الشاشةُ بلا قراءةٍ لها</t>
  </si>
  <si>
    <t xml:space="preserve">Procurement/rfq_compare_award.php:9-20,20-45; database/schema/seed_reference.sql:346,1963,1964,1965</t>
  </si>
  <si>
    <t xml:space="preserve">١) استعلِم: SELECT role_id,can_view,can_add,can_edit FROM role_permissions WHERE module_id=298 — ثلاثةُ صفوفٍ بـcan_edit=0.
٢) نفّذ ترسيةً من الشاشة بأيِّ حساب: تنجح.</t>
  </si>
  <si>
    <t xml:space="preserve">امنح can_edit=1 على الموديول ٢٩٨ لدور «إدارة المشتريات» وحدَه في seed_reference.sql وفي هجرة الصلاحيات، واسحب الموديولَ من دورَي الموردين، ثم اجعل الشاشةَ تفحصه فعلًا</t>
  </si>
  <si>
    <t xml:space="preserve">تقريرُ مصفوفة الصلاحيات يُظهر دورًا واحدًا يملك فعلَ الترسية، والترسيةُ لا تنجح إلا من حسابٍ في ذلك الدور.</t>
  </si>
  <si>
    <t xml:space="preserve">صفوفُ المنح صحيحةٌ حرفيًّا (1852,16,298,1,0,0,0 · 1853,2,298 · 1854,8,298) والشاشةُ لا تفحص شيئًا. لكن التوصيفَ الأدقَّ أن العيبَ ليس تناقضَ تقاريرَ بل ثغرةَ تنفيذ: rfq_compare_award.php:9-20 ليس فيه أيُّ فحصِ can_* ولا check_page_permissions، فأيُّ مستخدمٍ مصادَقٍ في الكيان يرسي عرضًا ويقلب supplier_rfqs إلى 'awarded'. ويخفّف منه أن الترسيةَ تُلزم سببًا وتختم awarded_by.</t>
  </si>
  <si>
    <t xml:space="preserve">INJ-0096</t>
  </si>
  <si>
    <t xml:space="preserve">١٩-٢ الدورةُ المستنديةُ الحاكمة · «سندُ صرفٍ ← مرتجعٌ»</t>
  </si>
  <si>
    <t xml:space="preserve">المرتجعات</t>
  </si>
  <si>
    <t xml:space="preserve">http://localhost/ems/Procurement/wh_returns.php</t>
  </si>
  <si>
    <t xml:space="preserve">«مرتجعُ صرفٍ يعود للمخزن بحركة «مرتجع» بمرجع سندِ الصرف الأصلي — فلا … مرتجعَ بلا أصلٍ يُرجَع إليه» والمرتجعُ لا يتجاوز المصروف</t>
  </si>
  <si>
    <t xml:space="preserve">التحققُ يقارن الكميةَ المرتجعةَ بكميةِ سطرٍ واحدٍ من سند الصرف (LIMIT 1) ولا يطرح ما سبق إرجاعُه؛ فإرسالُ الطلبِ ثلاثَ مراتٍ بالكمية الكاملة يُنشئ ثلاثَ حركاتِ مرتجعٍ صحيحةٍ حسابيًّا في نظر الفحص — كما أن الصنفَ والمخزنَ يُؤخذان من ذلك السطر الأول أيًّا كان الصنفُ المقصودُ في سندٍ متعددِ السطور</t>
  </si>
  <si>
    <t xml:space="preserve">يمكن إرجاعُ أضعافِ ما صُرف فيرتفع رصيدُ المخزون بلا أصلٍ مادي؛ وفي السنداتِ متعددةِ السطور تُنسب المرتجعاتُ إلى صنفٍ ومخزنٍ خاطئين</t>
  </si>
  <si>
    <t xml:space="preserve">فحصُ الكميةِ يقارن بسطرٍ واحدٍ لا بمجموعِ المصروفِ ناقصَ المرتجَع، ولا اختيارَ للسطر في الواجهة</t>
  </si>
  <si>
    <t xml:space="preserve">Procurement/wh_returns.php:25; Procurement/wh_returns.php:27; Procurement/wh_returns.php:29; Procurement/wh_returns.php:31; database/schema/schema.sql:7920</t>
  </si>
  <si>
    <t xml:space="preserve">١) اصرِف صنفًا بكمية ١٠ في سندٍ.
٢) من شاشة المرتجعات أرجِع ١٠ ثلاثَ مرات.
٣) استعلِم proc_stock_move: ثلاثُ حركاتِ مرتجعٍ بمجموع ٣٠ مقابل صرفٍ ١٠.</t>
  </si>
  <si>
    <t xml:space="preserve">في Procurement/wh_returns.php: اختر سطرَ الصرفِ صراحةً (issue_line_id) في الواجهة، واحسب المتاحَ للإرجاع = qty المصروفةُ − SUM(المرتجَع السابقِ لنفس السطر) داخل المعاملة، وارفض ما يتجاوزه، وحدِّث proc_custody.qty_returned</t>
  </si>
  <si>
    <t xml:space="preserve">إرجاعُ ١٠ ثم محاولةُ إرجاعِ ١ إضافيٍّ على السطر نفسِه تُرفض ٤٠٩ برسالةٍ تبيّن المتاحَ للإرجاع.</t>
  </si>
  <si>
    <t xml:space="preserve">الفحصُ يقارن الكميةَ بسطرٍ واحدٍ من proc_issue_line بـLIMIT 1 (الأسطر 25-27) ولا يطرح ما سبق إرجاعُه، والصنفُ والمخزنُ يُؤخذان من ذلك السطر — فيمكن تكرارُ الإرجاع بالكامل مراتٍ ونسبتُه لصنفٍ خاطئ. والشاشةُ غيرُ مسجَّلةٍ في modules أصلًا فلا حارسَ عرضٍ لها.</t>
  </si>
  <si>
    <t xml:space="preserve">INJ-0097</t>
  </si>
  <si>
    <t xml:space="preserve">١٩-٢ الدورةُ المستنديةُ الحاكمة · «قيدُ تسوية»</t>
  </si>
  <si>
    <t xml:space="preserve">«عهدةُ استلامٍ ← حركةُ إدخالٍ ← سندُ صرفٍ ← مرتجعٌ ← محضرُ جردٍ ← قيدُ تسوية» — آخرُ الدورةِ قيدٌ ماليٌّ للتسوية</t>
  </si>
  <si>
    <t xml:space="preserve">لا قيدَ ماليَّ لتسوية الجرد إطلاقًا: التسويةُ حركةُ كميةٍ في proc_stock_move بلا unit_cost (السطر ٢٩ لا يمرّر العمود) وبلا حدثٍ ماليٍّ وبلا أثرٍ في أيِّ جدولٍ مالي — فعجزُ الجردِ لا يُحمَّل مصروفًا وزيادتُه لا تُقيَّد إيرادًا أو تصحيحًا</t>
  </si>
  <si>
    <t xml:space="preserve">فروقاتُ الجردِ تختفي ماليًّا: قيمةُ المخزونِ في الدفاترِ تنحرف عن الواقع بلا أيِّ قيدٍ يفسّر الفرق — وهو خللٌ يُبطل تقييمَ المخزون كلَّه</t>
  </si>
  <si>
    <t xml:space="preserve">نُفِّذت التسويةُ كميةً فقط بلا تسعيرٍ بالمتوسط المرجَّح ولا نشرِ أثرٍ مالي</t>
  </si>
  <si>
    <t xml:space="preserve">Procurement/wh_count.php:29; database/schema/schema.sql:8194; Procurement/proc_helpers.php:805; app/Core/EventPublisher.php:239</t>
  </si>
  <si>
    <t xml:space="preserve">١) نفّذ تسويةَ عجزٍ بكمية ١٠٠ لصنفٍ مسعَّر.
٢) استعلِم proc_stock_move: الصفُّ بلا unit_cost.
٣) استعلِم fin_financial_events: لا حدث.</t>
  </si>
  <si>
    <t xml:space="preserve">في Procurement/wh_count.php: سعِّر حركةَ التسوية بالمتوسط المرجَّح لحظتها (كما يفعل الصرف)، وانشر حدث inventory.count.adjusted بمبلغِ الفرقِ ومركزِ التكلفة داخل معاملةِ الكتابة، وسجِّل مستهلكًا ماليًّا يُنشئ قيدَ التسوية</t>
  </si>
  <si>
    <t xml:space="preserve">تسويةُ جردٍ بعجزٍ تُنتج حركةً مسعَّرةً وحدثًا ماليًّا وقيدَ تسويةٍ بقيمةِ الفرقِ على مركز التكلفة الصحيح.</t>
  </si>
  <si>
    <t xml:space="preserve">تسويةُ الجرد تُدرج حركةَ كميةٍ في proc_stock_move بلا unit_cost رغم وجود العمود في المخطط، وبلا حدثٍ ماليٍّ ولا قيدِ تسوية — فعجزُ الجرد لا يُحمَّل مصروفًا ولا يُصحَّح في الدفاتر.</t>
  </si>
  <si>
    <t xml:space="preserve">INJ-0098</t>
  </si>
  <si>
    <t xml:space="preserve">▐ ١٠ الحرّاس · fail-closed</t>
  </si>
  <si>
    <t xml:space="preserve">لا كتابةَ في الرصيد بلا حارسٍ خادميٍّ يسبق الأثر</t>
  </si>
  <si>
    <t xml:space="preserve">الشاشةُ بلا حارسِ صلاحية: فحصُ الجلسة في السطر ١٠ ثم إدراجُ حركةِ «مرتجع» في السطر ٣١، والحارسُ المركزيُّ في السطر ٥٥ بعد الكتابة</t>
  </si>
  <si>
    <t xml:space="preserve">أيُّ مستخدمٍ مسجَّلٍ يستطيع إرجاعَ موادَّ على أيِّ سندِ صرفٍ فيرفع رصيدَ المخزن — أثرٌ على القيمة وعلى العهدة بلا صلاحية</t>
  </si>
  <si>
    <t xml:space="preserve">النمطُ المختصرُ نفسُه في موجة update0007</t>
  </si>
  <si>
    <t xml:space="preserve">Procurement/wh_returns.php:12-13; :20-32; :55</t>
  </si>
  <si>
    <t xml:space="preserve">١) ادخل بحسابٍ بلا صلاحيةِ مخازن.
٢) أرسِل POST إلى wh_returns.php بالحقول issue_id و qty و reason.
٣) استعلِم proc_stock_move: صفُّ «مرتجع» جديد.</t>
  </si>
  <si>
    <t xml:space="preserve">أضِف في Procurement/wh_returns.php قبل السطر ١٨ حارسَ proc_page_perms على رمز الشاشة مع فحص can_edit ورفضٍ بـGOV-PERM-403</t>
  </si>
  <si>
    <t xml:space="preserve">POST بلا can_edit يعيد ٤٠٣ ولا يُدرج صفَّ مرتجع.</t>
  </si>
  <si>
    <t xml:space="preserve">الإدراجُ في proc_stock_move بحركة «مرتجع» يقع في السطر 31 داخل فرع POST، بينما الحارسُ المركزيُّ (insidebar) لا يُضمَّن إلا في السطر 55 ولا فحصَ can_add/can_edit في الملف — فأيُّ مستخدمٍ مسجَّلٍ يغيّر رصيدَ المخزن.</t>
  </si>
  <si>
    <t xml:space="preserve">INJ-0099</t>
  </si>
  <si>
    <t xml:space="preserve">▐ ١١-٣ · SCN-125 · SCN-708 · SCN-893 · SCN-920 · SCN-932</t>
  </si>
  <si>
    <t xml:space="preserve">صندوق ما ينتظر اعتمادي · طلبات الاستثناء · دورة المراجعة الدورية · سجل أنواع المستندات · حالات المستندات</t>
  </si>
  <si>
    <t xml:space="preserve">http://localhost/ems/Finance/approvals_inbox.php</t>
  </si>
  <si>
    <t xml:space="preserve">«يجب أن تُعرض شاشةُ «صندوق ما ينتظر اعتمادي» لـالمخازن بنطاق نطاقُه وسقفُه … · «طلبات الاستثناء» بنطاق طلباته · «دورة المراجعة الدورية للصلاحيات» بنطاق حسابات إدارته · «سجل أنواع المستندات» و«حالات المستندات وانتقالاتها» بنطاق مستندات إدارته»</t>
  </si>
  <si>
    <t xml:space="preserve">خمسُ شاشاتٍ إلزاميةٍ غائبةٌ عن سايدبار الدور ٢٥ (١٨ رابطًا فقط): صندوقُ الاعتماد له صفٌّ فعّالٌ (id=6112) محجوبٌ لغياب can_view على الموديول ١٩٢، والأربعُ الباقيةُ بلا أيِّ صفٍّ لهذا الدور</t>
  </si>
  <si>
    <t xml:space="preserve">إدارةُ المخازن — وهي التي تعتمد الاستلامَ والصرفَ والعهدةَ والجرد — بلا صندوقِ اعتمادٍ ولا مسارِ استثناءٍ ولا تصديقِ مديرٍ على فريقه ولا قراءةِ حالاتِ مستنداتها؛ فكلُّ اعتمادٍ يقع داخل شاشةِ الفعلِ بلا صندوقٍ ولا سقفٍ ولا حجبِ اعتمادِ ما أنشأه</t>
  </si>
  <si>
    <t xml:space="preserve">مصفوفةُ ظهور M-14 لم تُترجَم إلى صفوفِ صلاحياتٍ وتنقلٍ للدور ٢٥</t>
  </si>
  <si>
    <t xml:space="preserve">database/schema/seed_reference.sql:4288; database/schema/seed_reference.sql:2887; Governance/exceptions.php:1; Governance/access_review.php:1; Governance/doc_types.php:1; Governance/state_machines.php:1</t>
  </si>
  <si>
    <t xml:space="preserve">١) ادخل بدور أمين المستودع.
٢) اجرد الروابط الـ١٨: لا صندوقَ اعتمادٍ ولا استثناءاتٍ ولا مراجعةً ولا أنواعَ مستنداتٍ ولا حالاتِها.</t>
  </si>
  <si>
    <t xml:space="preserve">أضِف صفَّ role_permissions (25,192,can_view=1,can_edit=1) وأربعةَ صفوفِ nav_items للشاشات الحوكمية تحت مجموعةٍ «حوكمة إدارتي» بنطاق الإدارة وبالأفعال المسموحة في M-14</t>
  </si>
  <si>
    <t xml:space="preserve">أمينُ المستودع يفتح صندوقَ الاعتماد ويرى ما ينتظره بنطاقه، ولا يرى فيه ما أنشأه بنفسه؛ ويرى الشاشاتِ الحوكميةَ الأربعَ بحقوقِ القراءة/الطلب المنصوصة.</t>
  </si>
  <si>
    <t xml:space="preserve">سايدبار الدور 25 المحسوب لا يحوي أيًّا من الخمس: صفُّ approvals_inbox (id=6112 · موديول 192) فعّالٌ لكن بلا صفِّ role_permissions للدور 25 فيُحجب، ولا صفوفَ إطلاقًا لـexceptions و access_review و doc_types و state_machines.</t>
  </si>
  <si>
    <t xml:space="preserve">INJ-0100</t>
  </si>
  <si>
    <t xml:space="preserve">▐ ٩-١ أزواجُ الواجباتِ المتعارضة · SEC-015-ب ② (الاستلام والصرف)</t>
  </si>
  <si>
    <t xml:space="preserve">دورة المخازن — الاستلام والصرف والجرد</t>
  </si>
  <si>
    <t xml:space="preserve">http://localhost/ems/Procurement/issue_proc.php</t>
  </si>
  <si>
    <t xml:space="preserve">ثالثًا: الصرف والعهدة</t>
  </si>
  <si>
    <t xml:space="preserve">فصلُ الواجبات يُنفَّذ عند المعاملة؛ ولا يجمع شخصٌ واحدٌ الاستلامَ والصرفَ والجردَ على المخزون نفسِه</t>
  </si>
  <si>
    <t xml:space="preserve">دورُ «أمين المستودع» يملك can_add و can_edit على كلٍّ من الاستلام (٧١ و٣٠٠) والرصيد (٧٢) والصرف (٧٣) والتحويل (٣٠١) والجرد (٢٩٩) — أي دورةَ المخزون الكاملةَ بحسابٍ واحد؛ ولا استدعاءَ لـems_no_self_approval ولا لـSegregationOfDutiesGuard في أيِّ ملفٍ من ملفات المخازن، ودورُ «مدير المخازن» (معتمِدُ الجرد في §١٩-٣) غيرُ موجودٍ في جدول roles</t>
  </si>
  <si>
    <t xml:space="preserve">أمينُ المستودعِ يستطيع صرفَ صنفٍ ثم تسويةَ الفرقِ الناتجِ في الجرد بنفسه فيُخفي العجز — لا رقيبَ ولا معتمِدَ مستقل؛ وهو الزوجُ المتعارضُ الذي تمنعه SEC-015-ب</t>
  </si>
  <si>
    <t xml:space="preserve">الحرّاسُ مبنيةٌ على صلاحية الشاشة لا على عقد الفعل، ودورُ الاعتماد المنصوصُ عليه غيرُ منشأ</t>
  </si>
  <si>
    <t xml:space="preserve">database/schema/seed_reference.sql: role_permissions (1239,25,71,1,1,1,0) · (1240,25,72,…) · (1241,25,73,…) · (1855,25,299,…) · (1857,25,300,…) · (1858,25,301,…); roles: (25,'أمين المستودع',…)</t>
  </si>
  <si>
    <t xml:space="preserve">١) بحساب أمين المستودع: اصرِف ١٠ وحداتٍ من صنف.
٢) بالحساب نفسِه افتح «الجرد ومعالجة الفروقات» وسوِّ الفرقَ بسببٍ نصيّ.
٣) كلاهما ينجح بلا اعتمادٍ من أحد.</t>
  </si>
  <si>
    <t xml:space="preserve">أنشئ دورَ «مدير المخازن» واشترِط اعتمادَه لحركاتِ التسوية والتحويلِ فوق حدٍّ معلَن، وأضِف استدعاءَ SegregationOfDutiesGuard في Procurement/wh_count.php و issue_proc.php يقارن الفاعلَ بمن نفّذ الحركةَ الأصلية ويرفض ٤٠٩</t>
  </si>
  <si>
    <t xml:space="preserve">من نفّذ حركةَ صرفٍ لا يستطيع تسويةَ فرقِ الصنفِ نفسِه في الجرد بلا اعتمادِ مدير المخازن.</t>
  </si>
  <si>
    <t xml:space="preserve">الدورُ 25 يملك can_view+can_add+can_edit على الاستلام والرصيد والصرف والتحويل والجرد معًا، ولا دورَ باسم «مدير المخازن» في جدول roles، وصفرُ نداءٍ لحارسِ فصلِ الواجبات في ملفات المخازن — لكنَّ أرقامَ الأسطر في الدليل خاطئة.</t>
  </si>
  <si>
    <t xml:space="preserve">INJ-0101</t>
  </si>
  <si>
    <t xml:space="preserve">§١-٧ ملكيةُ الشاشة · مصدرُ الحقيقة (وINJAZ-FRD-01 §٢٠-١)</t>
  </si>
  <si>
    <t xml:space="preserve">إدارة الموقع</t>
  </si>
  <si>
    <t xml:space="preserve">خطة عمل الغد</t>
  </si>
  <si>
    <t xml:space="preserve">http://localhost/ems/Operations/daily_plan.php</t>
  </si>
  <si>
    <t xml:space="preserve">أولًا: جدول العمل والورديات</t>
  </si>
  <si>
    <t xml:space="preserve">«◆ ما تملكه (مصدرُ الحقيقة): خطةَ يومه …» — والدورةُ تبدأ بـ«خطةُ الغد»؛ والشاشةُ منصوصةٌ في §٢٠-٤ بـ٢٥ عمودًا و٣ أفعالٍ و٤ إداراتٍ عارضة</t>
  </si>
  <si>
    <t xml:space="preserve">الشاشةُ مبنيةٌ بحارسٍ صارمٍ ممتاز (فحصُ الموديول بكوده الحرفي)، وصفُّ nav_items لها فعّالٌ للدور ٦ (id=5873) — لكن مصفوفةَ الصلاحيات تمنح الموديولَ ١٥٢ لدور «ادارة الاسطول» بـcan_view/can_add/can_edit ولدور ٥ (إدارة الموقع القديم) بـcan_view فقط، ولا تمنحه لدور ٦ إطلاقًا؛ فخطةُ عملِ الغدِ محجوبةٌ عن مالكها ومفتوحةٌ للكتابة لإدارة الأسطول</t>
  </si>
  <si>
    <t xml:space="preserve">أولُ مستندٍ في دورة إدارة الموقع — وهو مصدرُ حقيقتها بنصِّ الوثيقة — لا يراه مديرُ الموقعِ ويكتبه غيرُ مالكه؛ والمرحلةُ الأولى تعرض شاشتين بدل ثلاثٍ</t>
  </si>
  <si>
    <t xml:space="preserve">بذرةُ الصلاحيات أُسندت إلى الدور ٥ المهجور وإلى دور الأسطول ولم تُهاجر إلى الدور ٦ بعد دمج الدورين</t>
  </si>
  <si>
    <t xml:space="preserve">database/schema/seed_reference.sql:204; database/schema/seed_reference.sql:1145; database/schema/seed_reference.sql:1146; database/schema/seed_reference.sql:4048; database/schema/seed_reference.sql:2910; Operations/daily_plan.php:35; database/schema/seed_reference.sql:22</t>
  </si>
  <si>
    <t xml:space="preserve">١) استعلِم: SELECT role_id,can_view,can_edit FROM role_permissions WHERE module_id=152 — الدورُ ٣ (الأسطول) و٥ فقط.
٢) ادخل بدور ٦ (إدارة الموقع): «خطة عمل الغد» غيرُ موجودةٍ في السايدبار.
٣) افتحها بالرابط المباشر: تُرفض برسالة انعدام الصلاحية.</t>
  </si>
  <si>
    <t xml:space="preserve">أضِف صفَّ role_permissions (6,152,can_view=1,can_add=1,can_edit=1) واسحب can_add/can_edit من الدور ٣ (الأسطول) وأبقِ can_view زاويةَ قراءةٍ له، واحذف صفوفَ الدور ٥ المهجور</t>
  </si>
  <si>
    <t xml:space="preserve">مديرُ الموقعِ يفتح «خطة عمل الغد» وينفّذ أفعالَها الثلاثة، وحسابُ الأسطول يفتحها للقراءة ولا يستطيع الكتابة.</t>
  </si>
  <si>
    <t xml:space="preserve">تحققتُ من الثلاثة معًا: الحارسُ الصارمُ بكود الموديول في daily_plan.php:35-57، وصفُّ nav_items 5873 للدور 6 فعّالٌ (active=1)، ومصفوفةُ الصلاحيات للموديول 152 تمنح الدور 3 can_view/add/edit والدور 5 عرضًا ولا شيءَ للدور 6 — فالمالكُ يرى الرابطَ ويُحوَّل عند الضغط. لكنه خللُ بذرةِ صلاحياتٍ يُصلَح بصفٍّ واحد، والمرحلةُ تُنجَز من الدور 3.</t>
  </si>
  <si>
    <t xml:space="preserve">INJ-0102</t>
  </si>
  <si>
    <t xml:space="preserve">٢٠-٣ المرحلة ٥ «خامسًا: اعتماد ما سُجّل | محضر اعتماد الموقع | المعتمِد: مدير الموقع»</t>
  </si>
  <si>
    <t xml:space="preserve">اعتماد ما سُجّل (محضر اعتماد الموقع)</t>
  </si>
  <si>
    <t xml:space="preserve">«خامسًا: اعتماد ما سُجّل | محضر اعتماد الموقع | المعتمِد: مدير الموقع | ١ شاشة» — و«◆ ما تملكه (مصدرُ الحقيقة): خطةَ يومه · صفَّ الوحدة · الاعتمادَ الأول · إثباتَ الوصول»</t>
  </si>
  <si>
    <t xml:space="preserve">الدورُ 6 بلا شاشةِ اعتمادٍ عاملة: مجموعةُ المرحلة الخامسة تفرغ لغياب المنحة، ورابطُ اعتماد الوحدات القائمُ له يُعيده حارسُ الأدوار المسموحة — لكن الاعتمادَ الأولَ في السلسلة الرباعية يقع فعلًا بالدور 1 فلا تتوقف الدورة. — [مُصحَّح بعد التحقق] الصياغة الأولى: مجموعةُ المرحلة الخامسة معرَّفةٌ في القاعدة (link_groups.id=3283 · stage_no=5 · «الاعتماد» تحت «خامسًا: اعتماد ما سُجّل») وصفُّها الوحيدُ nav_items id=5886 يشير إلى Finance/approvals_inbox.php — لكنه </t>
  </si>
  <si>
    <t xml:space="preserve">مصدرُ الحقيقةِ الأولُ لإدارة الموقع — «الاعتمادُ الأول» ومحضرُه — بلا شاشةٍ في النظام الحي: ما يُسجَّل في الموقع لا يُعتمد أولَ اعتمادٍ من مالكه، فتنتقل ساعاتُ العملِ والإنتاجُ إلى التشغيلِ والماليةِ بلا شهادةِ مديرِ الموقعِ التي تنصُّ عليها الحلقةُ الأولى (§٢٤-٢)</t>
  </si>
  <si>
    <t xml:space="preserve">صفُّ تنقلٍ فعّالٌ بلا صفِّ صلاحيةٍ مقابل، ومجموعةٌ مرحليةٌ تفرغ فلا تُعرض — والحجبُ صامتٌ بلا رمزِ سبب</t>
  </si>
  <si>
    <t xml:space="preserve">database/schema/seed_reference.sql:2919,4061,1375-1378,3960; includes/unified_nav.php:65-77; includes/roles.php:78-81; Approvals/hours_approval.php:46-52</t>
  </si>
  <si>
    <t xml:space="preserve">١) ادخل بحساب دور «إدارة الموقع» (role_id=6).
٢) اجرد مجموعات السايدبار: بعد «رابعًا: تسجيل عمل اليوم» تأتي «سادسًا: معالجة ما تعثّر» مباشرةً.
٣) استعلِم link_groups id=3283: المجموعةُ موجودةٌ ومفعَّلةٌ ولها صفُّ nav_items واحدٌ فعّال.
٤) استعلِم role_permissions (6,192): لا صف.</t>
  </si>
  <si>
    <t xml:space="preserve">أضِف صفَّ role_permissions (role_id=6, module_id=192, can_view=1, can_edit=1)؛ وأفضلُ منه: أنشئ شاشةَ «محضر اعتماد الموقع» المخصَّصةَ (Site/site_approval.php) تعرض ما سُجّل في اليوم (تايم شيت · إنتاج · وردية) وتعتمده دفعةً واحدةً بمحضرٍ برقمٍ ومعتمِدٍ وتاريخ، وأسنِدها إلى المجموعة 3283</t>
  </si>
  <si>
    <t xml:space="preserve">سايدبار الدور ٦ يعرض مجموعة «خامسًا: اعتماد ما سُجّل» بشاشةٍ تفتح، ولا يمكن ترحيلُ سجلِّ يومٍ إلى التشغيل قبل وجود محضرِ اعتمادٍ يحمل هويةَ مدير الموقع وتاريخه.</t>
  </si>
  <si>
    <t xml:space="preserve">مؤكَّدٌ بنيويًّا: المجموعةُ 3283 (stage_no=5) صفُّها الوحيد nav_items 5886 بـpermission_code غيرِ فارغ، ولا صفَّ role_permissions للدور 6 على الموديول 192 (المنحُ للأدوار 17·18·19·22 فقط) فيُسقطه شرطُ unified_nav.php:65-77. وأعمقُ مما ذُكر: للدور 6 عنصرٌ آخرُ (nav_items 880) إلى Approvals/hours_approval.php لكنه يُرَدّ لأن EMS_ROLE_SITE_MGR='5' لا '6' (includes/roles.php:78-81). غير أن سلسلةَ الاعتماد الرباعيةَ تعمل عبر الأدوار 1-4 فلا تنقطع كليًّا.</t>
  </si>
  <si>
    <t xml:space="preserve">INJ-0103</t>
  </si>
  <si>
    <t xml:space="preserve">٢٠-٣ المرحلة ٩ «طلبات الموقع» · المرحلة ٦ «سادسًا: معالجة ما تعثّر | ٨ شاشة»</t>
  </si>
  <si>
    <t xml:space="preserve">طلبات الشراء · طلبات الترحيل · أوامر الصيانة · الفحص الفني اليومي · صرف مواد من المخزن · أرصدة المخزون · العهد والمرتجعات</t>
  </si>
  <si>
    <t xml:space="preserve">«سادسًا: معالجة ما تعثّر | طلب تغيير حالة | المعتمِد: مدير الموقع | ٨ شاشة» و«طلبات الموقع | — طلبات | ٢ شاشة»</t>
  </si>
  <si>
    <t xml:space="preserve">ثمانيةُ صفوفٍ محجوبةٍ في المجموعات الثلاث لا تسعة (الموديول 50 يقع في مجموعة «الحضور» بالمرحلة الثامنة). — [مُصحَّح بعد التحقق] الصياغة الأولى: مجموعتا «الصيانة والفحص» (3285) و«الاستلام والصرف» (3286) و«الشراء والترحيل» (3291) لها تسعةُ صفوفِ nav_items فعّالةٍ محجوبةٍ كلُّها لغياب can_view للدور ٦ على الموديولات ٤٣ و٤٤ و٧١ و٧٢ و٧٣ و١١١ و١١٢ </t>
  </si>
  <si>
    <t xml:space="preserve">مديرُ الموقعِ لا يستطيع من نظامه طلبَ شراءٍ ولا ترحيلٍ ولا فتحَ أمرِ صيانةٍ ولا طلبَ صرفِ موادٍّ — أي أن مرحلتَي «معالجةِ ما تعثّر» و«طلبات الموقع» بلا أيِّ مخرَجٍ عمليّ، فيُدار الطلبُ خارج النظام</t>
  </si>
  <si>
    <t xml:space="preserve">تسعةُ صفوفِ تنقلٍ فعّالةٍ بلا صفوفِ صلاحيةٍ مقابلة — النمطُ نفسُه المتكرر في هذا الدور (٣٢ من ٦٤ صفًّا محجوبةٌ أو معطَّلة)</t>
  </si>
  <si>
    <t xml:space="preserve">database/schema/seed_reference.sql:4064-4069; :4078-4079</t>
  </si>
  <si>
    <t xml:space="preserve">١) ادخل بدور إدارة الموقع.
٢) افتح «سادسًا: معالجة ما تعثّر»: رابطان (بلاغات إدارتي · أبلغ عن مشكلة).
٣) ابحث عن مجموعة «طلبات الموقع»: غيرُ معروضة.
٤) استعلِم nav_items للمجموعات 3285 و3286 و3291: تسعةُ صفوفٍ فعّالةٍ محجوبة.</t>
  </si>
  <si>
    <t xml:space="preserve">أضِف صفوفَ role_permissions للدور ٦ على الموديولات التسعة بحقوقٍ محدودة (can_view + can_add لطلبات الشراء والترحيل وأوامر الصيانة، can_view فقط للمخزون)، وأعِد عرضَ مجموعتَي المرحلتين</t>
  </si>
  <si>
    <t xml:space="preserve">مديرُ الموقعِ يفتح طلبَ شراءٍ وطلبَ ترحيلٍ وأمرَ صيانةٍ من سايدبار موقعه، وتعرض المرحلتان السادسةُ والتاسعةُ شاشاتِهما المنصوصة.</t>
  </si>
  <si>
    <t xml:space="preserve">بعد تطبيق active وcan_view: مجموعتا «الصيانة والفحص» و«الاستلام والصرف» في المرحلة السادسة تفرغان (6 صفوفٍ محجوبة) فلا يبقى غير رابطي البلاغات، ومجموعةُ «الشراء والترحيل» في المرحلة التاسعة تفرغ كليًّا فتختفي المرحلة — والمودولات 43·44·71·72·73·111·112·69 بلا can_view للدور 6.</t>
  </si>
  <si>
    <t xml:space="preserve">INJ-0104</t>
  </si>
  <si>
    <t xml:space="preserve">٢٠-٤ · «تسجيل التايم شيت والإنتاج» (٦ أفعال · ٨ إداراتٍ عارضة)</t>
  </si>
  <si>
    <t xml:space="preserve">رابعًا: تسجيل عمل اليوم</t>
  </si>
  <si>
    <t xml:space="preserve">«◆ طبيعةُ الشاشةِ تُحدَّد بأفعالها لا باسمها» و«لكل ظهورٍ أربعةُ أحكام: النطاقُ والزاويةُ والمسموحُ والمحجوب» — والشاشةُ لها ٨ إداراتٍ عارضةٍ بزوايا مختلفة (تسجيلٌ عند الموقع · مطابقةٌ عند التشغيل · أساسُ استحقاقٍ عند المالية)</t>
  </si>
  <si>
    <t xml:space="preserve">الشاشةُ تُحرَس بفحصِ وجودِ شركةٍ للمستخدم فقط (السطر ١٥) ثم تعالج POST مباشرةً (السطر ٢٢٩)؛ ولا وجودَ لأيِّ آليةِ زوايا: كلُّ الإداراتِ العارضةِ ترى الشاشةَ نفسَها بالأعمدةِ نفسِها والأفعالِ نفسِها، ولا حقلَ محجوبٌ عن أيِّ دورٍ في الاستجابة</t>
  </si>
  <si>
    <t xml:space="preserve">ثمانِ إداراتٍ ترى شاشةً واحدةً بزاويةٍ واحدة: المالية ترى ما يراه مدخلُ الساعاتِ ويكتب ما يكتبه، ولا يُحجب عن التشغيل ما يخصُّ الاستحقاق — خرقٌ لحكم «المحجوب: ما لا يُصيَّر ولا يُرسَل في الاستجابة»</t>
  </si>
  <si>
    <t xml:space="preserve">بُنيت الشاشةُ قبل نموذج الزوايا ولم تُربط بمصفوفة العرض ولا بحارسِ الحقول الحساسة</t>
  </si>
  <si>
    <t xml:space="preserve">Timesheet/timesheet.php:15; :229; :695</t>
  </si>
  <si>
    <t xml:space="preserve">١) ادخل بدور إدارة الموقع وافتح تسجيلَ التايم شيت: أعمدةٌ وأفعالٌ كاملة.
٢) ادخل بدورٍ ماليٍّ وافتح الشاشةَ نفسَها: الأعمدةُ والأفعالُ نفسُها.
٣) grep عن أيِّ ترشيحٍ للأعمدة بحسب الدور في الملف: صفرُ نتيجة.</t>
  </si>
  <si>
    <t xml:space="preserve">عرِّف زوايا الشاشة في مصفوفة العرض (تسجيل · مطابقة · أساس استحقاق · مراجعة) واقرأها في Timesheet/timesheet.php لتحديد الأعمدةِ المصيَّرةِ والأفعالِ المسموحة، واستعمِل SensitiveFieldGuard لإسقاطِ المحجوبِ من الاستجابة لا لإخفائه بالعرض</t>
  </si>
  <si>
    <t xml:space="preserve">كلُّ دورٍ من الثمانية يرى الشاشةَ بزاويته: أعمدةٌ وأفعالٌ مختلفة، والمحجوبُ غيرُ موجودٍ في مصدر HTML أصلًا.</t>
  </si>
  <si>
    <t xml:space="preserve">الحارسُ الوحيدُ قبل معالجة POST هو وجودُ شركةٍ للمستخدم (السطر 15)، وinsidebar لا يُضمَّن إلا في السطر 695 — أي كتابةُ تايم شيتٍ (أساسُ الاستحقاق) بلا حارسِ صلاحيةٍ لأيِّ حسابٍ مسجَّل.</t>
  </si>
  <si>
    <t xml:space="preserve">INJ-0105</t>
  </si>
  <si>
    <t xml:space="preserve">▐ ١١-٣ · SCN-120 · SCN-703 · SCN-881 · SCN-895</t>
  </si>
  <si>
    <t xml:space="preserve">صندوق ما ينتظر اعتمادي · طلبات الاستثناء · صلاحية الطوارئ اللحظية (كسر الزجاج) · دورة المراجعة الدورية للصلاحيات</t>
  </si>
  <si>
    <t xml:space="preserve">«يجب أن تُعرض شاشةُ «صلاحية الطوارئ اللحظية (كسر الزجاج)» لـإدارة الموقع بنطاق طلباته · بأفعالٍ مسموحةٍ هي طلب · متابعة، ومحجوبٍ عنه: المنح» — وكذلك صندوقُ الاعتمادِ وطلباتُ الاستثناءِ ودورةُ المراجعة</t>
  </si>
  <si>
    <t xml:space="preserve">الشاشاتُ الأربعُ غائبةٌ عن سايدبار الدور ٦ (٣٤ رابطًا)؛ وإدارةُ الموقعِ هي الإدارةُ الوحيدةُ التي تنصُّ M-14 على منحها مسارَ كسرِ الزجاجِ صراحةً (طلبًا لا منحًا) — وشاشةُ كسر الزجاج نفسُها Governance/break_glass.php حارسُها الوحيدُ فحصُ وجودِ شركةٍ للمستخدم ثم تُدرج صفًّا عبر cmp03_store_insert بلا صلاحيةٍ ولا موافقتين ولا مهلة</t>
  </si>
  <si>
    <t xml:space="preserve">مديرُ الموقعِ — وهو الأكثرُ احتياجًا لصلاحيةِ طوارئَ ميدانيةٍ — بلا مسارِ طلبٍ نظاميّ؛ وفي المقابل يستطيع أيُّ مستخدمٍ إدراجَ صفِّ كسرِ زجاجٍ مباشرةً في شاشةِ الحوكمة</t>
  </si>
  <si>
    <t xml:space="preserve">مصفوفةُ ظهور M-14 لم تُبذر للدور ٦، وشاشةُ break_glass سقطت من موجة إضافة الحرّاس التي شملت تسعَ شاشاتِ حوكمةٍ شقيقة</t>
  </si>
  <si>
    <t xml:space="preserve">Governance/break_glass.php:24; :73; Governance/access_review.php:34; database/schema/seed_reference.sql:326; :4956</t>
  </si>
  <si>
    <t xml:space="preserve">١) ادخل بدور إدارة الموقع.
٢) اجرد الروابط الـ٣٤: لا صندوقَ اعتمادٍ ولا استثناءاتٍ ولا كسرَ زجاجٍ ولا مراجعةَ صلاحيات.
٣) افتح Governance/break_glass.php مباشرةً وأرسِل النموذج: يُدرج الصف.</t>
  </si>
  <si>
    <t xml:space="preserve">أضِف أربعةَ صفوفِ nav_items للدور ٦ تحت مجموعة «حوكمة إدارتي» بأفعالٍ محدودةٍ (طلب/متابعة/تأكيد) وصفوفَ role_permissions مقابلة؛ وأضِف في Governance/break_glass.php:24 حارسَ check_page_permissions واشتراطَ موافقتين ومهلةٍ ومستندٍ قبل الإدراج على نمط Governance/access_review.php:34</t>
  </si>
  <si>
    <t xml:space="preserve">مديرُ الموقعِ يطلب صلاحيةَ طوارئٍ ويتابعها ولا يمنحها؛ وإدراجُ صفِّ كسرِ زجاجٍ بلا صلاحيةٍ يُرفض ٤٠٣.</t>
  </si>
  <si>
    <t xml:space="preserve">break_glass.php بلا check_page_permissions إطلاقًا ويدرج الصفَّ عبر cmp03_store_insert قبل include insidebar — أثرٌ قبل الحارس على شاشةِ صلاحيةِ طوارئ؛ ونظيرتُها access_review.php محروسةٌ في السطر 34.</t>
  </si>
  <si>
    <t xml:space="preserve">INJ-0106</t>
  </si>
  <si>
    <t xml:space="preserve">▐ ١٠ الحرّاس · fail-closed · ▐ ١١-١ سجلُّ التدقيق</t>
  </si>
  <si>
    <t xml:space="preserve">التوقفات وتحديد المتحمِّل</t>
  </si>
  <si>
    <t xml:space="preserve">لا فعلَ يقع قبل حارسٍ خادميّ؛ وكلُّ كتابةِ مجالٍ تُسجَّل بالقيمة قبل وبعد</t>
  </si>
  <si>
    <t xml:space="preserve">أيُّ مصادَقٍ يستطيع إسنادَ توقفٍ غيرِ مُسنَدٍ فقط (لا تعديلَ إسنادٍ قائمٍ لأن الشرط يمنعه)، بلا صلاحيةٍ وبلا أثرٍ تدقيقي. — [مُصحَّح بعد التحقق] الصياغة الأولى: الشاشةُ بلا حارسِ صلاحيةٍ: فحصُ الجلسة ثم UPDATE على جدول timesheet في السطر ٢٢، والحارسُ المركزيُّ يأتي مع insidebar.php في السطر ٤٤ بعد الكتابة؛ ولا سجلَّ تدقيقٍ ولا حدثَ منشور — وهي شاشةٌ تُسند مسؤ</t>
  </si>
  <si>
    <t xml:space="preserve">أيُّ مستخدمٍ مسجَّلٍ يستطيع إسنادَ مسؤوليةِ توقفٍ إلى العميل أو المورد فتترتب عليه خصوماتٌ ومطالباتٌ ماليةٌ — بلا صلاحيةٍ وبلا أثرٍ تدقيقيٍّ ولا سبيلٍ لمعرفةِ من أسند</t>
  </si>
  <si>
    <t xml:space="preserve">النمطُ المختصرُ نفسُه في موجة update0007، وغيابُ سجل التدقيق عن الشاشة</t>
  </si>
  <si>
    <t xml:space="preserve">Operations/stops_unattributed.php:17; Operations/stops_unattributed.php:22; Operations/stops_unattributed.php:44; includes/audit_trail.php:8</t>
  </si>
  <si>
    <t xml:space="preserve">١) ادخل بحسابٍ من أيِّ إدارة.
٢) أرسِل POST إلى stops_unattributed.php بالحقلين assign_ts=&lt;معرّف تايم شيت&gt; و fault_department=«العميل».
٣) استعلِم timesheet: العمودُ fault_department صار «العميل» بلا أثرٍ لمن غيّره.</t>
  </si>
  <si>
    <t xml:space="preserve">أضِف في Operations/stops_unattributed.php حارسَ check_page_permissions على رمز الشاشة مع فحص can_edit قبل السطر ١٧، واستدعِ ems_audit_change بعد التحديث بالقيمة قبل وبعد، وأضِف فعلَ نقضٍ للإسناد بسببٍ موثَّق</t>
  </si>
  <si>
    <t xml:space="preserve">فريق الباك-إند — وحدة إدارة الموقع</t>
  </si>
  <si>
    <t xml:space="preserve">POST بلا can_edit يعيد ٤٠٣؛ وكلُّ إسنادٍ يُنتج صفَّ تدقيقٍ بالقيمة قبل وبعد وبفاعله؛ ويمكن نقضُ الإسناد بسببٍ مسجَّل.</t>
  </si>
  <si>
    <t xml:space="preserve">تحققتُ: UPDATE timesheet SET fault_department في السطور 22-25 قبل include '../insidebar.php' في السطر 44، بلا أيِّ فحصِ صلاحيةٍ ولا سجلِّ تدقيق، ومصفوفةُ الصلاحيات تحصر الكتابةَ على الموديول 290 بالدور 1. مخفِّفٌ معتبر: شرطُ الـWHERE يقصر التحديثَ على الصفوف التي fault_department فيها فارغ — فلا يُقلَب إسنادٌ قائم؛ وقيمةُ الجهة غيرُ محصورةٍ بقائمةٍ بيضاءَ خادميًّا (عيبٌ إضافي).</t>
  </si>
  <si>
    <t xml:space="preserve">INJ-0107</t>
  </si>
  <si>
    <t xml:space="preserve">▐ ٩-٢ أحكامُ الإنفاذ · SoD بين المسجِّل والمعتمِد</t>
  </si>
  <si>
    <t xml:space="preserve">تسجيل التايم شيت والإنتاج · اعتماد الوحدات التشغيلية</t>
  </si>
  <si>
    <t xml:space="preserve">«timesheet.entry + timesheet.approve ⟂ claim.create» — والفصلُ يُنفَّذ عند المعاملة؛ و«◆ ما لا يشهد به [مديرُ الموقع]: المطابقةَ بالخطةِ أو العقد» (§٢٤-٢)</t>
  </si>
  <si>
    <t xml:space="preserve">معالجُ اعتماد الساعات يُحرَس بقائمةِ أدوارٍ ثابتةٍ في الكود (EMS_ROLES_HOURS_APPROVAL_ACCESS) ويكتب approved_by بلا أيِّ مقارنةٍ بمن أدخل الساعات؛ ولا استدعاءَ لـems_no_self_approval في الملف؛ والزوجُ الوحيدُ المُنفَّذ في محرك SoD يُقيَّم عند منح الصلاحية لا عند المعاملة</t>
  </si>
  <si>
    <t xml:space="preserve">من أدخل ساعاتِ الورديةِ يستطيع اعتمادَها بنفسه إن كان دورُه في القائمة الثابتة — فيسقط أساسُ الشهادةِ في الحلقة الأولى، وتنتقل ساعاتٌ غيرُ مشهودٍ لها إلى الاستحقاق المالي</t>
  </si>
  <si>
    <t xml:space="preserve">حارسُ الاعتماد مبنيٌّ على قائمةِ أدوارٍ في الكود لا على عقدِ الفعل، وحارسُ اعتمادِ الذاتِ غيرُ مستدعًى</t>
  </si>
  <si>
    <t xml:space="preserve">Approvals/hours_approval_handler.php:26; Approvals/hours_approval_handler.php:67; Approvals/hours_approval_handler.php:166; includes/self_approval_guard.php:22; includes/sod_guard.php:77</t>
  </si>
  <si>
    <t xml:space="preserve">١) بحسابٍ دورُه ضمن قائمة الاعتماد: أدخِل ساعاتِ ورديةٍ من شاشة التايم شيت.
٢) بالحساب نفسِه افتح «اعتماد الوحدات التشغيلية» واعتمِدها.
٣) استعلِم: approved_by = مُدخِلُ الساعات نفسُه.</t>
  </si>
  <si>
    <t xml:space="preserve">أضِف في Approvals/hours_approval_handler.php قبل السطر ١٦٦ استدعاءَ ems_no_self_approval($conn, &lt;مُنشئُ سجل الساعات&gt;, $current_user_id, ...) ورفضًا ٤٠٩؛ واستبدِل قائمةَ الأدوار الثابتةَ برمزِ صلاحيةٍ محكومٍ في جدول الصلاحيات</t>
  </si>
  <si>
    <t xml:space="preserve">من أدخل ساعاتِ ورديةٍ لا يستطيع اعتمادَها ويُعرض له سببُ الرفضِ برمزٍ محكوم، ويُسجَّل الرفضُ في سجل الرفض.</t>
  </si>
  <si>
    <t xml:space="preserve">المعالجُ يُحرَس بقائمةِ أدوارٍ ثابتةٍ (EMS_ROLES_HOURS_APPROVAL_ACCESS سطر 26) ويُدرج timesheet_approvals بـapproved_by=$user_id (سطر 164-166) بلا أيِّ مقارنةٍ بمن أدخل الساعات، وصفرُ استدعاءٍ لـems_no_self_approval في الملف.</t>
  </si>
  <si>
    <t xml:space="preserve">INJ-0108</t>
  </si>
  <si>
    <t xml:space="preserve">§ مصدرُ الحقيقة — «الموضعُ الوحيدُ الذي يُنشأ فيه البيانُ ويُعدَّل»</t>
  </si>
  <si>
    <t xml:space="preserve">إدارة المخاطر</t>
  </si>
  <si>
    <t xml:space="preserve">المخاطر التجارية</t>
  </si>
  <si>
    <t xml:space="preserve">http://localhost/ems/Clients/commercial_risks.php</t>
  </si>
  <si>
    <t xml:space="preserve">العمل اليومي</t>
  </si>
  <si>
    <t xml:space="preserve">FRD §١٢ و٢٣-١: ما تملكه إدارةُ المخاطر «… **والسجلُّ المركزيُّ الواحدُ** …» · وتعليقُ المخططِ نفسِه: «M-16: السجل المركزي الواحد للمخاطر (RK-02) — لا حذف إطلاقًا».</t>
  </si>
  <si>
    <t xml:space="preserve">`Clients/commercial_risks.php` ما زال سجلًّا موازيًا كاملَ الكتابة على جدول `commercial_risks`: إدراج (`:244`) وتعديل (`:211`) وحذفٌ ناعم (`:290`) وتسلسلُ رموزٍ مستقلٌّ عن `RSK-000001`، وكيانُ Excel خاصٌّ به في `app/Services/Excel/ExcelRegistry.php` يسمح بالاستيرادِ إليه. الجسرُ الوحيدُ مع السجلِّ المركزيِّ لوحةُ قراءةٍ فقط (`:411-413`).</t>
  </si>
  <si>
    <t xml:space="preserve">مصدرُ حقيقةٍ ثانٍ للمخاطر: خطرٌ تجاريٌّ يُسجَّل هنا لا يظهر في `risk_register` ولا في لوحةِ الرئيسِ ولا في التقارير، ويقبل الحذفَ الذي يمنعه السجلُّ المركزي.</t>
  </si>
  <si>
    <t xml:space="preserve">الشاشةُ القديمةُ لم تُهاجَر عند بناء M-16؛ أُضيفت لوحةُ عرضٍ فوقها بدل تحويلِ الكتابةِ إلى `RiskService`.</t>
  </si>
  <si>
    <t xml:space="preserve">Clients/commercial_risks.php:211; :244; :290; :411-413; app/Services/Excel/ExcelRegistry.php:941</t>
  </si>
  <si>
    <t xml:space="preserve">١) بدور 12 افتح `Clients/commercial_risks.php`.
٢) أضِف خطرًا تجاريًّا جديدًا.
٣) افتح `Risk/risk_register.php` بدور 28: الخطرُ غيرُ موجود.
٤) عُد واحذف الخطرَ من الشاشةِ الأولى: يُحذف ناعمًا — وهو ممنوعٌ في السجلِّ المركزي.</t>
  </si>
  <si>
    <t xml:space="preserve">حوِّل `Clients/commercial_risks.php` إلى منظرٍ للقراءةِ فقط: احذف مسالكَ `insert/update/softDelete` (الأسطر 211، 244، 290)، واستبدل زرَّ الإضافةِ بنداءِ `RiskService::createSignal` بوحدة RU-07، وأزِل الكيانَ من `ExcelRegistry` أو اجعله تصديرًا فقط، وهاجِر الصفوفَ القائمةَ إلى `risk_register` بهجرةٍ موثَّقة.</t>
  </si>
  <si>
    <t xml:space="preserve">فريق الباك-إند — المبيعات والعقود + وحدة المخاطر</t>
  </si>
  <si>
    <t xml:space="preserve">حاوِل إضافةَ خطرٍ من `Clients/commercial_risks.php`: يجب أن يُنشئ إشارةً في `risk_signals` لا صفًّا في `commercial_risks`؛ و`SELECT COUNT(*) FROM commercial_risks WHERE created_at &gt; &lt;تاريخ النشر&gt;` = 0.</t>
  </si>
  <si>
    <t xml:space="preserve">Clients/commercial_risks.php ما زال يكتب على جدول commercial_risks: تعديلٌ (:211) وإدراجٌ (:244) وحذفٌ ناعم (:290)، وله كيانُ Excel مستقلٌّ يسمح بالاستيراد (ExcelRegistry.php:941)، والجسرُ مع السجل المركزي لوحةُ قراءةٍ فقط (:411-413) — أي مصدرُ حقيقةٍ موازٍ.</t>
  </si>
  <si>
    <t xml:space="preserve">INJ-0109</t>
  </si>
  <si>
    <t xml:space="preserve">§١٢ و٢٣-٣ المرحلة ٢ · التسجيلُ والتصنيف</t>
  </si>
  <si>
    <t xml:space="preserve">إشارات الخطر والفرز</t>
  </si>
  <si>
    <t xml:space="preserve">http://localhost/ems/Risk/risk_signals.php</t>
  </si>
  <si>
    <t xml:space="preserve">الإشارات</t>
  </si>
  <si>
    <t xml:space="preserve">«ثانيًا: التسجيلُ والتصنيف — المستندُ المنتَج: خطرٌ مسجَّلٌ **بمالكٍ ووحدة**» — فلا خطرَ يُسجَّل بلا وحدةٍ مالكة.</t>
  </si>
  <si>
    <t xml:space="preserve">زرُّ الفرزِ في `risk_signals.php:139-152` يرسل عند `convert` الحقلَ `ru_id` وحدَه ولا يرسل `owner_unit_id`؛ والمعالجُ يمرِّر `$_POST['owner_unit_id'] ?? null` (`risk_actions.php:118`) فيُكتب الخطرُ بـ`owner_unit_id = NULL`. وحارسُ النطاقِ يطابق بالمساواة `AND rr.owner_unit_id = {$u}` (`_risk_common.php:101`) و NULL لا يساوي شيئًا.</t>
  </si>
  <si>
    <t xml:space="preserve">كلُّ خطرٍ ناتجٍ عن الفرزِ — وهو المسارُ الرئيسُ في M-16 — يصبح غيرَ مرئيٍّ لأيِّ إدارة: `dept_risk_space.php` يعرض «لا مخاطر مملوكة لإدارتك» بينما الخطرُ قائمٌ في السجل. فتفقد الإدارةُ ملكيةَ خطرِها كليًّا.</t>
  </si>
  <si>
    <t xml:space="preserve">نموذجُ الفرزِ في الواجهةِ لم يُضِف حقلَ الوحدةِ المالكةِ، والخدمةُ تقبل NULL بدل أن ترفض.</t>
  </si>
  <si>
    <t xml:space="preserve">Risk/risk_signals.php:139-152; Risk/risk_actions.php:114-121; app/Services/Risk/RiskService.php:189-199,257; Risk/_risk_common.php:96-101; Risk/dept_risk_space.php:20</t>
  </si>
  <si>
    <t xml:space="preserve">١) بدور 29 (محلل المخاطر) افتح `Risk/risk_signals.php`.
٢) اختر إشارةً، حدِّد القرار `convert`، اكتب السبب، اختر وحدةَ الخطر، واضغط «نفِّذ».
٣) بدور مديرِ الإدارةِ المعنيّة افتح `Risk/dept_risk_space.php` تبويب «سجل مخاطر الإدارة».
٤) لاحظ «لا مخاطر مملوكة لإدارتك» رغم إنشاء الخطر.</t>
  </si>
  <si>
    <t xml:space="preserve">① أضِف في `Risk/risk_signals.php` (كتلة الفرز، السطر 147) حقلَ اختيارِ الإدارةِ المالكةِ من `org_units` وأرسله `d.owner_unit_id`. ② في `RiskService::triageSignal` (السطر 191) و`createRisk` اجعل `owner_unit_id` إلزاميًّا: ارمِ `RSK-422: لا خطرَ بلا وحدةٍ مالكة` عند الفراغ.</t>
  </si>
  <si>
    <t xml:space="preserve">فريق الباك-إند — وحدة المخاطر (M-16)</t>
  </si>
  <si>
    <t xml:space="preserve">حوِّل إشارةً إلى خطرٍ بلا `owner_unit_id`: يجب 422. وبعد التمرير الصحيح افتح `dept_risk_space.php` بحساب الإدارةِ المالكة: يجب أن يظهر الخطرُ في تبويب «سجل مخاطر الإدارة».</t>
  </si>
  <si>
    <t xml:space="preserve">تتبّعتُ المسارَ كاملًا وصحّ: كتلةُ الفرز في risk_signals.php:139-152 ترسل ru_id وحدَه عند convert، وrisk_actions.php:118 يمرّر owner_unit_id من POST غيرِ المرسَل فيصير null، وRiskService.php:199,257 يكتب NULL، وrisk_scope_sql (_risk_common.php:96-101) يطابق بالمساواة فلا يلتقط NULL — ودخلُ الإدارة في dept_risk_space.php:20 يفعل مثلَه. ولا شاشةَ تعديلٍ تُصحِّح المالكَ لاحقًا (owner_unit_id مُدخَلٌ في risk_register.php:202 عند الإنشاء فقط).</t>
  </si>
  <si>
    <t xml:space="preserve">INJ-0110</t>
  </si>
  <si>
    <t xml:space="preserve">GOV-0370-ب · ١١-١٢ الصلاحياتُ والنطاق</t>
  </si>
  <si>
    <t xml:space="preserve">القبول والاستثناءات</t>
  </si>
  <si>
    <t xml:space="preserve">http://localhost/ems/Risk/risk_acceptance.php</t>
  </si>
  <si>
    <t xml:space="preserve">سابعًا: القبول والتصعيد</t>
  </si>
  <si>
    <t xml:space="preserve">FRD §١٢ و٢٣-١: «ولا تقبل الخطرَ بدلَ صاحبِ السلطة» · و§١٢-٣ المرحلة ٧: «◆ صاحبُ السلطةِ بحسب الدرجة» — فالقبولُ فعلُ مالكِ الخطرِ بسقفِ درجتِه لا فعلُ أي دورٍ يحمل رتبةً كافية.</t>
  </si>
  <si>
    <t xml:space="preserve">أيُّ دورٍ من الخمسةَ عشرَ يقبل خطرًا «منخفضًا» لإدارةٍ أخرى داخل شركته؛ أمّا المتوسطُ فيشترط مراجعةَ محلل والمرتفعُ/المحظورُ يُرفض ويُصعَّد. — [مُصحَّح بعد التحقق] الصياغة الأولى: المعالج `risk_actions.php:363-368` يفحص `$authority` المشتقَّ من دورِ الجلسةِ وحدَه، و`RiskService::acceptRisk` يقرأ `current_level, state` فقط (`RiskService.php:573-577`) ولا يقرأ `owner_unit_id` ولا</t>
  </si>
  <si>
    <t xml:space="preserve">سقوطُ فصلِ الملكية في أخطرِ فعلٍ في M-16: خطرٌ يخصُّ المالية يُقبل بحسابِ مديرِ المخازن، وإدارةُ المخاطرِ تقبل نيابةً عن الإدارات — وهو نصُّ ما تنفيه الوثيقةُ عن إدارة المخاطر.</t>
  </si>
  <si>
    <t xml:space="preserve">حارسُ القبولِ بُني على «سلطةِ الدور» (خريطةٌ عامةٌ في `_risk_authority.php`) لا على «ملكيةِ الخطر»؛ ولا يمرَّر `risk_id` إلى فحصِ ملكيةٍ قبل الكتابة.</t>
  </si>
  <si>
    <t xml:space="preserve">Risk/risk_actions.php:363; :364; :365; app/Services/Risk/RiskService.php:571; :573; :577; Risk/_risk_authority.php:12</t>
  </si>
  <si>
    <t xml:space="preserve">١) ادخل بحسابِ دورٍ 25 (أمين المستودع) — وهو في قائمة `deptHeads`.
٢) افتح `Risk/dept_risk_space.php` (لديه can_view) لتحصل على `window.csrfToken`.
٣) أرسل POST إلى `Risk/risk_actions.php` بالحمولة `do=risk_accept&amp;risk_id=&lt;رقم خطرٍ مملوكٍ للمالية مستواه منخفض&gt;&amp;csrf_token=…`.
٤) لاحظ الاستجابة `{"ok":true}` وتحوُّلَ `risk_register.state` إلى `accepted` وصفًّا جديدًا في `risk_acceptances`.</t>
  </si>
  <si>
    <t xml:space="preserve">في `app/Services/Risk/RiskService::acceptRisk` أضِف إلى استعلامِ السطر 573 العمودين `owner_unit_id, risk_owner_user_id`، ثم قبل السطر 585 اشترط: `risk_owner_user_id = $userId` أو `owner_unit_id = risk_role_org_unit($role)`، وإلا ارمِ `RSK-403-OWNER` وصعِّد. ومرِّر `$role`/`$orgUnit` من `Risk/risk_actions.php:365` ضمن الوسائط.</t>
  </si>
  <si>
    <t xml:space="preserve">بحساب دور 25 أرسل `risk_accept` لخطرٍ `owner_unit_id=3` (المالية): يجب 403 برمز `RSK-403-OWNER`؛ وبحساب مالكِ الخطرِ نفسِه: يجب 200. ويُعاد الاختبارُ للدور 29 على خطرٍ «متوسط» لإدارةٍ أخرى: يجب الرفض.</t>
  </si>
  <si>
    <t xml:space="preserve">محقَّق: Risk/risk_actions.php:363-365 يكتفي بـ`$authority` المشتقِّ من الدور، وRiskService::acceptRisk (سطر 572-577) يقرأ `current_level, state` فقط ولا يذكر owner_unit_id ولا مالكَ الخطر إطلاقًا، و_risk_authority.php:12 يصنّف خمسةَ عشرَ دورًا risk_owner؛ فقبولُ خطرٍ «منخفض» لإدارةٍ أخرى ممكن. غير أن الأثرَ محدودٌ بالمستوى المنخفض (المتوسطُ يلزمه مراجعُ محلل، والأعلى يُصعَّد آليًّا) والنطاقُ محصورٌ بالشركة.</t>
  </si>
  <si>
    <t xml:space="preserve">INJ-0111</t>
  </si>
  <si>
    <t xml:space="preserve">GOV-0370-ب · «ولا إخفاءَ خطرٍ حرجٍ»</t>
  </si>
  <si>
    <t xml:space="preserve">لوحة المخاطر العليا</t>
  </si>
  <si>
    <t xml:space="preserve">http://localhost/ems/Risk/risk_board.php</t>
  </si>
  <si>
    <t xml:space="preserve">مساحتي الشخصية</t>
  </si>
  <si>
    <t xml:space="preserve">«ولا يملك نائبٌ ولا إدارةٌ تشغيليةٌ … ولا إخفاءَ خطرٍ حرجٍ» — والتعليقُ في الخدمةِ نفسِها يقول «لا أحد يخفيه ولا مدير المخاطر نفسه».</t>
  </si>
  <si>
    <t xml:space="preserve">`risk_actions.php:501-508` يقبل إقرارَ التصعيد من أيِّ فاعلٍ لديه `canWrite` (الأدوار 28/29) ولو كان `to_authority='ceo'`؛ والشرطُ `if ($authority !== 'ceo' &amp;&amp; !$canWrite)` يمرِّر فريقَ المخاطر. والإقرارُ يُخرج الصفَّ من عدَّادِ اللوحةِ الذي يعدُّ `acknowledged_at IS NULL` (`risk_board.php:20`).</t>
  </si>
  <si>
    <t xml:space="preserve">فريقُ المخاطرِ يستطيع تصفيةَ تصعيداتٍ موجَّهةٍ للرئيسِ التنفيذيِّ قبل أن يراها — وهو بالضبط ما يمنعه GOV-0370-ب، ويُفقد لوحةَ الرئيسِ صدقَها.</t>
  </si>
  <si>
    <t xml:space="preserve">الشرطُ كُتب `OR` منطقيًّا (سلطةُ الرئيس أو صلاحيةُ الكتابة) بدل ربطِ المُقِرِّ بجهةِ التصعيد `to_authority`.</t>
  </si>
  <si>
    <t xml:space="preserve">Risk/risk_actions.php:501; :502; :504; Risk/risk_board.php:20; app/Services/Risk/RiskService.php:1085; :1100</t>
  </si>
  <si>
    <t xml:space="preserve">١) أنشئ تصعيدًا `to_authority='ceo'` (مثلًا بمحاولةِ قبولِ خطرٍ محظور).
٢) بحساب دور 29 أرسل `do=escalation_ack&amp;escalation_id=&lt;id&gt;` إلى `Risk/risk_actions.php`.
٣) الاستجابة `{"ok":true}` — وافتح `Risk/risk_board.php` بحساب الرئيس: التصعيدُ اختفى من «التصعيدات المفتوحة».</t>
  </si>
  <si>
    <t xml:space="preserve">في `Risk/risk_actions.php:501` اقرأ `to_authority` للتصعيدِ أولًا، ثم اشترط تطابقَ سلطةِ الفاعلِ معها: `ceo` تُقَرُّ من الدور 9/-1 حصرًا و`risk_manager` من 28، وأضِف الشرطَ نفسَه إلى جملةِ `UPDATE` (`AND to_authority = ?`).</t>
  </si>
  <si>
    <t xml:space="preserve">بحساب دور 29 أقِرَّ تصعيدًا `to_authority='ceo'`: يجب 403 `RSK-403-ACKAUTH`؛ وبحساب الرئيس (9): يجب 200 واختفاءُ الصفِّ من العدَّاد.</t>
  </si>
  <si>
    <t xml:space="preserve">السطر 501 حرفيًّا if ($authority !== 'ceo' &amp;&amp; !$canWrite) — وrisk_actor_authority_map يعطي الدورين 28/29 'analyst' مع canWrite، وrisk_board.php:20 يعدّ acknowledged_at IS NULL؛ فالإقرارُ يُخفي تصعيدَ الرئيس.</t>
  </si>
  <si>
    <t xml:space="preserve">INJ-0112</t>
  </si>
  <si>
    <t xml:space="preserve">TABLE 45 (risk.gov.view) · «بنطاقِ الإدارةِ — قراءةٌ لا كتابة»</t>
  </si>
  <si>
    <t xml:space="preserve">مساحة مخاطر الإدارة</t>
  </si>
  <si>
    <t xml:space="preserve">http://localhost/ems/Risk/dept_risk_space.php</t>
  </si>
  <si>
    <t xml:space="preserve">السجل المركزي</t>
  </si>
  <si>
    <t xml:space="preserve">«عرضُ مخاطرِ … **بنطاقِ الإدارةِ**» — فكلُّ ما يُعرض في المكوِّنِ النطاقيِّ محدودٌ بزاويةِ الإدارةِ صاحبةِ الجلسة.</t>
  </si>
  <si>
    <t xml:space="preserve">تبويبُ «الضوابط» يتجاهل شرطَ النطاقِ `$w` تمامًا: الاستعلامُ في `dept_risk_space.php:81-86` يرشِّح بـ`company_id` و`active=1` وبانتماءِ المالكِ إلى مستخدمي الشركة فقط — فيرى كلُّ مديرِ إدارةٍ **كلَّ** ضوابطِ الشركةِ بأسماءِ مالكيها.</t>
  </si>
  <si>
    <t xml:space="preserve">تسريبُ بياناتٍ بين الإدارات: مديرُ المخازنِ يرى ضوابطَ المالية والحوكمةِ وأسماءَ مالكيها وفعاليتَها — وهي معلوماتُ رقابةٍ داخلية.</t>
  </si>
  <si>
    <t xml:space="preserve">نُسخ الاستعلامُ من شاشةِ الضوابطِ المركزيةِ ولم يُلحَق به `$w` لأنَّ `risk_controls` لا تحمل `owner_unit_id`.</t>
  </si>
  <si>
    <t xml:space="preserve">Risk/dept_risk_space.php:20; :81-86</t>
  </si>
  <si>
    <t xml:space="preserve">١) ادخل بدورِ إدارةٍ (مثلًا 25 أمين المستودع).
٢) افتح `Risk/dept_risk_space.php?tab=controls`.
٣) لاحظ ظهورَ ضوابطَ لا تخصُّ إدارتَك مع أسماءِ مالكيها.</t>
  </si>
  <si>
    <t xml:space="preserve">أضِف عمودَ `owner_unit_id` إلى `risk_controls` بهجرة، واربط تبويبَ الضوابطِ في `dept_risk_space.php:81` بشرطِ `rc.owner_unit_id = {$unit}` (أو بالربط عبر `risk_control_links` إلى مخاطرِ الوحدةِ نفسِها) مع `AND 1=0` عند غيابِ الوحدة.</t>
  </si>
  <si>
    <t xml:space="preserve">بحساب دورِ إدارةٍ واحدةٍ: عددُ صفوفِ تبويب «الضوابط» = عددُ الضوابطِ المرتبطةِ بمخاطرِ تلك الإدارةِ فقط، ولا يظهر أيُّ ضابطٍ لإدارةٍ أخرى.</t>
  </si>
  <si>
    <t xml:space="preserve">استعلامُ تبويب «الضوابط» في الأسطر 81-86 يرشّح بـcompany_id وactive وانتماءِ المالك لمستخدمي الشركة فقط ويتجاهل شرطَ النطاق $w المبنيَّ في السطر 20 — فيرى كلُّ مديرِ إدارةٍ ضوابطَ الشركة كلَّها بأسماء مالكيها.</t>
  </si>
  <si>
    <t xml:space="preserve">INJ-0113</t>
  </si>
  <si>
    <t xml:space="preserve">§٢٦-٢ لا مهمةَ بلا سبعة · §٢٦ «واجهاتُ قراءةٍ وتنفيذٍ تجمع عناصرَ من مصادرها»</t>
  </si>
  <si>
    <t xml:space="preserve">مساحة عملي</t>
  </si>
  <si>
    <t xml:space="preserve">مهامي</t>
  </si>
  <si>
    <t xml:space="preserve">http://localhost/ems/Portal/my_tasks.php</t>
  </si>
  <si>
    <t xml:space="preserve">«شاشاتُ … واجهاتُ قراءةٍ وتنفيذٍ تجمع عناصرَ من مصادرها الأصلية في الإدارات» · و§٢٦-٢ «مصدرٌ واضحٌ من أربعةَ عشرَ مصدرًا معرَّفًا» — أي أنَّ الأفعالَ في الإداراتِ تولّد عناصرَ عملٍ في «مهامي».</t>
  </si>
  <si>
    <t xml:space="preserve">عناصرُ العمل تُولَّد من ثلاثة مصادرَ حيّةٍ فقط (التوجيهُ المالي · البلاغات · الطلبات) وثلاثِ شاشاتِ بوابةٍ يدوية — وبقيةُ الإدارات لا تولّد شيئًا. — [مُصحَّح بعد التحقق] الصياغة الأولى: الجدولُ `work_items` لا يُكتب إلا من `app/Services/Work/WorkItemService::create` (`WorkItemService.php:111`)، ولهذه الدالةِ **سبعةُ مواضعِ نداءٍ في كلِّ المستودعِ خارجَ الاختبارات**: `app/Services/Fin</t>
  </si>
  <si>
    <t xml:space="preserve">«مهامي» تبقى فارغةً بعد معظمِ أفعالِ النظام: خطرٌ أُسند علاجُه، وعقدٌ ينتظر مراجعةً، وطلبُ شراءٍ ينتظر تسعيرًا — لا شيءَ منها يظهر لصاحبِه. فينهار المحرّكُ العرضيُّ الذي يقوم عليه الفصلُ ٢٦ كلُّه (١٢٦ حكمًا).</t>
  </si>
  <si>
    <t xml:space="preserve">بُني المحرّكُ (`work_items` + `WorkItemService`) ولم يُوصَل بأحداثِ الإدارات؛ ولا مستهلكَ يحوّل الأحداثَ المنشورةَ إلى عناصرِ عمل.</t>
  </si>
  <si>
    <t xml:space="preserve">app/Services/Work/WorkItemService.php:111; :157; app/Services/Finance/RoutingEngine.php:135; app/Services/Tickets/TicketRouter.php:203; app/Services/Work/RequestService.php:277; Portal/dept_board.php:117; Portal/project_charter.php:239; Portal/ceo_risk.php:143; Portal/my_tasks.php:100</t>
  </si>
  <si>
    <t xml:space="preserve">١) بدور 28 أنشئ إجراءَ معالجةٍ لخطرٍ وأسنِده لمستخدمٍ (`do=treatment_add`).
٢) ادخل بحساب ذلك المستخدمِ وافتح `Portal/my_tasks.php`.
٣) العنصرُ غيرُ موجودٍ في أيٍّ من العروضِ العشرة.
٤) استعلم `SELECT COUNT(*) FROM work_items WHERE source_ref LIKE 'RISK-%'` → صفر.</t>
  </si>
  <si>
    <t xml:space="preserve">أنشئ مستهلكًا واحدًا `app/Services/Work/WorkItemProjector.php` يشترك في ناقلِ الأحداثِ (`ems_event_deliveries`) ويحوّل الأحداثَ ذاتَ الفعلِ المطلوب (RiskTreatmentAssigned · ControlEvidenceDue · RFQAwaitingQuote · ContractReviewDue · FindingResponseDue …) إلى `WorkItemService::create` بالمصدرِ المناسبِ من الأربعةَ عشر؛ وامنع نشرَ حدثٍ ذي فعلٍ مطلوبٍ بلا إسقاطٍ إلى عنصرِ عمل.</t>
  </si>
  <si>
    <t xml:space="preserve">فريق الواجهة + الباك-إند — محرّك العمل الشخصي (WFM-01)</t>
  </si>
  <si>
    <t xml:space="preserve">لكلِّ فعلٍ في مصفوفةِ الأفعالِ ينتج عنه «فعلٌ مطلوبٌ من شخص»: بعد تنفيذِه يظهر صفٌّ في `work_items` باسمِ المكلَّفِ ويظهر في `Portal/my_tasks.php` خلال دقيقة.</t>
  </si>
  <si>
    <t xml:space="preserve">محقَّقٌ ببحثٍ شامل: `INSERT INTO work_items` لا يقع إلا في WorkItemService.php:111، ومستدعو `WorkItemService::create` خارج الاختبارات ثمانيةٌ فقط (RoutingEngine:135 و:398 · TicketRouter:203 · RequestService:277 · Portal/notifications.php:58 · dept_board:117 · project_charter:239 · ceo_risk:143) — فلا مخاطرَ ولا مشترياتٍ ولا عقودَ ولا مخازنَ ولا نقلَ تولّد عنصرَ عمل. لكنَّ «مهامي» ليست فارغةً (الطلباتُ المالية والبلاغاتُ تغذّيها) فالعيبُ تغطيةُ المصادر لا انهيارُ المحرّك.</t>
  </si>
  <si>
    <t xml:space="preserve">INJ-0114</t>
  </si>
  <si>
    <t xml:space="preserve">§٢٦-٣ معاييرُ الإنجازِ وموانعُه · «الإنجازُ يُشتق ولا يُدخَل»</t>
  </si>
  <si>
    <t xml:space="preserve">إنجازي</t>
  </si>
  <si>
    <t xml:space="preserve">http://localhost/ems/Portal/my_achievement.php</t>
  </si>
  <si>
    <t xml:space="preserve">«يُشتق من ثمانيةِ مصادرَ فقط — وخمسةٌ تمنعه»؛ والمصادرُ: مهمةٌ مقبولة · طلبٌ أُغلق · مستندٌ اعتُمد · أمرُ عملٍ أُقفل · وحدةٌ أُنجزت · مطالبةٌ أُنجزت · معالجةُ بلاغ · إجراءٌ تصحيحيٌّ متحقَّقٌ منه.</t>
  </si>
  <si>
    <t xml:space="preserve">في المستودعِ محرّكانِ متنافسانِ للإنجاز: `app/Services/Work/AchievementService` يكتب `achievement_records` بالمصادرِ الثمانيةِ ومنعِ التضاعفِ البنيوي، بينما شاشةُ «إنجازي» تستعمل محرّكًا آخرَ تمامًا `app/Services/Portal/AchievementService::compute` (`Portal/my_achievement.php:12,15,40`) يحسب من `fin_requests` و`tickets` و`unit_party_awards` مباشرةً ولا يقرأ `achievement_records` إطلاقًا.</t>
  </si>
  <si>
    <t xml:space="preserve">الشاشةُ التي تسمّيها الوثيقةُ «إنجازي» لا تعرض الإنجازَ المشتقَّ الحاكم: إنجازٌ أُقفلت مهمتُه بقبولِ متحقِّقٍ لا يظهر فيها، وإنجازٌ عُكس أصلُه يبقى في حسابها. ومؤشرا لوحتين مختلفتين للشيءِ الواحد.</t>
  </si>
  <si>
    <t xml:space="preserve">بُنيت شاشةُ H-18 على محرّكٍ سابقٍ لمحرّكِ WFM ولم تُهاجَر بعد إنشائه.</t>
  </si>
  <si>
    <t xml:space="preserve">Portal/my_achievement.php:12; :15; :40; app/Services/Portal/AchievementService.php:27; :60; :87; :99; app/Services/Work/AchievementService.php:16; :33</t>
  </si>
  <si>
    <t xml:space="preserve">١) أغلِق مهمةً بقبولِ متحقِّقٍ في `Portal/my_tasks.php` فيُشتق صفٌّ في `achievement_records`.
٢) افتح `Portal/my_achievement.php` بحساب المنفِّذ للفترةِ نفسِها.
٣) الإنجازُ لا يظهر — المؤشراتُ السبعةُ محسوبةٌ من مصادرَ أخرى.</t>
  </si>
  <si>
    <t xml:space="preserve">اجعل `Portal/my_achievement.php` يقرأ من `App\Services\Work\AchievementService::personSummary` على `achievement_records` (مع استبعادِ `reversed_at IS NOT NULL`)، واحتفِظ بمحرّكِ `Portal\AchievementService` لمؤشراتِ الصفةِ فقط أو ادمِجه فيه.</t>
  </si>
  <si>
    <t xml:space="preserve">بعد إغلاقِ مهمةٍ بقبولِ المتحقِّق يزيد عدَّادُ «إنجازي» بواحد؛ وبعد إعادةِ فتحِ المهمةِ ينقص فورًا (العكسُ الآلي).</t>
  </si>
  <si>
    <t xml:space="preserve">شاشةُ «إنجازي» تحسب من Portal\AchievementService (fin_requests · tickets · unit_party_awards) ولا تقرأ achievement_records التي يكتبها Work\AchievementService (Maintenance/orders.php:308) ويقرأها Portal/my_kpi.php — محرّكان متنافسان لمفهومٍ واحد.</t>
  </si>
  <si>
    <t xml:space="preserve">INJ-0115</t>
  </si>
  <si>
    <t xml:space="preserve">§٤-٥ قواعدُ السايدبار · «الاسمُ الواحدُ للشيءِ الواحد»</t>
  </si>
  <si>
    <t xml:space="preserve">طلباتي</t>
  </si>
  <si>
    <t xml:space="preserve">http://localhost/ems/FinRequests/my_requests.php</t>
  </si>
  <si>
    <t xml:space="preserve">FRD §٢٦-١ نوع ٣: «طلب: مستندٌ يُنشئه موظفٌ لجهةٍ أخرى» — من قاموسِ الأنواعِ الاثنين والستين كلِّه، لا الطلباتِ الماليةِ وحدَها.</t>
  </si>
  <si>
    <t xml:space="preserve">صفوفُ السايدبارِ المسمّاةُ «طلباتي» تشير إلى `FinRequests/my_requests.php` (المودول 115 — «طلباتي المالية») لا إلى `Portal/my_requests.php` (المودول 249 — «طلباتي»): انظر `database/schema/seed_reference.sql:4019` و`:4043` و`:4083`. والشاشةُ نفسُها ترشِّح على `fin_requests` وحدَها.</t>
  </si>
  <si>
    <t xml:space="preserve">الموظفُ يرى «طلباتي» فيفتح صندوقَ الطلباتِ الماليةِ فقط، ويظنُّ أنَّ طلباتِه غيرَ الماليةِ (توظيف · صيانة · نقل · استثناء) غيرُ موجودة — بينما هي في شاشةٍ أخرى لا رابطَ لها.</t>
  </si>
  <si>
    <t xml:space="preserve">أُعيد استعمالُ صفِّ نافذةٍ ماليةٍ قديمٍ باسمٍ عامٍّ عند إعادةِ تنظيمِ القوائم.</t>
  </si>
  <si>
    <t xml:space="preserve">database/schema/seed_reference.sql:4019; :4043; :4083; :167; :297; FinRequests/my_requests.php:24; Portal/my_requests.php:1</t>
  </si>
  <si>
    <t xml:space="preserve">١) ادخل بدور 6 أو 7 أو 9.
٢) افتح مجموعةَ «مساحتي الشخصية» في السايدبار واضغط «طلباتي».
٣) لاحظ فتحَ `FinRequests/my_requests.php` وعنوانَ «بوابة الطلب المالي».</t>
  </si>
  <si>
    <t xml:space="preserve">غيِّر تسميةَ صفوفِ `nav_items` التي تشير إلى `FinRequests/my_requests.php` إلى «طلباتي المالية» (كاسمِ المودول 115 نفسِه)، وأضِف صفًّا منفصلًا باسم «طلباتي» يشير إلى `Portal/my_requests.php` (المودول 249).</t>
  </si>
  <si>
    <t xml:space="preserve">في سايدبارِ أيِّ دور: «طلباتي» تفتح `Portal/my_requests.php` وتعرض الطلباتِ من كلِّ الأنواع، و«طلباتي المالية» تفتح بوابةَ المالية.</t>
  </si>
  <si>
    <t xml:space="preserve">الأسطرُ 4019 · 4043 · 4083 مطابقةٌ حرفيًّا: كلُّ الصفوف الخمسةِ والعشرين المسمّاة «طلباتي» تشير إلى المودول 115 «طلباتي المالية»، بينما المودول 249 `Portal/my_requests.php` بلا أيِّ صفِّ nav.</t>
  </si>
  <si>
    <t xml:space="preserve">INJ-0116</t>
  </si>
  <si>
    <t xml:space="preserve">§٣ · «المراجعُ الداخليُّ والخارجي — الأثرَ العابرَ وسلسلةَ الاعتماد»</t>
  </si>
  <si>
    <t xml:space="preserve">المصعَّد إلى الجهة المشرفة</t>
  </si>
  <si>
    <t xml:space="preserve">http://localhost/ems/Audit/iaf_escalations.php</t>
  </si>
  <si>
    <t xml:space="preserve">«والتصعيدُ آليٌّ بالمهلةِ ويصل الجهةَ المشرفةَ مباشرةً — **ولا يملك أحدٌ منعَه**» (نصُّ الخدمةِ نقلًا عن IAF §٢-٢).</t>
  </si>
  <si>
    <t xml:space="preserve">الدالةُ `InternalAuditService::escalateOverdue()` (`InternalAuditService.php:215`) مبنيةٌ ولها **صفرُ نداءات**: لا مهمةَ مجدولةٌ ولا نداءٌ من `cron_events.php` ولا من `app/Services/Queue/JobQueueService.php`. وشاشةُ `Audit/iaf_escalations.php` مجرَّدُ منظرٍ على `iaf_findings WHERE state='escalated'` — وحالةٌ لا يبلغها شيء.</t>
  </si>
  <si>
    <t xml:space="preserve">التصعيدُ الآليُّ الذي «لا يملك أحدٌ منعَه» لا يقع أصلًا: ملاحظةٌ تجاوزت مهلتَها تبقى مفتوحةً بلا وصولٍ للجهةِ المشرفة — وتُمنع فعليًّا بالإهمالِ لا بالقرار.</t>
  </si>
  <si>
    <t xml:space="preserve">بُنيت الدالةُ ولم تُجدوَل؛ ولا فاحصَ يربط دوالَّ التصعيدِ بمشغّلٍ دوري.</t>
  </si>
  <si>
    <t xml:space="preserve">app/Services/Audit/InternalAuditService.php:215; tools/u13_gate.php:1089; tools/u13_coverage_seed.php:378; cron_events.php:1</t>
  </si>
  <si>
    <t xml:space="preserve">١) أنشئ ملاحظةً بمهلةِ ردٍّ منتهية.
٢) انتظر أيَّ مدة: `state` تبقى كما هي.
٣) `grep -rn 'escalateOverdue' /tmp/ems --include=*.php | grep -v Security` → التعريفُ فقط.</t>
  </si>
  <si>
    <t xml:space="preserve">سجِّل `InternalAuditService::escalateOverdue` مهمةً يوميةً في `app/Services/Queue/JobQueueService.php` (أو نادِها من `cron_events.php`)، واكتب آخرَ تشغيلٍ في جدولِ حالةِ المهامّ، واعرِضه في `Audit/iaf_escalations.php` كي يظهر انقطاعُ التشغيلِ صراحةً.</t>
  </si>
  <si>
    <t xml:space="preserve">ملاحظةٌ تجاوزت مهلتَها تتحول تلقائيًّا إلى `state='escalated'` خلال دورةٍ واحدة، وتظهر في `Audit/iaf_escalations.php` مع تنبيهٍ للرئيس.</t>
  </si>
  <si>
    <t xml:space="preserve">تحقّقت: `InternalAuditService::escalateOverdue()` بلا مستدعٍ إنتاجيٍّ واحد — الإشاراتُ الوحيدةُ في tools/u13_gate.php وسطرِ بذرِ سجلِّ الأفعال، ولا نداءَ من cron_events.php ولا من طابور المهام؛ وشاشةُ التصعيدات منظرٌ على حالةٍ لا يبلغها شيء.</t>
  </si>
  <si>
    <t xml:space="preserve">INJ-0117</t>
  </si>
  <si>
    <t xml:space="preserve">INJAZ-FRD-01 §٤-٥ · الأثرُ العابرُ للإدارات</t>
  </si>
  <si>
    <t xml:space="preserve">«لا إدارةَ تكتب في جداول إدارةٍ أخرى — والأثرُ ينتقل بالأحداث» · و«ما لا تملكه [القمة]: تنفيذَ العمل اليومي · القيدَ المحاسبي · إدخالَ البيانات — يقرر ولا ينفّذ».</t>
  </si>
  <si>
    <t xml:space="preserve">الإدراجاتُ الثلاثةُ مباشرةٌ فعلًا لكنها داخل begin_transaction/rollback، ويُنشر معها حدثُ project.chartered بعد الالتزام (لا «بلا حدث»). — [مُصحَّح بعد التحقق] الصياغة الأولى: فعلُ «اعتماد الفتح» يفتح معاملةً ويُدرج مباشرةً في ثلاثة جداولَ تملكها إداراتٌ أخرى: `project` (المبيعات/التشغيل) و`fin_cost_centers` (المالية والخزينة) و`sites` (إدارة الموقع) — بـ INSERT خامٍّ من شا</t>
  </si>
  <si>
    <t xml:space="preserve">P2</t>
  </si>
  <si>
    <t xml:space="preserve">القمةُ تنفّذ بدل أن تقرر: مركزُ تكلفةٍ يُولد بلا مرورٍ بحرّاس المالية (بلا شجرةِ مراكز ولا تدقيق)، ومواقعُ تُنشأ بلا حرّاس إدارة الموقع، ومشروعٌ يُفتح بلا حرّاس المبيعات. وأيُّ قاعدةِ عملٍ يضيفها مالكُ الجدول لاحقًا تُلتَفُّ من هذا المسار.</t>
  </si>
  <si>
    <t xml:space="preserve">تنفيذُ «الأثر الخماسي» بنداءٍ مباشرٍ داخل الطلب بدل نشرِ `project.chartered` واستهلاكِه من كل إدارة — وهو خيارٌ فُرض لأن ناقلَ الأحداثِ مطفأ أصلًا.</t>
  </si>
  <si>
    <t xml:space="preserve">Portal/project_charter.php:181; :184-192; :195-203; :206-216; :258</t>
  </si>
  <si>
    <t xml:space="preserve">١) ادخل بدور 9. ٢) افتح Portal/project_charter.php وأنشئ قرارًا بالإفادات الخمس. ٣) اضغط «اعتماد الفتح». ٤) لاحظ في القاعدة صفوفًا جديدة في project و fin_cost_centers و sites كتبتها شاشةُ Portal مباشرةً.</t>
  </si>
  <si>
    <t xml:space="preserve">حوّل فرعَ charter في `Portal/project_charter.php` إلى نشرِ `project.chartered` فقط، وانقل الإدراجاتِ الثلاثةَ إلى مستهلكين في `app/Services/` يملكها أصحابُها: ProjectService (project) · FinanceCostCenterService (fin_cost_centers) · SiteService (sites)، وكلٌّ منها بمفتاح عطالةٍ على `charter_ref`.</t>
  </si>
  <si>
    <t xml:space="preserve">فريق الباك-إند — وحدة المعمارية والأحداث</t>
  </si>
  <si>
    <t xml:space="preserve">بعد الإصلاح: اعتمادُ الفتح لا يكتب سطرًا واحدًا خارج `exec_project_charters`؛ والمشروعُ والمركزُ والمواقعُ تظهر خلال دورة المستهلك مع سجلِّ من كتبها.</t>
  </si>
  <si>
    <t xml:space="preserve">تأكّد الإدراجُ المباشرُ في project و fin_cost_centers و sites من شاشة القمة (الأسطر 184-216) داخل معاملةٍ واحدة؛ لكنّ الشاشةَ تنشر أيضًا project.chartered في السطر 258 والأثرُ ذرّيٌّ ومحروسٌ بـcheck_page_permissions، فالخطورةُ حوكميةٌ لا تشغيلية.</t>
  </si>
  <si>
    <t xml:space="preserve">INJ-0118</t>
  </si>
  <si>
    <t xml:space="preserve">PR-04 · المالُ أثرٌ لا مصدر — ومصدرُ الحقيقةِ واحد</t>
  </si>
  <si>
    <t xml:space="preserve">لوحة المدير التنفيذي</t>
  </si>
  <si>
    <t xml:space="preserve">http://localhost/ems/Portal/ceo_board.php</t>
  </si>
  <si>
    <t xml:space="preserve">لوحة الإدارة التنفيذية</t>
  </si>
  <si>
    <t xml:space="preserve">لا رقمَ بلا مصدرٍ يُنقَر إليه؛ ومؤشراتُ القمة تُشتق من مصادرها لا تُدخَل يدويًّا — «المالُ أثرٌ لا مصدر».</t>
  </si>
  <si>
    <t xml:space="preserve">خمسةَ عشرَ مؤشرًا ماليًّا وتشغيليًّا للقمة (قيمة المحفظة · الإيراد المعترف · التحصيل · الذمم المتأخرة · التدفق المتوقع · التزامات التمويل · الهامش …) تُكتب يدويًّا في فورم «إضافة» وتُخزَّن في `exec_board_snapshots` بحالةٍ مثبَّتةٍ `'معتمد'` داخل جملة الإدراج نفسِها.</t>
  </si>
  <si>
    <t xml:space="preserve">لوحةُ القمة تعرض أرقامًا مطبوعةً بيد مستخدمٍ وموسومةً «معتمد» بلا اعتماد، جنبًا إلى جنبٍ مع ستِّ بطاقاتٍ حيةٍ مشتقة — فلا يميّز القارئُ المصدرَ من المُدخَل، ويصير أخطرُ تقريرٍ في المنظومة قابلًا للتلوين.</t>
  </si>
  <si>
    <t xml:space="preserve">جدولُ لقطاتٍ يدويٌّ عوضًا عن مشتقٍّ من المالية والعقود والتشغيل؛ وحالةُ الصفِّ ثابتةٌ في SQL لا ناتجةٌ عن دورةِ اعتماد.</t>
  </si>
  <si>
    <t xml:space="preserve">Portal/ceo_board.php:58-64; :65; :74-79; :129; :139-160</t>
  </si>
  <si>
    <t xml:space="preserve">١) ادخل بدور 9. ٢) افتح Portal/ceo_board.php واضغط «إضافة». ٣) اكتب أرقامًا اعتباطيةً في «قيمة المحفظة» و«الإيراد المعترف» واحفظ. ٤) لاحظ ظهورَ الصفِّ في الجدول بحالة «معتمد».</t>
  </si>
  <si>
    <t xml:space="preserve">في `Portal/ceo_board.php` أزِل فورمَ الإضافة واستبدل قراءةَ `exec_board_snapshots` بدالة اشتقاقٍ (كنمط `$bd()` في :140-160) تقرأ contracts · fin_dues · fin_payments · fin_unit_records؛ وإن لزمت اللقطةُ فاجعلها مولَّدةً بمهمةِ cron موسومةً بمصدرها وبحالة «مشتق» لا «معتمد».</t>
  </si>
  <si>
    <t xml:space="preserve">كلُّ رقمٍ في لوحة القمة قابلٌ للنقر ويفتح مصدرَه، ولا يوجد في الشاشة مسارُ إدخالٍ يدويٍّ لأيِّ مؤشرٍ مالي.</t>
  </si>
  <si>
    <t xml:space="preserve">الفورمُ اليدويُّ وحالةُ 'معتمد' المثبَّتةُ في جملة الإدراج مؤكَّدان حرفيًّا، لكنَّ الشاشةَ تعرض فوقهما ستَّ بطاقاتٍ حيةً مشتقةً من مصادرها فلا تُفقد الحقيقةُ كليًّا — P2 لا P1.</t>
  </si>
  <si>
    <t xml:space="preserve">INJ-0119</t>
  </si>
  <si>
    <t xml:space="preserve">AR-05 · لكلِّ فعلٍ فعلُ عكسِه — ولا حذفَ صامت</t>
  </si>
  <si>
    <t xml:space="preserve">عقدُ كلِّ فعل سداسيّ: «الرمزُ والفاعلُ وما يُكتب والحدثُ والمستهلكُ وفعلُ العكس» — فلا فعلَ حاكمٌ بلا مسارِ عكسٍ معلَن.</t>
  </si>
  <si>
    <t xml:space="preserve">لا فعلَ عكسٍ في أيٍّ من أفعال القمة العشرة: لا «إبطالُ توقيع» ولا «سحبُ اعتماد» ولا «إلغاءُ قرار فتح» ولا «نقضُ قرارٍ تنفيذي». والقادحُ BR-CEO-08 في القاعدة يمنع تعديلَ المقرَّر، والشاشاتُ تردّ «لا قرارَ على قرار» — فيُغلق البابُ دون تصحيحِ الخطأ لا دونَ التلاعب فقط.</t>
  </si>
  <si>
    <t xml:space="preserve">توقيعٌ خاطئٌ أو اعتمادٌ على بياناتٍ مغلوطةٍ لا يمكن نقضُه من داخل النظام؛ العلاجُ الوحيدُ تدخّلٌ في القاعدة يفقد أثرَه في التدقيق. وأعمدةُ «معكوس بـ / عكس عن» المعروضةُ في هذه الشاشات تبقى فارغةً أبدًا.</t>
  </si>
  <si>
    <t xml:space="preserve">آلةُ حالةٍ أحاديةُ الاتجاه بلا حالاتِ نقض، وقادحُ تحصينٍ في القاعدة صُمِّم للمنع لا للعكس المحكوم.</t>
  </si>
  <si>
    <t xml:space="preserve">Portal/ceo_contracts.php:148-150; Portal/ceo_approvals.php:136-138; Portal/project_charter.php:162-163; database/migrations/2026_11_14_m00_exec_tables.sql:220; includes/gov_columns.php:38-39</t>
  </si>
  <si>
    <t xml:space="preserve">١) وقّع عقدًا في Portal/ceo_contracts.php. ٢) حاول التوقيعَ ثانيةً ⇒ «لا توقيعَ على توقيع». ٣) ابحث عن زرٍّ لإبطال التوقيع في الشاشة ⇒ لا يوجد. ٤) لاحظ عمودَي «معكوس بـ» و«عكس عن» في جداول القمة يعرضان «—» دائمًا.</t>
  </si>
  <si>
    <t xml:space="preserve">أضِف في `Portal/ceo_contracts.php` و`ceo_approvals.php` و`project_charter.php` فعلَ `reverse` محروسًا بالدور نفسِه وبسببٍ إلزاميٍّ ومستند: يكتب صفًّا جديدًا يحمل `reversal_of` ويحدّث `reversed_by` في الأصل، وينشر حقيقةَ عكسٍ بمفتاح عطالةٍ مشتقٍّ من الأصل، ويستدعي `ContractStateMachine` للعودة إلى «معتمد».</t>
  </si>
  <si>
    <t xml:space="preserve">نقضُ توقيعٍ بسببٍ ومستندٍ يُنشئ صفَّ عكسٍ ويملأ عمودَي «معكوس بـ» و«عكس عن» في الصفين، ويعيد حالةَ العقد إلى «معتمد».</t>
  </si>
  <si>
    <t xml:space="preserve">صحيحٌ أن أفعالَ شاشات القمة (add·sign·decide·charter) بلا فعلِ عكسٍ وأن قادحَ BR-CEO-08 يمنع لا يعكس؛ لكن رمزَ القسم خاطئ (المتطلبُ في CORE §٩-٢ «العقدُ السداسيُّ» لا AR-05 الذي هو «الحارسُ في الخادم»)، وأعمدةُ «معكوس بـ/عكس عن» الفارغةُ حالةٌ انتقاليةٌ معتمدةٌ من المالك موثَّقةٌ في رأس includes/gov_columns.php — فالخطورةُ P2.</t>
  </si>
  <si>
    <t xml:space="preserve">INJ-0120</t>
  </si>
  <si>
    <t xml:space="preserve">INJAZ-FRD-01 §٤-٣ · المرحلة ٤ — تعيينُ مدير الموقع</t>
  </si>
  <si>
    <t xml:space="preserve">مخرجُ المرحلة الرابعة مستندان: «قرارُ فتح مشروع · تعيينُ مدير موقع»، و«مديرُ الموقع يُعيَّن بصلاحياته».</t>
  </si>
  <si>
    <t xml:space="preserve">«مدير الموقع المعيَّن» و«صلاحياته» عمودان نصيّان حران (`site_manager` · `manager_powers`) يُكتبان في `exec_project_charters` فقط؛ ولا إدراجَ في `org_assignments` ولا `role_assignments` ولا `users`، ولا منحَ صلاحيةٍ واحدة. الشاشةُ لا تعرض قائمةَ مستخدمين أصلًا.</t>
  </si>
  <si>
    <t xml:space="preserve">التعيينُ قرارٌ على ورقٍ إلكتروني: الشخصُ المسمّى لا يملك دخولَ شاشات إدارة الموقع، ولا تظهر له مهامُّ المشروع، والموارد البشرية والحوكمة لا تعلمان بالتكليف. تُكسر سلسلةُ «قرار فتح المشروع ← إدارة الموقع» التي يوجبها الفصل.</t>
  </si>
  <si>
    <t xml:space="preserve">نمذجةُ التعيين حقلَ نصٍّ في جدولِ القرار بدل ربطِه بـ`users.id` وإطلاقِ فعلِ تكليفٍ في سجل التكليفات التنظيمية.</t>
  </si>
  <si>
    <t xml:space="preserve">Portal/project_charter.php:58-59; :75; :219-227; :258-280; admin/org_assignments.php:1</t>
  </si>
  <si>
    <t xml:space="preserve">١) اعتمد قرارَ فتح مشروعٍ وفيه «مدير الموقع المعيَّن = اسم موظف». ٢) افتح admin/org_assignments.php ⇒ لا تكليفَ جديد. ٣) ادخل بحساب ذلك الموظف ⇒ لا مشروعَ جديدًا في سايدباره ولا مهمةً.</t>
  </si>
  <si>
    <t xml:space="preserve">في `Portal/project_charter.php` غيّر `site_manager` إلى `site_manager_user_id` بقائمةٍ من `users`، وأضِف داخل معاملة charter إدراجًا في `org_assignments` (المشروع · الموقع الافتراضي · الدور 6) ونشرَ `assignment.issued` ليستهلكه دليلُ الصلاحيات.</t>
  </si>
  <si>
    <t xml:space="preserve">بعد اعتماد الفتح: يظهر صفٌّ في org_assignments للمستخدم المعيَّن على المشروع، ويرى المستخدمُ شاشاتِ الموقع فورَ إعادة الدخول.</t>
  </si>
  <si>
    <t xml:space="preserve">تحقّقت: `site_manager` و`manager_powers` عمودان نصّيان في `exec_project_charters` ولا إدراجَ في `org_assignments` ولا منحَ صلاحية؛ لكن الأثرَ ليس صفرًا (تُنشر حقيقة project.chartered وتُنشأ مهمةُ حجزِ موارد) والتعيينُ يمكن إتمامُه يدويًّا من admin/org_assignments.php فخفّضتُ الخطورة.</t>
  </si>
  <si>
    <t xml:space="preserve">INJ-0121</t>
  </si>
  <si>
    <t xml:space="preserve">INJAZ-FRD-01 §٤-٣ · المرحلة ٥ — قرارُ إدارةٍ عليا</t>
  </si>
  <si>
    <t xml:space="preserve">المخاطر والقرارات العليا</t>
  </si>
  <si>
    <t xml:space="preserve">http://localhost/ems/Portal/ceo_risk.php</t>
  </si>
  <si>
    <t xml:space="preserve">خامسًا: المخاطر والحسم</t>
  </si>
  <si>
    <t xml:space="preserve">لكلِّ قرارٍ محسومٍ «جهةٌ مكلَّفةٌ بالتنفيذ ومهلةُ تنفيذ» — والقرارُ ينتقل أثرُه إلى الجهةِ المكلَّفة.</t>
  </si>
  <si>
    <t xml:space="preserve">«الجهة المكلَّفة بالتنفيذ» نصٌّ حرٌّ لا مرجعَ تنظيميًّا له؛ ومهمةُ المتابعة تُنشأ بـ `owner_user_id =&gt; $uid` و`assigned_user_id =&gt; $uid` — أي تُسند إلى صانع القرار نفسِه، لا إلى الجهة المكلَّفة. و`org_unit_id =&gt; 1` قيمةٌ صلبة.</t>
  </si>
  <si>
    <t xml:space="preserve">القرارُ التنفيذيُّ لا يصل الجهةَ المكلَّفة أبدًا: لا مهمةَ في «مهامي» عندها، ولا تنبيه. تبقى المتابعةُ في صندوق مُصدِر القرار فيُقاس الالتزامُ على من قرّر لا على من نُفِّذ إليه.</t>
  </si>
  <si>
    <t xml:space="preserve">غيابُ ربطِ الحقل النصي بجدول الوحدات التنظيمية ودالةِ تحويلِ إدارةٍ إلى مستخدمٍ مسؤول قبل استدعاء WorkItemService::create.</t>
  </si>
  <si>
    <t xml:space="preserve">Portal/ceo_risk.php:63; :143-152; app/Services/Work/WorkItemService.php</t>
  </si>
  <si>
    <t xml:space="preserve">١) أنشئ قرارًا محسومًا بجهةٍ مكلَّفة «إدارة التشغيل». ٢) ادخل بحساب دور 1 وافتح Portal/my_tasks.php ⇒ لا مهمةَ جديدة. ٣) ادخل بحساب مُصدِر القرار ⇒ المهمةُ عنده.</t>
  </si>
  <si>
    <t xml:space="preserve">في `Portal/ceo_risk.php` بدّل `assigned_dept` إلى مُنتقٍ من `org_units`/`roles`، وقبل `WorkItemService::create` احسب مالكَ الوحدة (`SELECT id FROM users WHERE role=? AND company_id=? AND status='active'`) واستعمله في `owner_user_id`/`assigned_user_id`، ومرّر `org_unit_id` الحقيقي.</t>
  </si>
  <si>
    <t xml:space="preserve">قرارٌ مكلَّفٌ لإدارة التشغيل ⇒ تظهر مهمةُ متابعةٍ في «مهامي» لمدير التشغيل خلال ثوانٍ، ولا تظهر لمُصدِر القرار إلا بوصفه مالكًا مراقبًا.</t>
  </si>
  <si>
    <t xml:space="preserve">تحقّقتُ: `assigned_dept` نصٌّ حرٌّ (input type=text · f10) و`WorkItemService::create` يمرّر `owner_user_id/assigned_user_id =&gt; $uid` و`org_unit_id =&gt; 1` صلبًا — فالمهمة تعود لمُصدِر القرار لا للجهة المكلَّفة.</t>
  </si>
  <si>
    <t xml:space="preserve">INJ-0122</t>
  </si>
  <si>
    <t xml:space="preserve">UX-01 §٤ · «أول ما يُفتح — لوحة الدور»</t>
  </si>
  <si>
    <t xml:space="preserve">الرئيسية (لوحة الدور)</t>
  </si>
  <si>
    <t xml:space="preserve">«الرئيسية» تفتح لوحةَ الدور مباشرةً — وهي أولُ رابطٍ في أول مجموعةٍ لكل الأدوار.</t>
  </si>
  <si>
    <t xml:space="preserve">المصيّر يحقن «الرئيسية» → `../main/role_board.php` لكل الأدوار بلا استثناء (سطر 231-233)، لكن `roleBoardGenericConfig()` لا تعرف الدورَ 9 (مفاتيحُها: 1·24·12·2·3·4·5·6·15) و`roleBoardRoute()` لا تعرفه أيضًا (مفاتيحُها: 17·13·16·23·26·1·24·12·2·3·4·5·6·15). فيصل الدورُ 9 إلى `main/role_board.php:36` ويُعاد توجيهُه صامتًا إلى main/dashboard.php.</t>
  </si>
  <si>
    <t xml:space="preserve">أولُ رابطٍ في سايدبار الرئيس التنفيذي لا يفتح لوحتَه: يقفز إلى لوحةٍ عامةٍ غيرِ مخصصة بلا رسالةٍ تفسّر، فيبدو النظامُ كأنه يتجاهل النقر. والأثرُ نفسُه على الأدوار 7·8·10·11·14·18-22·25·27-30.</t>
  </si>
  <si>
    <t xml:space="preserve">ثلاثةُ سجلاتٍ منفصلةٍ للوحات (المصيّر · roleBoardRoute · roleBoardGenericConfig) بلا فحصِ اتساقٍ بينها، والدورُ 9 له لوحةٌ مخصصةٌ فعلًا (Portal/ceo_board.php) لم تُسجَّل في أيٍّ منها.</t>
  </si>
  <si>
    <t xml:space="preserve">includes/role_board.php:47-62; includes/role_board.php:586; main/role_board.php:36; database/schema/seed_reference.sql:4021</t>
  </si>
  <si>
    <t xml:space="preserve">١) ادخل بدور 9. ٢) اضغط «الرئيسية» أولَ رابطٍ في السايدبار. ٣) لاحظ أنك في main/dashboard.php لا في لوحة القمة.</t>
  </si>
  <si>
    <t xml:space="preserve">في `includes/role_board.php::roleBoardRoute()` أضِف `9 =&gt; 'Portal/ceo_board.php'`؛ وفي `main/role_board.php:36` استبدل إعادةَ التوجيه الصامتة برسالة حوكمةٍ مُعلَنة عبر `ems_gov_flash_redirect` تسمّي الدورَ الذي لا لوحةَ له.</t>
  </si>
  <si>
    <t xml:space="preserve">نقرُ «الرئيسية» بدور 9 يفتح Portal/ceo_board.php؛ وأيُّ دورٍ بلا لوحةٍ يرى رسالةً مُعلَنةً بدل قفزةٍ صامتة.</t>
  </si>
  <si>
    <t xml:space="preserve">roleBoardRoute وroleBoardGenericConfig لا تعرفان الدور 9 وparent_role_id فارغٌ له فيقع التحويلُ الصامت في main/role_board.php:36 — لكن «لوحة المدير التنفيذي» مربوطةٌ في سايدباره (nav_items 5846) فالأثرُ تنقّليٌّ لا حاجب.</t>
  </si>
  <si>
    <t xml:space="preserve">INJ-0123</t>
  </si>
  <si>
    <t xml:space="preserve">INJAZ-FRD-01 §٤-٤ · شاشاتُها وأفعالُها</t>
  </si>
  <si>
    <t xml:space="preserve">حوكمة مكتب الرئيس التنفيذي والنواب</t>
  </si>
  <si>
    <t xml:space="preserve">من شاشات الإدارة السبع المعلَنة: «حوكمة مكتبُ الرئيس التنفيذي والنواب» (gov_dept_ceo.php · 15 عمودًا · فعلان).</t>
  </si>
  <si>
    <t xml:space="preserve">الفجوةُ نمطيةٌ لا خاصةً بالقمة: 12 شاشةَ gov_dept_* معلَنةً في FRD غيرُ منشأةٍ أيضًا، ومصادرُ الحوكمةِ المركزيةُ (access_review · guard_denials · sensitive_fields) قائمةٌ وتغطّي الدليلَ مركزيًّا. — [مُصحَّح بعد التحقق] الصياغة الأولى: لا ملفَّ `gov_dept_ceo.php` في المستودع؛ الموجودُ ثلاثةُ نظائرَ لإداراتٍ أخرى فقط: Governance/gov_dept_gov.php · Finance/gov_dept_fin.php · Risk/gov_dept_rsk.php. ولا رابطَ حوكمةٍ في سايدبار الدور 9 ع</t>
  </si>
  <si>
    <t xml:space="preserve">شاشةٌ حاكمةٌ من السبعِ المعلَنة مفقودة: لا موضعَ يعرض التزامَ مكتب الرئيس بأحكام M-14 (الاستثناءات · التفويضات · سجل الاطّلاع الحساس) — فتسقط قابليةُ إثباتِ الحوكمة على أعلى إدارة.</t>
  </si>
  <si>
    <t xml:space="preserve">تعميمُ نمط `gov_dept_*` توقّف عند ثلاث إداراتٍ ولم يشمل القمة، ولا فاحصَ يقارن قائمةَ الشاشات المعلَنة بالملفات الموجودة.</t>
  </si>
  <si>
    <t xml:space="preserve">Governance/gov_dept_gov.php:1; Finance/gov_dept_fin.php:1; Risk/gov_dept_rsk.php:1; Governance/signing_authority.php:1</t>
  </si>
  <si>
    <t xml:space="preserve">١) افتح http://localhost/ems/Portal/gov_dept_ceo.php و http://localhost/ems/Governance/gov_dept_ceo.php ⇒ 404 في الاثنين. ٢) ابحث في سايدبار الدور 9 عن رابطٍ اسمُه «حوكمة …» ⇒ لا يوجد.</t>
  </si>
  <si>
    <t xml:space="preserve">أنشئ `Governance/gov_dept_ceo.php` بنسخ بنية `Governance/gov_dept_gov.php` وتغيير نطاقه إلى EXECUTIVE_ROLE بـ15 عمودًا وفعلين (إقرارٌ حوكمي · رفعُ دليل)، وسجّله في modules و nav_items للدور 9.</t>
  </si>
  <si>
    <t xml:space="preserve">فريق الباك-إند — وحدة الحوكمة والالتزام</t>
  </si>
  <si>
    <t xml:space="preserve">فتحُ الشاشة بدور 9 يعرض 15 عمودًا وفعلَي «إقرار» و«رفع دليل»، ويظهر رابطُها في سايدبار الدور 9.</t>
  </si>
  <si>
    <t xml:space="preserve">FRD سطر 216 يعلن gov_dept_ceo.php (15 عمودًا · فعلان) ولا ملفَّ بهذا الاسم؛ المكوّنُ النطاقيُّ includes/dept_gov_space.php قائمٌ لكنّه يحتاج شاشةً حاملةً ولم تُنشأ إلا لثلاثِ إداراتٍ، وسايدبار الدور 9 بلا رابطِ حوكمةٍ سوى Governance/signing_authority.php (seed_reference.sql:4025).</t>
  </si>
  <si>
    <t xml:space="preserve">INJ-0124</t>
  </si>
  <si>
    <t xml:space="preserve">INJAZ-FRD-01 §٤-٣ · المرحلة ٧ — التأسيسُ والإصدار</t>
  </si>
  <si>
    <t xml:space="preserve">وضع التأسيس وإغلاقه / بصمة الإصدار وتقرير النشر</t>
  </si>
  <si>
    <t xml:space="preserve">http://localhost/ems/Portal/founding_mode.php</t>
  </si>
  <si>
    <t xml:space="preserve">سابعًا: التأسيس والإصدار</t>
  </si>
  <si>
    <t xml:space="preserve">مخرَجُ المرحلة السابعة مستندان: «محضرُ إغلاقٍ · بصمةُ إصدار» بمعتمِدٍ هو الرئيس التنفيذي — والبصمةُ شاهدٌ يثبت ما نُشر.</t>
  </si>
  <si>
    <t xml:space="preserve">Portal/founding_mode.php محروسٌ بـcheck_page_permissions (السطر 33)؛ والذي بلا حارسِ شاشةٍ هو release_stamp.php وحدَه، وإدراجُه (السطر 82) يقع قبل include insidebar فهو أثرٌ قبل الحارس. — [مُصحَّح بعد التحقق] الصياغة الأولى: الشاشتان `Portal/founding_mode.php` و`Portal/release_stamp.php` فورما إدخالٍ عامّان من نمط CMP-03 (16 و18 عمودًا) يكتبان صفًّا نصيًّا عبر `cmp03_store_insert` بلا فعلِ إغلاقٍ ولا توليدِ بصمةٍ من الشيف</t>
  </si>
  <si>
    <t xml:space="preserve">«بصمةُ الإصدار» — وهي الشاهدُ الذي تبني عليه وثيقةُ التسليم قابليةَ الرجوع — نصٌّ يكتبه إنسانٌ ويمكن أن يخالف ما نُشر فعلًا؛ و«إغلاقُ وضع التأسيس» لا يغلق شيئًا في النظام (لا يقفل بذورًا ولا يمنع تعديلًا).</t>
  </si>
  <si>
    <t xml:space="preserve">توليدُ الشاشتين ضمن دفعةِ فورمات CMP-03 بدل ربطهما بمصدرٍ آليٍّ (نظامُ الإصدار) وبفعلٍ يغيّر حالةَ النظام.</t>
  </si>
  <si>
    <t xml:space="preserve">Portal/founding_mode.php:33; :80; Portal/release_stamp.php:82; includes/cmp03_local_store.php:31; :55</t>
  </si>
  <si>
    <t xml:space="preserve">١) ادخل بدور 9 وافتح Portal/release_stamp.php. ٢) اضغط «إضافة» واكتب أيَّ نصٍّ في حقول البصمة واحفظ. ٣) قارن بالنسخة المنشورة فعلًا ⇒ لا رابطَ بينهما.</t>
  </si>
  <si>
    <t xml:space="preserve">اجعل `Portal/release_stamp.php` يولّد البصمةَ خادميًّا (هاش آخر commit + قائمةُ الهجرات المطبَّقة + وقتُ النشر) ويعرضها للقراءة فقط، واجعل `Portal/founding_mode.php` ينفّذ فعلَ إغلاقٍ حقيقيًّا يضبط علَمًا في القاعدة يمنع كتابةَ صفوف is_seed.</t>
  </si>
  <si>
    <t xml:space="preserve">فتحُ شاشة بصمة الإصدار يعرض بصمةً مولَّدةً تطابق النسخةَ المنشورة، ولا يوجد فيها فورمُ إدخالٍ يدوي.</t>
  </si>
  <si>
    <t xml:space="preserve">الشاشتان فورما CMP-03 بلا توليدِ بصمةٍ ولا فعلِ إغلاق — لكن ادعاءَ «بلا حارسِ صلاحيةٍ لكليهما» خاطئ: founding_mode.php:33 يستدعي check_page_permissions.</t>
  </si>
  <si>
    <t xml:space="preserve">INJ-0125</t>
  </si>
  <si>
    <t xml:space="preserve">٤-٥ · قواعدُ السايدبار الثلاثةَ عشرَ — «مساحةُ عملي فوق الإداراتِ دائمًا»</t>
  </si>
  <si>
    <t xml:space="preserve">http://localhost/ems/main/my_workspace.php</t>
  </si>
  <si>
    <t xml:space="preserve">«① مساحةُ عملي: ثابتةٌ حرفيًّا — نفسُ الترتيبِ والأسماءِ والأيقونات بين كل الإدارات · محتواها: مهامي · طلباتي · موافقاتي · بلاغاتي · إنجازي · التنبيهات» و«مساحةُ عملي فوق الإداراتِ دائمًا — المنطقةُ ① أعلى السايدبار».</t>
  </si>
  <si>
    <t xml:space="preserve">لا توجد منطقةُ «مساحة عملي» في السايدبار إطلاقًا: بابُها أيقونةُ حقيبةٍ في الشريط العلوي. وبديلُها في السايدبار عنوانٌ فرعيٌّ غيرُ قابلٍ للنقر «مساحتي الشخصية» داخل المرحلة صفر، ومحتواه لدور 9: مهامي · إنجازي · بوابتي · طلباتي · المراسلات — أي أن «موافقاتي» و«بلاغاتي» و«التنبيهات» غائبةٌ تمامًا، و«بوابتي» زائدة.</t>
  </si>
  <si>
    <t xml:space="preserve">المدخلُ اليوميُّ للقمة (ما ينتظر اعتمادَها) غيرُ موجودٍ في القائمة: التنفيذيُّ لا يجد «موافقاتي» ولا «التنبيهات» في سايدباره ويعتمد على أيقونةٍ في الشريط العلوي بلا تسمية. والقاعدةُ «ثابتةٌ حرفيًّا بين كل الإدارات» مخروقةٌ لأن المحتوى يختلف باختلاف صفوف nav_items لكل دور.</t>
  </si>
  <si>
    <t xml:space="preserve">قرارُ تنفيذٍ جعل مساحةَ عملي «بابًا في الشريط العلوي» (تعليقُ الكود في topbar.php:184) بدل منطقةٍ أولى في السايدبار كما تنص الوثيقة، ثم أُعيد بعضُ عناصرها في السايدبار كعناوينَ فرعيةٍ من البيانات.</t>
  </si>
  <si>
    <t xml:space="preserve">includes/topbar.php:184; includes/topbar.php:186; includes/topbar.php:203; includes/unified_nav.php:205-240; Portal/approvals_inbox.php:1; Portal/notifications.php:1</t>
  </si>
  <si>
    <t xml:space="preserve">١) ادخل بدور 9. ٢) افحص السايدبار من أعلى ⇒ أول مجموعة «لوحة الإدارة التنفيذية» لا «مساحة عملي». ٣) ابحث عن «موافقاتي» و«بلاغاتي» و«التنبيهات» في القائمة ⇒ غير موجودة رغم وجود Portal/approvals_inbox.php و Portal/notifications.php.</t>
  </si>
  <si>
    <t xml:space="preserve">في `includes/unified_nav.php::printStageNav()` أضِف منطقةً ثابتةً قبل حلقة المراحل تطبع العناصرَ الستةَ بالترتيب والأسماء المنصوص عليها من ثابتٍ في الكود (لا من nav_items)، وأبقِ أيقونةَ الشريط العلوي اختصارًا لا بديلًا.</t>
  </si>
  <si>
    <t xml:space="preserve">فتحُ أيِّ دورٍ من الأدوار الأربعة يعرض في أعلى السايدبار مجموعةً اسمُها «مساحة عملي» بستةِ عناصرَ بالأسماء والترتيب نفسِه حرفيًّا.</t>
  </si>
  <si>
    <t xml:space="preserve">لا منطقةَ «مساحة عملي» في السايدبار؛ بديلُها مجموعةُ link_groups id=3253 «مساحتي الشخصية» بعناصر: مهامي · إنجازي · بوابتي · طلباتي · المراسلات (nav_items 5841-5845) — و«موافقاتي» و«بلاغاتي» و«التنبيهات» غائبة فعلًا. والباب أيقونةُ حقيبةٍ في topbar.php:203.</t>
  </si>
  <si>
    <t xml:space="preserve">INJ-0126</t>
  </si>
  <si>
    <t xml:space="preserve">٧-٣ · التصديرُ والفلاترُ والبحث في الشاشات الطويلة</t>
  </si>
  <si>
    <t xml:space="preserve">«الشاشاتُ الطويلةُ (٢٠+ عمودًا) تحتاج مناظرَ وزرَّ إظهارِ الكلِّ إلزامًا» و«تصديرٌ يُخرج العرضَ المختارَ أو جميعَ الأعمدةِ المسموحةِ بحسب الصلاحية» و«البحثُ داخلَ شريطِ أدواتِ الجدول».</t>
  </si>
  <si>
    <t xml:space="preserve">شاشاتُ القمة الخمسُ (20 · 24 · 27 · 17 · 16 عمودًا) بلا زرِّ «إظهار كل الأعمدة» وبلا منتقي منظر وبلا فلترِ فترةٍ أو إدارةٍ أو حالة وبلا أيِّ تصدير: قائمةُ الشاشات الخمسِ والعشرين التي تملك تصديرَ الإطار الموحَّد لا تضم شاشةً واحدةً من Portal (25 جدول Portal بلا تصدير).</t>
  </si>
  <si>
    <t xml:space="preserve">لا يستطيع الرئيسُ التنفيذيُّ إخراجَ سجل اعتماداته أو توقيعاته لمجلس الإدارة أو للمراجع الخارجي إلا بنسخٍ يدويٍّ من الشاشة؛ ولا يستطيع تصفيةَ الصفوف بفترةٍ أو إدارةٍ في جدولٍ يبلغ 500 صف.</t>
  </si>
  <si>
    <t xml:space="preserve">شاشاتُ CMP-03 وُلدت بجدولٍ مكتوبٍ يدويًّا بلا عُدّة `u13_screen_kit` (التي وحدَها تطبع زرَّ «إظهار كل الأعمدة») وبلا تسجيلٍ في سجل كيانات التصدير.</t>
  </si>
  <si>
    <t xml:space="preserve">Portal/ceo_approvals.php:346-384; includes/u13_screen_kit.php:317-319; includes/excel_ui.php:45-61; app/Services/Excel/ExcelService.php:56-70</t>
  </si>
  <si>
    <t xml:space="preserve">١) افتح Portal/ceo_approvals.php. ٢) ابحث عن زرِّ تصديرٍ أو منتقي منظرٍ أو فلترِ فترة ⇒ لا شيء. ٣) قارن بـ Suppliers/suppliers.php حيث يظهر زرُّ التصدير.</t>
  </si>
  <si>
    <t xml:space="preserve">سجّل كياناتِ exec_approvals · exec_contract_signings · exec_project_charters في `app/Services/Excel/` وأضِف `ems_excel_header_actions()` إلى `$header_actions` في الشاشات الخمس، وحوّل الجداولَ إلى `includes/u13_screen_kit.php` لتحصل على منتقي المنظر وزرِّ إظهار كل الأعمدة بالنص الموحَّد.</t>
  </si>
  <si>
    <t xml:space="preserve">فريق الواجهة — وحدة القمة التنفيذية</t>
  </si>
  <si>
    <t xml:space="preserve">كلُّ شاشةِ قمةٍ فيها زرُّ «إظهار كل الأعمدة» بالنص الموحَّد وزرُّ تصديرٍ يخرج الأعمدةَ المسموحةَ مع الفلاتر المفعَّلة.</t>
  </si>
  <si>
    <t xml:space="preserve">لا ملفَّ واحدًا في Portal/ يستدعي excel_ui أو u13_screen_kit أو EmsColumnGroups، وجدولُ ceo_approvals عشرون عمودًا بلا منتقي منظرٍ ولا زرِّ إظهارِ الكل ولا تصدير.</t>
  </si>
  <si>
    <t xml:space="preserve">INJ-0127</t>
  </si>
  <si>
    <t xml:space="preserve">٨-١ · الشاشاتُ التسعُ ومصادرُها — «موافقاتي»</t>
  </si>
  <si>
    <t xml:space="preserve">موافقاتي</t>
  </si>
  <si>
    <t xml:space="preserve">http://localhost/ems/Portal/approvals_inbox.php</t>
  </si>
  <si>
    <t xml:space="preserve">«موافقاتي» أحدُ عناصر مساحة عملي الستة الثابتة حرفيًّا، «تجمع عناصرَ من مصادرها الأصليةِ في الإدارات … وكلُّ عنصرٍ يرجع إلى مستنده أو سجله الأصليِّ بضغطةٍ واحدة».</t>
  </si>
  <si>
    <t xml:space="preserve">الشاشةُ غيرُ مربوطةٍ في السايدبار لكنها ليست بلا منفذ: Portal/my_portal.php يعرض بلاطةً إلى approvals_inbox.php وmy_requests.php. — [مُصحَّح بعد التحقق] الصياغة الأولى: توجد نسختان متوازيتان للشاشة نفسِها — `Portal/approvals_inbox.php` و`Finance/approvals_inbox.php` — ولا واحدةَ منهما مرتبطةٌ في سايدبار الدور 9؛ وكذلك «طلباتي» لها نسختان: `Portal/my_requests.php` و`F</t>
  </si>
  <si>
    <t xml:space="preserve">صندوقُ الموافقات — أهمُّ شاشةٍ يوميةٍ للقمة — غيرُ موجودٍ في قائمتها، ووجودُ نسختين لكلِّ شاشةٍ يعني مصدرَي حقيقةٍ للعدّاد نفسِه ويكسر حكمَ «المصدرُ الموحَّد».</t>
  </si>
  <si>
    <t xml:space="preserve">نسخُ شاشةِ صندوقٍ إلى وحدتين (Portal و Finance) دون توحيدٍ ولا حذفٍ، وغيابُ صفوف nav_items لها في الدور 9.</t>
  </si>
  <si>
    <t xml:space="preserve">Portal/approvals_inbox.php:1; Finance/approvals_inbox.php:1; Portal/my_requests.php:1; FinRequests/my_requests.php:1</t>
  </si>
  <si>
    <t xml:space="preserve">١) ادخل بدور 9. ٢) ابحث في السايدبار عن «موافقاتي» ⇒ غير موجود. ٣) افتح http://localhost/ems/Portal/approvals_inbox.php ثم http://localhost/ems/Finance/approvals_inbox.php ⇒ شاشتان متشابهتان بمسارين.</t>
  </si>
  <si>
    <t xml:space="preserve">اختر `Portal/approvals_inbox.php` مصدرًا واحدًا، وحوّل `Finance/approvals_inbox.php` إلى إعادةِ توجيهٍ إليه، وأضِف صفَّ nav_items «موافقاتي» في منطقة مساحة عملي لكلِّ الأدوار بما فيها 9.</t>
  </si>
  <si>
    <t xml:space="preserve">فريق الباك-إند — وحدة البوابة الشخصية</t>
  </si>
  <si>
    <t xml:space="preserve">«موافقاتي» ظاهرةٌ في مساحة عملي لكلِّ دور، وتفتح مسارًا واحدًا، وعدّادُها يطابق عدَّ الصندوق.</t>
  </si>
  <si>
    <t xml:space="preserve">النسختان المتوازيتان ثابتتان و«موافقاتي» بلا صفِّ nav_items للدور 9، لكنها تُبلَغ من بلاطةِ «بوابتي» (Portal/my_portal.php:51) الحاضرةِ في المرحلة صفر لكل دور.</t>
  </si>
  <si>
    <t xml:space="preserve">INJ-0128</t>
  </si>
  <si>
    <t xml:space="preserve">٤-٥ · «الشاشةُ الجديدةُ لا تظهر قبل اجتياز بوابةِ الشاشةِ كاملةً»</t>
  </si>
  <si>
    <t xml:space="preserve">تقارير الإدارة التنفيذية الثمانية</t>
  </si>
  <si>
    <t xml:space="preserve">http://localhost/ems/Portal/ceo_reports.php</t>
  </si>
  <si>
    <t xml:space="preserve">كلُّ شاشةٍ في قائمةِ دورها — «فالمبنيُّ الذي لا يُبلَغ كالمعدوم»؛ ولا شاشةَ تُبنى خارجَ سجل التنقل.</t>
  </si>
  <si>
    <t xml:space="preserve">صفّا nav 6900/6901 (role 9 · active=1) يحملان module_id=NULL مع permission_code غيرِ فارغ فيسقطان من شرط getUnifiedNavItems، وdoor='main' ليس من الأبواب الثمانية في unifiedNavDoors() — فلا يُطبعان أبدًا؛ و`Portal/ceo_reports.php` بلا صفِّ nav أصلًا. — [مُصحَّح بعد التحقق] الصياغة الأولى: ثلاثُ شاشاتِ قمةٍ مبنيةٌ وحيةٌ ولا رابطَ لها في سايدبار الدور 9: `Portal/ceo_reports.php` (تقارير القمة الثمانية — تُشار إليها من لوحة القمة برابطٍ نصيٍّ داخل الصفحة فقط) و`Portal/ceo_assignments.php`</t>
  </si>
  <si>
    <t xml:space="preserve">ثلاثُ شاشاتٍ مبنيةٌ ومدفوعُ ثمنُها لا يبلغها المستخدمُ من قائمته؛ وتقاريرُ القمة الثمانيةُ — وهي مخرَجُ المرحلة السادسة — تعتمد على رابطٍ نصيٍّ داخل لوحةٍ أخرى.</t>
  </si>
  <si>
    <t xml:space="preserve">بناءُ شاشاتٍ خارج مسار البذرة في `nav_items`، وغيابُ فاحصٍ يقارن ملفاتِ الشاشات بسجل التنقل.</t>
  </si>
  <si>
    <t xml:space="preserve">database/schema/seed_reference.sql:5064-5065; includes/unified_nav.php:70-78; :32-42</t>
  </si>
  <si>
    <t xml:space="preserve">١) ادخل بدور 9. ٢) ابحث في السايدبار عن «تقارير» ⇒ لا رابطَ لـ ceo_reports.php. ٣) افتح Portal/ceo_board.php واضغط الرابطَ النصيَّ أسفل البطاقات ⇒ تُفتح شاشةٌ كاملةٌ غيرُ مفهرسة.</t>
  </si>
  <si>
    <t xml:space="preserve">أضِف صفوفَ nav_items للشاشات الثلاث في مجموعة «التقارير والتصدير» للدور 9 في `database/schema/seed_reference.sql`، وسجّلها في `modules` بمنحٍ صريح.</t>
  </si>
  <si>
    <t xml:space="preserve">الشاشاتُ الثلاثُ تظهر في سايدبار الدور 9 وتُفتح بنقرةٍ واحدةٍ من القائمة.</t>
  </si>
  <si>
    <t xml:space="preserve">الشاشاتُ الثلاثُ فعلًا لا تظهر للدور 9، لكن السببَ أدقُّ مما ذُكر: `ceo_audit_reports` و`ceo_assignments` لهما صفّان (6900 · 6901) لكنهما ميتان بنيويًّا.</t>
  </si>
  <si>
    <t xml:space="preserve">INJ-0129</t>
  </si>
  <si>
    <t xml:space="preserve">§٦-٢ الشاشاتُ الطويلةُ ومناظرُها · CM-14</t>
  </si>
  <si>
    <t xml:space="preserve">لوحة المؤشرات التنفيذية</t>
  </si>
  <si>
    <t xml:space="preserve">المؤشرُ «قيمةٌ مجمَّعةٌ تُشتق آليًّا» (FRD §٢٦-١ نوع ٨) — «ليس الإنجازَ — الإنجازُ واقعةٌ والمؤشرُ تجميعُها».</t>
  </si>
  <si>
    <t xml:space="preserve">حقلُ «المخاطر المفتوحة» في لوحةِ الرئيسِ حقلُ إدخالٍ نصيٍّ يدويٌّ: `Portal/ceo_board.php:62` يُدرجه ضمن `$DB_FIELDS` و`:212-213` يصيّره `&lt;input type="text" name="f12" maxlength="190"&gt;` — والعمودُ في المخطط `varchar(20)` (`database/schema/schema.sql:3033`).</t>
  </si>
  <si>
    <t xml:space="preserve">أهمُّ لوحةٍ في النظامِ تُملأ يدويًّا: رقمُ المخاطرِ المفتوحةِ قابلٌ للكتابةِ نصًّا («قليلة» مثلًا) ولا يُطابق السجلَّ المركزيَّ ولا يتحدث تلقائيًّا.</t>
  </si>
  <si>
    <t xml:space="preserve">لوحةُ CMP-03 وُلِّدت كجدولِ إدخالٍ من المستندِ بدل ربطِ كلِّ عمودٍ بمصدره الحي.</t>
  </si>
  <si>
    <t xml:space="preserve">Portal/ceo_board.php:62; :212; :213; database/schema/schema.sql:3033</t>
  </si>
  <si>
    <t xml:space="preserve">١) بدور 9 افتح `Portal/ceo_board.php` واضغط «إضافة».
٢) اكتب في حقل «المخاطر المفتوحة» نصًّا مثل «١٢ تقريبًا» واحفظ.
٣) الصفُّ يُحفظ كما هو — بلا أيِّ تحققٍ ولا مطابقةٍ مع `risk_register`.</t>
  </si>
  <si>
    <t xml:space="preserve">اجعل الحقلَ محسوبًا: في `Portal/ceo_board.php` احذف `f12` من نموذجِ الإدخال (`:212-213`) واحسب القيمةَ عند العرضِ من `SELECT COUNT(*) FROM risk_register WHERE company_id=? AND state&lt;&gt;'closed' AND merged_into_id IS NULL`، وغيِّر نوعَ العمودِ إلى `int` بهجرة.</t>
  </si>
  <si>
    <t xml:space="preserve">فريق الباك-إند — مكتب الرئيس التنفيذي</t>
  </si>
  <si>
    <t xml:space="preserve">بعد تسجيلِ خطرٍ جديدٍ في `risk_register` يجب أن تُظهر لوحةُ الرئيسِ الرقمَ الجديدَ بلا أيِّ إدخالٍ يدوي، ولا يوجد في الصفحةِ حقلُ إدخالٍ باسم `f12`.</t>
  </si>
  <si>
    <t xml:space="preserve">open_risks حقلُ إدخالٍ نصيٌّ في نموذج الإضافة (السطر 212-213) ضمن DB_FIELDS والعمودُ varchar(20) — فمؤشرُ لوحة الرئيس يُكتب يدويًّا لا يُشتق من risk_register.</t>
  </si>
  <si>
    <t xml:space="preserve">INJ-0130</t>
  </si>
  <si>
    <t xml:space="preserve">BR-GOV-01 · الحارسُ في الخادمِ لكلِّ فعلٍ كاتب</t>
  </si>
  <si>
    <t xml:space="preserve">القرارُ الأعلى فعلٌ محجوزٌ للقمة، ويقع بعدَ حارسٍ خادميٍّ يفحص الدورَ والسلطةَ — لا بمجرد صلاحية إضافةٍ على الشاشة.</t>
  </si>
  <si>
    <t xml:space="preserve">الانكشافُ اليومَ مشروطٌ بمنحةٍ إدارية: role_permissions تمنح الموديول 235 للدور 9 وحدَه حاليًّا — فالفجوةُ بنيويةٌ (حارسُ سلطةٍ مفقود) لا مستغَلَّةٌ بالبذرة الحالية. — [مُصحَّح بعد التحقق] الصياغة الأولى: القرارُ التنفيذيُّ الحاسم يُنشأ كلَّه من فرع «إضافة» (cmp03_action=add): يكفي أن يملأ المستخدمُ `تاريخ القرار` أو يختار حالةً حاسمة ليصير الصفُّ «محسومًا» وتُنشر حقيقةُ `exec.decision.made` وتُفتح مهم</t>
  </si>
  <si>
    <t xml:space="preserve">أيُّ مستخدمٍ له can_add على الشاشة يصدر «قرارَ إدارةٍ عليا» يُلزم إدارةً أخرى بمهلةِ تنفيذ، ويظهر في تقارير القمة ولوحتها بوصفه قرارًا محسومًا للرئيس التنفيذي.</t>
  </si>
  <si>
    <t xml:space="preserve">شاشةٌ وُلدت على نمط CMP-03 (فورمُ إدخالٍ عام) ولم تُزوَّد بحارس الفعل الحاكم الذي زُوّدت به شقيقاتُها ceo_approvals و ceo_contracts و project_charter.</t>
  </si>
  <si>
    <t xml:space="preserve">Portal/ceo_risk.php:36-38; :71; :78-80; :112; :116; Portal/ceo_approvals.php:114; Portal/ceo_contracts.php:131</t>
  </si>
  <si>
    <t xml:space="preserve">١) امنح دورًا غير 9 صلاحيةَ can_add على Portal/ceo_risk.php. ٢) افتح الشاشة واضغط «إضافة». ٣) املأ الجهةَ المكلَّفة ومهلةَ التنفيذ وتاريخَ القرار واحفظ. ٤) لاحظ ظهورَ الصفِّ محسومًا وإنشاءَ مهمةِ متابعة.</t>
  </si>
  <si>
    <t xml:space="preserve">في `Portal/ceo_risk.php` أضِف قبل الإدراج (سطر 90): إن كان `$decisive` صحيحًا فافحص `$is_super_admin || strval($_SESSION['user']['role'])==='9'` وإلا أعِد التوجيه بـ GOV-PERM-403؛ أو افصل «رفع القضية» (متاحٌ للإدارات) عن «الحسم» (فعلٌ مستقلٌّ محروسٌ بالدور) كما في ceo_approvals.</t>
  </si>
  <si>
    <t xml:space="preserve">مستخدمٌ بدور غير 9 يحفظ قرارًا بحالة «محسوم» ⇒ يُرفض؛ والدورُ 9 وحدَه يستطيع الحسم.</t>
  </si>
  <si>
    <t xml:space="preserve">الحارسُ الوحيدُ في ceo_risk.php هو can_add/can_edit (السطر 37) وصفرُ فحصٍ للدور 9، بخلاف ceo_approvals.php التي تشترط الدور 9 لفعل القرار؛ والصفُّ الحاسمُ ينشر exec.decision.made.</t>
  </si>
  <si>
    <t xml:space="preserve">INJ-0131</t>
  </si>
  <si>
    <t xml:space="preserve">TABLE 53 · سجلُّ التدقيق — القيمةُ قبل والقيمةُ بعد</t>
  </si>
  <si>
    <t xml:space="preserve">شاشات القمة التنفيذية (Portal/ceo_*)</t>
  </si>
  <si>
    <t xml:space="preserve">كلُّ فعلٍ يغيّر الحالةَ يكتب سجلَّ تدقيقٍ يحمل الفاعلَ والوقتَ والقيمةَ قبل والقيمةَ بعد.</t>
  </si>
  <si>
    <t xml:space="preserve">`Portal/project_charter.php` (فتحُ مشروعٍ بمركز تكلفةٍ ومواقع) لا يكتب سجلَّ تدقيقٍ إطلاقًا — لا `ems_audit_change()` ولا `log_security_event()`. و`ceo_approvals` و`ceo_contracts` تكتفيان بسطرِ `log_security_event` نصيٍّ بلا قيمةٍ قبل ولا بعد. ووسيطُ `ActivityLogMiddleware` يسجّل الطلبَ لا القيم.</t>
  </si>
  <si>
    <t xml:space="preserve">أضخمُ فعلٍ توليديٍّ في المنظومة (يُنشئ مشروعًا ومركزَ تكلفةٍ ومواقعَ ومهمة) يقع بلا أثرٍ تدقيقيٍّ يمكن الرجوعُ إليه؛ ولا يمكن إثباتُ من غيّر ماذا ومتى أمام مراجعٍ خارجي.</t>
  </si>
  <si>
    <t xml:space="preserve">الاعتمادُ على وسيطِ تسجيلِ الطلبات بوصفه سجلَّ تدقيق، وهو لا يحمل القيمَ كما تُقرّ ترويسةُ `includes/audit_trail.php` نفسُها.</t>
  </si>
  <si>
    <t xml:space="preserve">Portal/project_charter.php:115; :184-222; Portal/ceo_approvals.php:167-169; Portal/ceo_contracts.php:190-192</t>
  </si>
  <si>
    <t xml:space="preserve">١) اعتمد فتحَ مشروعٍ. ٢) ابحث في سجل التدقيق عن صفٍّ يحمل القيمةَ قبل والقيمةَ بعد لهذا القرار ⇒ لا يوجد.</t>
  </si>
  <si>
    <t xml:space="preserve">في `Portal/project_charter.php` داخل معاملة charter (بعد سطر 226) استدعِ `ems_audit_change('exec_project_charters', $rowId, $before, $after, $uid)` قبل `commit()`؛ وكرّر النمطَ في ceo_approvals.php:160 و ceo_contracts.php:186 و ceo_risk.php:107.</t>
  </si>
  <si>
    <t xml:space="preserve">بعد كل فعلٍ من أفعال القمة يوجد صفُّ تدقيقٍ واحدٌ على الأقل يحمل الجدولَ والمعرّفَ والقيمةَ قبل والقيمةَ بعد والفاعلَ والوقت.</t>
  </si>
  <si>
    <t xml:space="preserve">Portal/project_charter.php خالٍ من ems_audit_change ومن log_security_event، والاعتماداتُ والعقودُ تكتفيان بسطرٍ نصيّ — لكنَّ توقيعَ الإصلاح المقترح خاطئ.</t>
  </si>
  <si>
    <t xml:space="preserve">INJ-0132</t>
  </si>
  <si>
    <t xml:space="preserve">INJAZ-FRD-01 §٥-٤ · شاشاتُ إدارة التشغيل الثماني</t>
  </si>
  <si>
    <t xml:space="preserve">إسناد المعدات للوحدات</t>
  </si>
  <si>
    <t xml:space="preserve">http://localhost/ems/Operations/containers.php#n9g7i1</t>
  </si>
  <si>
    <t xml:space="preserve">ثانيًا: توزيع الموارد</t>
  </si>
  <si>
    <t xml:space="preserve">من شاشات الإدارة الثماني المعلَنة: «إسناد المعدات للوحدات» (unit_assign.php · 27 عمودًا · فعلٌ واحد · تراها 3 إدارات) — شاشةٌ لها غرضٌ ومالكٌ وأعمدةٌ وأفعال.</t>
  </si>
  <si>
    <t xml:space="preserve">لا وجودَ لملفٍّ بهذا الغرض: الرابطُ في السايدبار يشير إلى `Operations/containers.php#n9g7i1` — أي المقطعُ نفسُه من شاشة «حاويات العقود» المسجَّلةِ مرةً أخرى في المجموعة الأولى باسم «الوحدات التعاقدية المرقَّمة». والشاشةُ المفتوحةُ عنوانُها الحقيقيُّ «حاويات العقود» لا «إسناد المعدات للوحدات».</t>
  </si>
  <si>
    <t xml:space="preserve">عنصران في القائمة يفتحان الملفَّ نفسَه بعنوانَين مختلفين وبعنوانِ صفحةٍ ثالث؛ فيظن المستخدمُ أنه انتقل إلى شاشةٍ أخرى ويجد الشاشةَ نفسَها. ويستحيل قياسُ «عددِ الشاشات» أو إثباتُ اكتمال الشاشات الثماني.</t>
  </si>
  <si>
    <t xml:space="preserve">تنفيذُ عنصرِ تنقّلٍ بمقطعٍ `#nNgMiK` على المسار نفسِه للالتفاف على القيد الفريد `uq_nav_role_route(role_id, route)` بدل بناء الشاشة.</t>
  </si>
  <si>
    <t xml:space="preserve">database/schema/seed_reference.sql:4136 (nav#5961); :4129 (nav#5954); Operations/containers.php:198,292</t>
  </si>
  <si>
    <t xml:space="preserve">١) ادخل بدور 1. ٢) افتح «الوحدات التعاقدية المرقَّمة» ثم «إسناد المعدات للوحدات» ⇒ الصفحةُ نفسُها بعنوان «حاويات العقود». ٣) لاحظ إضاءةَ العنصرين معًا.</t>
  </si>
  <si>
    <t xml:space="preserve">إمّا بناءُ `Operations/unit_assign.php` بالأعمدة السبعة والعشرين والفعل المعلَن، وإمّا حذفُ صفِّ nav_items ذي المقطع وتوحيدُ التسمية على «الوحدات التعاقدية المرقَّمة» مع تصحيح `$header_title` في `Operations/containers.php:187` ليطابقها.</t>
  </si>
  <si>
    <t xml:space="preserve">لا يوجد في سايدبار الدور 1 رابطان يشيران إلى الملف نفسِه، وعنوانُ الصفحة يطابق تسميةَ الرابط حرفيًّا.</t>
  </si>
  <si>
    <t xml:space="preserve">لا ملفَّ unit_assign.php في المستودع، وصفُّ nav 5961 للدور 1 يشير إلى `Operations/containers.php#n9g7i1` بينما المِرساةُ غيرُ موجودةٍ في الملف وعنوانُه الحقيقيُّ «حاويات العقود».</t>
  </si>
  <si>
    <t xml:space="preserve">INJ-0133</t>
  </si>
  <si>
    <t xml:space="preserve">INJAZ-FRD-01 §٥-٣ · المرحلة ٨ — مخاطرُ الإدارة · و§٥-٤ حوكمةُ الإدارة</t>
  </si>
  <si>
    <t xml:space="preserve">المخاطر التشغيلية / حوكمة إدارة التشغيل</t>
  </si>
  <si>
    <t xml:space="preserve">لإدارة التشغيل شاشتان معلَنتان: «المخاطر التشغيلية» (risk_dept_ops.php · 22 عمودًا · 3 أفعال) و«حوكمة إدارة التشغيل» (gov_dept_ops.php · 15 عمودًا · فعلان)؛ و«مساحةُ المخاطرِ الموحَّدة: عنصرٌ واحدٌ في سايدبار كلِّ إدارةٍ بعنوانٍ خاصٍّ بها».</t>
  </si>
  <si>
    <t xml:space="preserve">الملفّان غيرُ موجودين في المستودع (الموجود: risk_dept_fin.php · risk_dept_gov.php · gov_dept_gov.php · gov_dept_fin.php · gov_dept_rsk.php). وبديلُ المخاطر في سايدبار الدور 1 عنصرٌ عامٌّ اسمُه «مساحة مخاطر الإدارة» → `Risk/dept_risk_space.php` موضوعٌ في المجموعة الأخيرة «خارج الوثيقة — بانتظار قرار المالك»، ومعه «مخاطرُ الميدان». ولا شاشةَ حوكمةٍ للإدارة إطلاقًا.</t>
  </si>
  <si>
    <t xml:space="preserve">مرحلتان معلَنتان من دورة الإدارة بلا شاشة؛ وعنصرُ المخاطر معروضٌ بعنوانٍ عامٍّ في مجموعةٍ تقول للمستخدم إنه «خارج الوثيقة» — فيتعذر إثباتُ حكم «سجلُّ مخاطرٍ مقروءٌ ودليلُ ضوابط» لإدارة التشغيل.</t>
  </si>
  <si>
    <t xml:space="preserve">تعميمُ نمطَي `risk_dept_*` و`gov_dept_*` توقّف عند ثلاث إدارات، والعنصرُ العامُّ أُسند لمجموعةِ القرارات المعلَّقة بدل مرحلته.</t>
  </si>
  <si>
    <t xml:space="preserve">Risk/dept_risk_space.php:1; Risk/risk_field.php:1; Risk/risk_dept_fin.php:1; Risk/risk_dept_gov.php:1; Governance/gov_dept_gov.php:1; includes/nav_icon_map.php:391-392</t>
  </si>
  <si>
    <t xml:space="preserve">١) افتح http://localhost/ems/Risk/risk_dept_ops.php ⇒ 404. ٢) افتح http://localhost/ems/Governance/gov_dept_ops.php ⇒ 404. ٣) ادخل بدور 1 ⇒ عنصرُ المخاطر الوحيدُ في المجموعة الأخيرة بعنوانٍ عام.</t>
  </si>
  <si>
    <t xml:space="preserve">أنشئ `Risk/risk_dept_ops.php` و`Governance/gov_dept_ops.php` على نمط نظائرهما، وسجّلهما في modules و nav_items للدور 1، وانقل عنصرَ المخاطر من stage_no=99 إلى مجموعةٍ باسم «المخاطر التشغيلية».</t>
  </si>
  <si>
    <t xml:space="preserve">فريق الباك-إند — وحدة المخاطر</t>
  </si>
  <si>
    <t xml:space="preserve">سايدبارُ الدور 1 يعرض «المخاطر التشغيلية» و«حوكمة إدارة التشغيل» في مجموعاتهما الصحيحة، وكلٌّ منهما يفتح شاشةً بالأعمدة والأفعال المعلَنة.</t>
  </si>
  <si>
    <t xml:space="preserve">risk_dept_ops.php وgov_dept_ops.php غيرُ موجودين في المستودع (الموجودُ نظائرُهما للمالية والحوكمة والمخاطر)، وعنصرا المخاطر للدور 1 في المجموعة 2084 وهي المرحلة 99 «خارج الوثيقة».</t>
  </si>
  <si>
    <t xml:space="preserve">INJ-0134</t>
  </si>
  <si>
    <t xml:space="preserve">INJAZ-FRD-01 §٥-١ · ما تملكه إدارةُ التشغيل — الخطةُ الشهرية</t>
  </si>
  <si>
    <t xml:space="preserve">المرحلةُ الأولى «خطة الشهر» مخرَجُها «خطةٌ شهريةٌ معتمدة» باعتمادِ مدير التشغيل، وست شاشاتٍ تخدمها.</t>
  </si>
  <si>
    <t xml:space="preserve">الصفُّ موجودٌ وفعّالٌ (nav_items 5957 · group 3318 · stage 1) ويُحجب بغياب منحةِ العرض على الموديول 152؛ والقائمُ فعلًا هو غيابُ شاشةِ خطةٍ شهريةٍ ومستندِها وفعلِ اعتمادها. — [مُصحَّح بعد التحقق] الصياغة الأولى: مجموعةُ «أولًا: خطة الشهر» في سايدبار الدور 1 تضم خمسةَ روابطَ ليس فيها شاشةُ خطةٍ واحدة: عقودُ العملاء · التزامُ العقد بنوع المعدة · الوحداتُ التعاقدية · حصصُ الموردين · توزيعُ وحدات المورد — كلُّها </t>
  </si>
  <si>
    <t xml:space="preserve">أولُ مرحلةٍ في دورة الإدارة — وهي مصدرُ كلِّ ما بعدها — بلا مستندٍ ولا شاشةٍ ولا اعتماد: لا يمكن إثباتُ وجود «خطة شهرية معتمدة» ولا قياسُ الانحراف عنها في المرحلة الرابعة.</t>
  </si>
  <si>
    <t xml:space="preserve">بذرةُ nav_items ملأت المرحلةَ الأولى بشاشاتِ مرجعٍ من إداراتٍ أخرى بدل شاشة الخطة، وشاشةُ التخطيط اليومي بُنيت ولم تُربَط.</t>
  </si>
  <si>
    <t xml:space="preserve">Operations/daily_plan.php:1; app/Services/Operations/DailyPlanService.php:257; Contracts/contracts.php:1; Suppliers/shares_coverage.php:1</t>
  </si>
  <si>
    <t xml:space="preserve">١) ادخل بدور 1 وافتح مجموعة «أولًا: خطة الشهر» ⇒ خمسةُ روابطَ لعقودٍ وحصص. ٢) ابحث عن شاشةِ خطةٍ شهريةٍ أو زرِّ «اعتماد الخطة» ⇒ لا يوجد. ٣) افتح Operations/daily_plan.php مباشرةً ⇒ تُفتح ولا رابطَ لها.</t>
  </si>
  <si>
    <t xml:space="preserve">أضِف `Operations/monthly_plan.php` بمستندِ خطةٍ شهريةٍ وفعلِ اعتمادٍ محروسٍ بدور مدير التشغيل، واربط `Operations/daily_plan.php` بالمجموعة نفسِها، وانشر `operations.monthly_plan.approved` ليقرأه توزيعُ الموارد وقياسُ الانحراف.</t>
  </si>
  <si>
    <t xml:space="preserve">مجموعةُ «أولًا: خطة الشهر» تحوي شاشةَ خطةٍ شهريةٍ فيها فعلُ اعتمادٍ ينتج مستندًا مؤرَّخًا بمعتمِدٍ، وتقريرُ الانحراف يقيس عليه.</t>
  </si>
  <si>
    <t xml:space="preserve">صحيحٌ أن مجموعةَ «أولًا: خطة الشهر» للدور 1 تعرض خمسةَ روابطِ عقودٍ وحصصٍ ولا شاشةَ خطةٍ شهريةٍ ولا فعلَ اعتمادها؛ لكن الادعاءَ «لا رابطَ لـdaily_plan في سايدبار الدور 1» غيرُ دقيق: الصفُّ nav_items id=5957 قائمٌ وفعّالٌ في المجموعة 3318 داخلَ المرحلة نفسِها، وسقوطُه سببُه غيابُ can_view للدور 1 على الموديول 152.</t>
  </si>
  <si>
    <t xml:space="preserve">INJ-0135</t>
  </si>
  <si>
    <t xml:space="preserve">INJAZ-FRD-01 §٥-٥ · الأثرُ العابرُ — التشغيلُ لا يكتب في جداول غيره</t>
  </si>
  <si>
    <t xml:space="preserve">حاويات العقود (الوحدات التعاقدية)</t>
  </si>
  <si>
    <t xml:space="preserve">http://localhost/ems/Operations/containers.php</t>
  </si>
  <si>
    <t xml:space="preserve">أولًا: خطة الشهر</t>
  </si>
  <si>
    <t xml:space="preserve">«لا إدارةَ تكتب في جداول إدارةٍ أخرى — والأثرُ ينتقل بالأحداث»؛ وتوليدُ الحاويات أثرٌ لتوقيع العقد يستهلكه التشغيل.</t>
  </si>
  <si>
    <t xml:space="preserve">الحاوياتُ تُنشأ بنداءٍ مباشرٍ من خدمة العقود `app/Services/Contract/ContractSignedEffects.php:53` (INSERT INTO op_containers) لا بمستهلكٍ لحدث `contract.signed`؛ ولا مستهلكَ لهذا الحدث في المستودع أصلًا. وفي الاتجاه المقابل، شاشةُ التشغيل تقرأ `contracts` وتكتب `operator_rotations` مباشرةً.</t>
  </si>
  <si>
    <t xml:space="preserve">أولُ حلقةٍ في سلسلة «عقد ← أمر تشغيل» نداءٌ مباشرٌ داخلَ طلبٍ واحد: إن فشل جزءٌ منه لم يُعَد المحاولة، وإن أُضيفت قاعدةُ تشغيلٍ جديدةٌ لم تُطبَّق على العقود الموقَّعة قبلها. والحدثُ المنشورُ يذهب إلى جدولٍ لا يقرؤه أحد.</t>
  </si>
  <si>
    <t xml:space="preserve">بناءُ الأثر بنداءٍ متزامنٍ لأن ناقلَ الأحداث معطَّلٌ افتراضيًّا، فصار النداءُ المباشرُ هو المسارَ الوحيد.</t>
  </si>
  <si>
    <t xml:space="preserve">app/Services/Contract/ContractSignedEffects.php:54 (INSERT INTO op_containers)</t>
  </si>
  <si>
    <t xml:space="preserve">١) وقّع عقدًا من Portal/ceo_contracts.php مرتبطًا بعقدٍ حقيقي. ٢) لاحظ إنشاءَ op_containers في الطلب نفسِه. ٣) ابحث عن مستهلكٍ لـ contract.signed في المستودع ⇒ لا يوجد.</t>
  </si>
  <si>
    <t xml:space="preserve">حوّل `ContractSignedEffects` إلى مستهلكٍ مسجَّلٍ لحدث `contract.signed` يعمل خارج الطلب (cron_events.php) بمفتاح عطالةٍ على contract_id، واترك آلةَ الحالة تنشر الحدثَ فقط.</t>
  </si>
  <si>
    <t xml:space="preserve">توقيعُ عقدٍ ينشر حدثًا واحدًا، وتظهر الحاوياتُ خلال دورة المستهلك؛ وإعادةُ تشغيل المستهلك لا تضاعف الحاويات.</t>
  </si>
  <si>
    <t xml:space="preserve">‏ContractSignedEffects ينشئ op_containers بنداءٍ مباشرٍ (السطر 54 هو الـINSERT لا 53) ولا مستهلكَ لحدث contract.signed في المستودع (القراءاتُ الوحيدةُ تقاريرُ في Portal/ceo_*). والخفضُ إلى P2 لأن الأثرَ يقع فعلًا والمخالفةُ معماريةٌ لا وظيفية.</t>
  </si>
  <si>
    <t xml:space="preserve">INJ-0136</t>
  </si>
  <si>
    <t xml:space="preserve">٧-٣ · التصديرُ الواعي بالمنظر — والشاشاتُ الطويلة</t>
  </si>
  <si>
    <t xml:space="preserve">جداول إدارة التشغيل</t>
  </si>
  <si>
    <t xml:space="preserve">«تصديرٌ يُخرج العرضَ المختارَ أو جميعَ الأعمدةِ المسموحةِ بحسب الصلاحية» وثمانيةُ خياراتِ تصديرٍ واعيةٍ بالمنظر؛ والشاشاتُ الطويلةُ تحتاج مناظرَ وزرَّ «إظهار كل الأعمدة» إلزامًا.</t>
  </si>
  <si>
    <t xml:space="preserve">صفرُ تصديرٍ في تسعةَ عشرَ جدولًا من جداول وحدة التشغيل (قائمةُ الشاشات الخمسِ والعشرين ذاتِ التصدير لا تضم ملفًّا واحدًا من Operations)؛ وصفرُ استيراد؛ وصفرُ زرِّ «إظهار كل الأعمدة»؛ وصفرُ منتقي منظر — رغم أن unit_perf و monthly_close و unbilled و production تتجاوز 28 عمودًا.</t>
  </si>
  <si>
    <t xml:space="preserve">لا يستطيع مديرُ التشغيل إخراجَ الأداء الشهري أو الأعمال غير المفوترة إلى المالية أو المبيعات إلا بنسخٍ يدوي؛ ويُفتح جدولٌ بـ31 عمودًا دفعةً واحدةً على شاشةٍ واحدةٍ بلا منظرٍ يركّز المهمة — وهو نصُّ العيب الذي تسمّيه الوثيقة.</t>
  </si>
  <si>
    <t xml:space="preserve">جداولُ الوحدة مكتوبةٌ يدويًّا خارج عُدّة `u13_screen_kit` (التي وحدَها تطبع منتقي المنظر وزرَّ إظهار الكل)، وكياناتُها غيرُ مسجَّلةٍ في إطار التصدير.</t>
  </si>
  <si>
    <t xml:space="preserve">Operations/unit_perf.php:1; Operations/monthly_close.php:1; Operations/unbilled.php:1; includes/u13_screen_kit.php:317-319; includes/excel_ui.php:45-61; app/Services/Excel/EntityDefinition.php:109-114</t>
  </si>
  <si>
    <t xml:space="preserve">١) افتح Operations/unit_perf.php. ٢) ابحث عن زرِّ تصديرٍ أو استيرادٍ أو «إظهار كل الأعمدة» أو منتقي منظر ⇒ لا شيء. ٣) قارن بـ Suppliers/suppliers.php حيث يظهر زرُّ التصدير.</t>
  </si>
  <si>
    <t xml:space="preserve">حوّل جداولَ الوحدة إلى `includes/u13_screen_kit.php` (يعطي المناظرَ وزرَّ إظهار الكل بالنص الموحَّد)، وسجّل كياناتِ scr_unit_perf · scr_monthly_close · scr_unbilled في `app/Services/Excel/` وأضِف `ems_excel_header_actions()` إلى رؤوس الشاشات.</t>
  </si>
  <si>
    <t xml:space="preserve">فريق الواجهة — وحدة التشغيل</t>
  </si>
  <si>
    <t xml:space="preserve">كلُّ جدولٍ تشغيليٍّ يتجاوز 20 عمودًا يعرض منتقيَ منظرٍ وزرَّ «إظهار كل الأعمدة» بالنص الموحَّد وزرَّ تصديرٍ يحترم الفلاترَ المفعَّلة.</t>
  </si>
  <si>
    <t xml:space="preserve">صفرُ ملفٍّ في Operations/ يستدعي ems_excel_header_actions (الـ25 شاشةً ذاتُ التصدير في Clients/Contracts/Employees/Equipments/… فقط) وصفرُ استعمالٍ لـu13_screen_kit في Operations، فلا منتقيَ منظرٍ ولا زرَّ «إظهار كل الأعمدة» رغم تجاوز الجداولِ 20 عمودًا (ux_readable.md:404).</t>
  </si>
  <si>
    <t xml:space="preserve">INJ-0137</t>
  </si>
  <si>
    <t xml:space="preserve">٥ · البحثُ والفلاتر — «شريطُ الفلاتر مطويٌّ بعدَّادٍ وتفريغٍ بضغطة»</t>
  </si>
  <si>
    <t xml:space="preserve">«البحثُ داخلَ شريطِ أدواتِ الجدولِ لا بعيدًا عنه» و«شريطُ الفلاتر مطويٌّ افتراضيًّا يُظهر عددَ المفعَّلِ ويتيح تفريغَه بضغطة» و«صفرُ فلترٍ مفعَّلٍ لا يظهر عدَدُه».</t>
  </si>
  <si>
    <t xml:space="preserve">جدولُ التوقفات يحمل `data-no-dt` فيتخطاه مُهيِّئُ DataTables، فلا بحثَ ولا فرزَ ولا ترقيم؛ ولا فلترَ فترةٍ ولا موقعٍ ولا نوعِ تعطلٍ ولا حالة. والقائمةُ محدودةٌ بـ`LIMIT 100` صامتةٍ بلا إعلانٍ للمستخدم بأن هناك صفوفًا لم تُعرض.</t>
  </si>
  <si>
    <t xml:space="preserve">شاشةٌ شرطُها المعلَن «صفرُ واقعةٍ بلا مسؤولٍ شرطُ إقفال اليوم» تعرض مئةَ صفٍّ فقط بلا بحثٍ ولا فلتر: إن تجاوزت التوقفاتُ المئةَ يُقفل اليومُ وفيه توقفاتٌ لم تُعرض أصلًا. وفلترُ الإدارة غيرُ موجودٍ في أيِّ شبكةٍ في النظام (صفرُ شبكةٍ من 371).</t>
  </si>
  <si>
    <t xml:space="preserve">جدولٌ مكتوبٌ يدويًّا مع تعطيلٍ صريحٍ لمهيِّئ الجداول، وغيابُ مكوّنِ شريطِ فلاترَ موحَّد (UI-03) في المستودع.</t>
  </si>
  <si>
    <t xml:space="preserve">Operations/stops_unattributed.php:31-35; Operations/stops_unattributed.php:60; assets/js/ui-unification.js:378-379; assets/js/ems-components.js:52-64</t>
  </si>
  <si>
    <t xml:space="preserve">١) افتح Operations/stops_unattributed.php في كيانٍ فيه أكثرُ من 100 توقفٍ غير مُسنَد. ٢) لاحظ غيابَ صندوق البحث والترقيم. ٣) لاحظ الشارةَ في الرأس تعرض عددَ المعروض لا عددَ الكل.</t>
  </si>
  <si>
    <t xml:space="preserve">أزِل `data-no-dt` من `Operations/stops_unattributed.php:60` وفعّل المعالجةَ الخادمية عبر `includes/datatable_server.php`، وأضِف شريطَ فلاترٍ (فترة · موقع · نوع تعطل) باستعمال `EmsUI` مع عدّاد المفعَّل وزرِّ التفريغ، وأزِل الحدَّ الصلبَ 100 أو أعلِنه صراحةً.</t>
  </si>
  <si>
    <t xml:space="preserve">الشاشةُ تعرض كلَّ التوقفات غير المُسنَدة مع بحثٍ وفرزٍ وترقيمٍ وشريطِ فلاترَ يُظهر عددَ المفعَّل ويُفرَّغ بضغطة.</t>
  </si>
  <si>
    <t xml:space="preserve">الجدولُ يحمل data-no-dt (سطر 60) ومُهيِّئُ الجداول يتخطاه (ui-unification.js:379)، والاستعلامُ محدودٌ بـLIMIT 100 صامتة (الأسطر 31-34) بلا فلاترَ ولا بحث.</t>
  </si>
  <si>
    <t xml:space="preserve">INJ-0138</t>
  </si>
  <si>
    <t xml:space="preserve">٤-٥ · «لا يُعرض عنصرٌ لا يملكه المستخدمُ» — عناصرُ مساحة عملي</t>
  </si>
  <si>
    <t xml:space="preserve">مساحتي الشخصية (داخل لوحة الإدارة)</t>
  </si>
  <si>
    <t xml:space="preserve">لوحة الإدارة</t>
  </si>
  <si>
    <t xml:space="preserve">«① مساحةُ عملي … محتواها: مهامي · طلباتي · موافقاتي · بلاغاتي · إنجازي · التنبيهات» ثابتةٌ حرفيًّا في كل الإدارات.</t>
  </si>
  <si>
    <t xml:space="preserve">مجموعةُ «مساحتي الشخصية» في سايدبار الدور 1 تعرض: مهامي · إنجازي · بوابتي · طلباتي · المراسلات — فتنقص «موافقاتي» و«بلاغاتي» و«التنبيهات» وتزيد «بوابتي» و«المراسلات»؛ والمحتوى يختلف من دورٍ لآخر لأنه من صفوف nav_items لا من ثابت.</t>
  </si>
  <si>
    <t xml:space="preserve">مديرُ التشغيل لا يجد «موافقاتي» في مساحته الشخصية رغم أن دورَه أحدُ مستويات اعتماد الوحدات الأربعة؛ ولا يجد «التنبيهات» رغم وجود `Portal/notifications.php`. ويسقط حكمُ الثباتِ الحرفيِّ بين الإدارات.</t>
  </si>
  <si>
    <t xml:space="preserve">بناءُ منطقة مساحة عملي من بياناتٍ لكلِّ دورٍ على حدة بدل ثابتٍ في المصيّر، مع غياب فاحصٍ يقارن العناصرَ الستةَ المنصوصة.</t>
  </si>
  <si>
    <t xml:space="preserve">database/schema/seed_reference.sql (nav_items 5945-5949, group_id=3314)؛ includes/unified_nav.php:205-240</t>
  </si>
  <si>
    <t xml:space="preserve">١) ادخل بدور 1 وافتح المجموعةَ الأولى ⇒ خمسةُ عناصرَ لا ستة. ٢) ابحث عن «موافقاتي» و«التنبيهات» ⇒ غيرُ موجودتين رغم وجود ملفّيهما.</t>
  </si>
  <si>
    <t xml:space="preserve">اطبع منطقةَ مساحة عملي من ثابتٍ في `includes/unified_nav.php` بالعناصر الستة وترتيبها وأيقوناتها، واحذف صفوفَ nav_items الشخصيةَ المكرَّرةَ من البذرة.</t>
  </si>
  <si>
    <t xml:space="preserve">العناصرُ الستةُ تظهر بالترتيب والأسماء نفسِها في سايدبار الأدوار 1 و2 و9 و12، ولا عنصرَ سابعٌ فيها.</t>
  </si>
  <si>
    <t xml:space="preserve">صفوفُ nav_items للمجموعة 3314 «مساحتي الشخصية» للدور 1 هي حرفيًّا: مهامي·إنجازي·بوابتي·طلباتي·المراسلات — بلا موافقاتي وبلاغاتي والتنبيهات المنصوصةِ في ux_readable.md:55/84.</t>
  </si>
  <si>
    <t xml:space="preserve">INJ-0139</t>
  </si>
  <si>
    <t xml:space="preserve">TABLE 53 · سجلُّ التدقيق — أفعالُ التشغيل</t>
  </si>
  <si>
    <t xml:space="preserve">طلب تبديل / التوقفات / تقويم الأسطول</t>
  </si>
  <si>
    <t xml:space="preserve">http://localhost/ems/Operations/swap_request.php</t>
  </si>
  <si>
    <t xml:space="preserve">كلُّ معالجٍ يغيّر الحالةَ يكتب سجلَّ تدقيقٍ بالفاعل والوقت والقيمة قبل وبعد.</t>
  </si>
  <si>
    <t xml:space="preserve">ثلاثةُ معالجاتٍ في وحدة التشغيل تكتب في القاعدة بلا أيِّ سجلِّ تدقيقٍ على أيِّ مسار: `Operations/swap_request.php` (تغطياتُ إحلالٍ تقود الاستحقاق) و`Operations/stops_unattributed.php` (إسنادُ التبعة) و`Operations/fleet_calendar.php` (حجزُ الأسطول). وكلُّها كذلك بلا نشرِ حدث.</t>
  </si>
  <si>
    <t xml:space="preserve">لا يمكن معرفةُ من أنشأ تغطيةَ إحلالٍ أو من غيّر حجزًا في تقويم الأسطول ولا متى ولا ما القيمةُ السابقة — وهي بياناتٌ ذاتُ أثرٍ على الفوترة والالتزام التعاقدي.</t>
  </si>
  <si>
    <t xml:space="preserve">معالجاتٌ كُتبت مباشرةً بـ mysqli بلا مرورٍ بالبوابة `TenantDb` ولا باستدعاء `ems_audit_change()`.</t>
  </si>
  <si>
    <t xml:space="preserve">Operations/swap_request.php:47-56; :77; Operations/stops_unattributed.php:22-27; :44; Operations/fleet_calendar.php:219</t>
  </si>
  <si>
    <t xml:space="preserve">١) أنشئ طلبَ تبديلٍ من Operations/swap_request.php. ٢) ابحث في سجل التدقيق عن صفٍّ لهذا الفعل ⇒ لا يوجد.</t>
  </si>
  <si>
    <t xml:space="preserve">مرّر كتاباتِ الملفات الثلاثة عبر `ems_tenant_db()` واستدعِ `ems_audit_change()` بعد كلِّ كتابةٍ ناجحة، وانشر الحدثَ المقابل (`operations.swap.created` · `operations.stop.attributed` · `fleet.reservation.changed`).</t>
  </si>
  <si>
    <t xml:space="preserve">كلُّ فعلٍ كاتبٍ في وحدة التشغيل ينتج صفَّ تدقيقٍ واحدًا يحمل الجدولَ والمعرّفَ والقيمةَ قبل وبعد.</t>
  </si>
  <si>
    <t xml:space="preserve">الثلاثةُ تكتب في القاعدة بلا `ems_audit_change` ولا نشرِ حدث، والكتابةُ تسبق `include '../insidebar.php'` (swap_request:77 · stops_unattributed:44 · fleet_calendar:219).</t>
  </si>
  <si>
    <t xml:space="preserve">INJ-0140</t>
  </si>
  <si>
    <t xml:space="preserve">GOVX-0975 · مفتاحُ منعِ التكرار — تكرارُ الأثر بإعادة الإرسال</t>
  </si>
  <si>
    <t xml:space="preserve">طلب تبديل</t>
  </si>
  <si>
    <t xml:space="preserve">«مفتاحُ منع التكرار في كل أثر» — وإعادةُ الإرسال لا تُنتج أثرًا ثانيًا.</t>
  </si>
  <si>
    <t xml:space="preserve">معالجُ `Operations/swap_request.php:48` يُدرج صفَّ تغطيةِ إحلالٍ في كل POST بلا مفتاحِ عطالةٍ ولا فحصِ تكرار؛ وكذلك شاشاتُ CMP-03 التشغيليةُ الإحدى عشرةَ (`cmp03_store_insert` بلا مفتاح دمج). فتحديثُ الصفحة بعد الحفظ يضاعف الصف.</t>
  </si>
  <si>
    <t xml:space="preserve">تغطياتُ إحلالٍ مكرَّرةٌ تضاعف الاستحقاقَ المحسوبَ للمورد؛ وصفوفُ إنتاجٍ وأداءٍ مكرَّرةٌ تضاعف الأرقامَ في التقارير الشهرية بلا أن يلاحظها أحد.</t>
  </si>
  <si>
    <t xml:space="preserve">غيابُ طبقةِ عطالةٍ على مستوى الطلب: لا رمزَ نموذجٍ يُستهلك، ولا قيدَ فريدٍ على مفاتيح العمل، و`app/Core/ProcessedOperations.php` القائمُ بلا مستدعٍ إنتاجي.</t>
  </si>
  <si>
    <t xml:space="preserve">Operations/swap_request.php:48-53; includes/cmp03_local_store.php:31; :55-61</t>
  </si>
  <si>
    <t xml:space="preserve">١) أنشئ طلبَ تبديلٍ واضغط حفظ. ٢) اضغط تحديثَ الصفحة وأكّد إعادةَ الإرسال ⇒ صفٌّ ثانٍ بالبيانات نفسِها.</t>
  </si>
  <si>
    <t xml:space="preserve">أضِف في `Operations/swap_request.php` مفتاحَ عطالةٍ مركّبًا (contract_id + out_ref + in_ref + effective_from) بقيدٍ فريدٍ في القاعدة، وفي `includes/cmp03_local_store.php::cmp03_store_insert()` احسب هاشَ الحمولة واحفظه في عمود `idem_hash` بقيدٍ فريدٍ لكل شاشةٍ وكيان.</t>
  </si>
  <si>
    <t xml:space="preserve">إعادةُ إرسال الفورم نفسِه لا تنشئ صفًّا ثانيًا وتُعيد رسالةً تشير إلى الصف القائم.</t>
  </si>
  <si>
    <t xml:space="preserve">الإدراجُ في substitute_coverages يقع في كل POST بلا مفتاحِ عطالةٍ ولا قيدٍ فريدٍ ولا POST-Redirect-GET، وcmp03_store_insert كذلك بلا هاشِ حمولة.</t>
  </si>
  <si>
    <t xml:space="preserve">INJ-0141</t>
  </si>
  <si>
    <t xml:space="preserve">TABLE 46 · التصديرُ وسجلُّه — وحدةُ التشغيل</t>
  </si>
  <si>
    <t xml:space="preserve">جداول إدارة التشغيل (التصدير)</t>
  </si>
  <si>
    <t xml:space="preserve">http://localhost/ems/Operations/unbilled.php</t>
  </si>
  <si>
    <t xml:space="preserve">«صلاحيتان منفصلتان لا واحدة» للتصدير والعرض، وسجلُّ تصديرٍ بتسعة بنودٍ إلزامية لكلِّ عمليةِ إخراج.</t>
  </si>
  <si>
    <t xml:space="preserve">التغطيةُ الجزئيةُ قائمة: excel.php:82-96 يقيّد اطّلاعَ الحقول الحساسة باسم المصدِّر قبل بثِّ الملف (sensitive_read_log)؛ ونسبةُ العيب إلى شاشات Operations افتراضيةٌ لأنها بلا تصديرٍ أصلًا. — [مُصحَّح بعد التحقق] الصياغة الأولى: لا سجلَّ تصديرٍ عامٌّ في المخطط (الموجودُ `risk_export_log` لوحدة المخاطر فقط)، ولا مفتاحَ صلاحيةِ تصديرٍ منفصل — و`ExcelService::authorize()` يفحص `can_view`. ووحدةُ التشغيل بلا تصديرٍ أصلًا، فحين يُ</t>
  </si>
  <si>
    <t xml:space="preserve">عند إتاحة تصدير «الأعمال غير المفوترة» أو «الأداء الشهري» — وهي بياناتٌ تجاريةٌ حساسة — لن يُعرف من أخرجها ولا متى ولا بأيِّ فلترٍ ولا كم صفًّا، ولن تُفصل صلاحيةُ الإخراج عن صلاحية العرض.</t>
  </si>
  <si>
    <t xml:space="preserve">إطارُ تصديرٍ بُني بصلاحيةٍ واحدةٍ وبلا سجلٍّ، وسجلُّ التصدير نُفِّذ لوحدةٍ واحدةٍ فقط دون تعميم.</t>
  </si>
  <si>
    <t xml:space="preserve">app/Services/Excel/ExcelService.php:55-70; excel.php:76-99; database/schema/schema.sql:8838; app/Services/Risk/RiskService.php:975</t>
  </si>
  <si>
    <t xml:space="preserve">١) ابحث في المخطط عن جدولٍ باسم export_log ⇒ لا يوجد إلا risk_export_log. ٢) صدّر من أيِّ شاشةٍ فيها تصدير ⇒ لا صفَّ سجلٍّ يُكتب.</t>
  </si>
  <si>
    <t xml:space="preserve">أنشئ جدول `export_log` بالبنود التسعة (المستخدم · الوقت · الكيان · الشاشة · المنظر · الفلاتر · عددُ الصفوف · الأعمدةُ المستبعدة · رقمُ العملية) واكتبه من `excel.php` قبل بثِّ الملف، وأضِف مفتاحَ صلاحيةِ تصديرٍ مستقلًّا يفحصه `ExcelService::authorize()`.</t>
  </si>
  <si>
    <t xml:space="preserve">كلُّ تصديرٍ من أيِّ شاشةٍ يكتب صفًّا في export_log بالبنود التسعة، ومن لا يملك صلاحيةَ التصدير يُمنع ولو ملك العرض.</t>
  </si>
  <si>
    <t xml:space="preserve">M-14 (m14_readable.md:370,432) يوجب «صلاحيةَ التصديرِ + سجلَّ تصديرٍ بتسعةِ بنودٍ»، وExcelService::authorize يفحص can_view للتصدير (سطر 64-65) ولا جدولَ تصديرٍ عامًّا في المخطط عدا risk_export_log (schema.sql:8838).</t>
  </si>
  <si>
    <t xml:space="preserve">INJ-0142</t>
  </si>
  <si>
    <t xml:space="preserve">INJAZ-FRD-01 §١١-٢ · الدورةُ المستندية — العرضُ ثم العقد</t>
  </si>
  <si>
    <t xml:space="preserve">عروض الأسعار للعملاء</t>
  </si>
  <si>
    <t xml:space="preserve">http://localhost/ems/Clients/quotations.php</t>
  </si>
  <si>
    <t xml:space="preserve">ثانيًا: العرض والتسعير</t>
  </si>
  <si>
    <t xml:space="preserve">الدورةُ المستندية: «عرضُ سعرٍ ← عقدٌ نافذ» — ولكلِّ مرحلةٍ مستندٌ يُنتَج، «ولا مرحلةَ بلا مخرَج»، والمستندُ التالي يرجع إلى سابقه (المرجعُ الأب).</t>
  </si>
  <si>
    <t xml:space="preserve">لا فعلَ تحويلٍ من العرض إلى العقد: `Clients/quotations.php` تحتوي حالةً نصيةً «مقبول» تُعدّ في إحصائية (`$stat_accepted`) ولا تُنشئ عقدًا ولا تربط به. وجدولُ `contracts` لا يملك عمودَ `quotation_id` ولا `opportunity_id` أصلًا (الموجودُ في `quotations` و`tenders` فقط) — فلا مرجعَ أبٍ بين العرض والعقد.</t>
  </si>
  <si>
    <t xml:space="preserve">ينقطع خيطُ التتبع التجاري: لا يمكن معرفةُ من أيِّ عرضٍ وُلد العقد، ولا قياسُ معدل التحويل الحقيقي، ولا التحقق من أن سعرَ العقد هو السعرُ المعروض. ويُعاد إدخالُ بيانات العرض يدويًّا في العقد فتتباعد الأرقام.</t>
  </si>
  <si>
    <t xml:space="preserve">نمذجةُ قبولِ العرض قيمةَ حالةٍ نصيةٍ بدل فعلٍ يولّد المستندَ التالي ويربطه بالمرجع الأب.</t>
  </si>
  <si>
    <t xml:space="preserve">Clients/quotations.php:334-335; database/schema/schema.sql:1818-1875</t>
  </si>
  <si>
    <t xml:space="preserve">١) أنشئ عرضَ سعرٍ واجعل حالتَه «مقبول». ٢) ابحث عن زرِّ «تحويل إلى عقد» ⇒ لا يوجد. ٣) افتح Contracts/contracts.php وابحث عن حقلِ «العرض المرجعي» ⇒ لا وجود له.</t>
  </si>
  <si>
    <t xml:space="preserve">أضِف عمودَي `quotation_id` و`opportunity_id` إلى جدول `contracts` بهجرةٍ جديدة، وأضِف في `Clients/quotations.php` فعلَ «تحويل إلى عقد» محروسًا بـcan_add ينسخ البنودَ والأسعارَ وينشئ العقدَ بحالة «مسودة» مع المرجع الأب، وينشر `quotation.accepted`.</t>
  </si>
  <si>
    <t xml:space="preserve">قبولُ عرضٍ يولّد عقدًا مسودةً يحمل quotation_id، وشاشةُ العقد تعرض رابطًا للعرض الأب، وبنودُ العقد تطابق بنودَ العرض.</t>
  </si>
  <si>
    <t xml:space="preserve">جدولُ contracts لا يحوي quotation_id ولا opportunity_id (التعريفُ في schema.sql:1818-1875)، ولا فعلَ تحويلٍ من العرض إلى العقد في Clients/quotations.php ولا في مجلد Contracts — والحالةُ «مقبول» إحصائيةٌ فقط.</t>
  </si>
  <si>
    <t xml:space="preserve">INJ-0143</t>
  </si>
  <si>
    <t xml:space="preserve">INJAZ-FRD-01 §١١-٣ · المرحلة ٣ — مراجعةُ العقد وملاحظاتُها</t>
  </si>
  <si>
    <t xml:space="preserve">مراجعة العقود وملاحظاتها</t>
  </si>
  <si>
    <t xml:space="preserve">http://localhost/ems/Portal/contract_review.php</t>
  </si>
  <si>
    <t xml:space="preserve">مراجعةُ العقد مرحلةٌ تُنتج ملاحظاتٍ ملزمةً تحجب التوقيعَ (BR-CEO-02: «الملاحظةُ الحرجةُ المفتوحة تحجب بنيويًّا»)، ولها معتمِدٌ وحالةٌ ودورةُ إغلاق.</t>
  </si>
  <si>
    <t xml:space="preserve">m00_review_block تفحص الحقولَ المنظَّمة في scr_contract_review؛ ومطابقةُ الكلمات («حرجة»/«مفتوحة») تقع في فرعٍ احتياطيٍّ واحدٍ على حقل legal_review في ceo_contracts.php:154-155. — [مُصحَّح بعد التحقق] الصياغة الأولى: `Portal/contract_review.php` فورمُ إدخالٍ عامٌّ (CMP-03) بـ22 عمودًا يكتب صفًّا نصيًّا عبر `cmp03_store_insert()`، بلا فحصِ صلاحيةِ شاشةٍ خاصٍّ به، وبلا فعلِ إغلاقِ ملاحظةٍ ولا حالةٍ محكومة؛ والحجبُ ف</t>
  </si>
  <si>
    <t xml:space="preserve">أقوى حاجزٍ حوكميٍّ قبل التوقيع مبنيٌّ على مطابقةِ نصٍّ حرٍّ: كتابةُ «حرجه» أو «حرجة — تمت المعالجة» تُغيّر النتيجةَ عشوائيًّا؛ ولا يمكن إغلاقُ ملاحظةٍ بمستندٍ لأن الشاشةَ لا تملك فعلَ تعديلٍ أصلًا فيُضطر المراجعُ لإضافة صفٍّ جديدٍ يناقض القديم.</t>
  </si>
  <si>
    <t xml:space="preserve">تنفيذُ شاشةٍ حاكمةٍ ضمن دفعة فورمات CMP-03 (إدراجٌ فقط) وبناءُ الحارس على تفتيشٍ نصيٍّ بدل حالةٍ منظَّمة.</t>
  </si>
  <si>
    <t xml:space="preserve">Portal/contract_review.php:88; includes/m00_exec_helpers.php:29-47; Portal/ceo_contracts.php:91-97; :152-160</t>
  </si>
  <si>
    <t xml:space="preserve">١) أضِف ملاحظةً في Portal/contract_review.php بنص «حرجة مفتوحة» على عقدٍ ما. ٢) حاول توقيعَه من Portal/ceo_contracts.php ⇒ يُحجب. ٣) أضِف صفًّا ثانيًا يقول «عولجت» ⇒ الحجبُ باقٍ ولا سبيلَ لإغلاق الأول.</t>
  </si>
  <si>
    <t xml:space="preserve">حوّل ملاحظاتِ المراجعة إلى جدولٍ منظَّمٍ (`contract_review_notes`) بحقول: العقد · الخطورة (enum) · الحالة (مفتوحة/مغلقة) · مستندُ المعالجة · المغلِق · وقتُ الإغلاق؛ وأضِف فعلَ «إغلاق ملاحظة» محروسًا، واجعل `m00_review_block()` تفحص الحالةَ لا النص.</t>
  </si>
  <si>
    <t xml:space="preserve">ملاحظةٌ حرجةٌ تحجب التوقيعَ حتى تُغلق بمستندٍ ومعتمِد؛ ولا يعتمد الحجبُ على أيِّ مطابقةٍ نصية.</t>
  </si>
  <si>
    <t xml:space="preserve">الشاشةُ فعلًا مخزنُ CMP-03 بلا فعلِ إغلاقٍ محكوم، لكنَّ توصيفَ m00_review_block خاطئ: الدالةُ تقرأ حقولًا منظَّمة (يحجب الاعتماد؟ · تاريخ الإقفال · الحالة) لا كلمتَي «حرجة» و«مفتوحة».</t>
  </si>
  <si>
    <t xml:space="preserve">INJ-0144</t>
  </si>
  <si>
    <t xml:space="preserve">VA-07 / AC-U7 · «صفرُ جدولٍ يبلغ صفرَ أعمدة» — UI-DEF-04</t>
  </si>
  <si>
    <t xml:space="preserve">«◆ VA-07 / AC-U7: صفرُ جدولٍ يبلغ صفرَ أعمدة — محاولةُ إخفاءِ الكلِّ تُرفض بحدٍّ أدنى»، والعيبُ الحيُّ UI-DEF-04 يُغلق بحارسٍ في UI-06.</t>
  </si>
  <si>
    <t xml:space="preserve">الشاشةُ تُهيّئ `EmsColumnGroups` بوضع `mode: 'classic'` (سطر 1820)، وهذا الوضعُ يخفي الخلايا بصنف CSS ولا يمسّ DataTables — فحدثُ `column-visibility.dt` لا يقع والحارسُ في `assets/js/ems-components.js:202-212` لا يُستدعى. و`setAll(false)` يخفي كلَّ المجموعات ثم `saveState()` يحفظ الحالةَ في localStorage فتبقى بعد إعادة التحميل.</t>
  </si>
  <si>
    <t xml:space="preserve">نقرةٌ واحدةٌ على زرِّ «الكل» تُفرغ شبكةَ العقود من كل أعمدتها بشكلٍ دائم، ولا يعرف المستخدمُ سببَ الجدول الفارغ ولا كيف يعود — على الشاشة الأمِّ لإدارة المبيعات والعقود. ويتكرر العيبُ حرفيًّا في `Suppliers/supplierscontracts.php:1239` و`Employees/employee_contracts.php:1716`.</t>
  </si>
  <si>
    <t xml:space="preserve">آليتا أعمدةٍ متوازيتان: الحارسُ مبنيٌّ على أحداث DataTables بينما الشاشةُ تستعمل الوضعَ الكلاسيكيَّ القائمَ على CSS.</t>
  </si>
  <si>
    <t xml:space="preserve">Contracts/contracts.php:1820; assets/js/column-groups.js:141-147; :197-204; assets/js/ems-components.js:202-212</t>
  </si>
  <si>
    <t xml:space="preserve">١) افتح Contracts/contracts.php. ٢) اضغط زرَّ «الكل» مرتين (إظهار ثم إخفاء) ⇒ يختفي كلُّ محتوى الجدول. ٣) حدّث الصفحة ⇒ الجدولُ ما زال فارغًا (الحالةُ محفوظةٌ في localStorage).</t>
  </si>
  <si>
    <t xml:space="preserve">في `assets/js/column-groups.js::setAll()` (سطر 197) امنع النزولَ تحت حدٍّ أدنى (مجموعةٌ واحدةٌ على الأقل) في الوضعين، وأظهِر رسالةَ سببٍ؛ أو حوّل `Contracts/contracts.php:1820` و`Suppliers/supplierscontracts.php:1239` إلى `mode:'datatable'` ليعمل الحارسُ القائم.</t>
  </si>
  <si>
    <t xml:space="preserve">فريق الواجهة — النظام التصميمي</t>
  </si>
  <si>
    <t xml:space="preserve">محاولةُ إخفاء كلِّ المجموعات في شبكة العقود تُرفض ببقاء مجموعةٍ واحدةٍ على الأقل ورسالةٍ تُبيّن السبب.</t>
  </si>
  <si>
    <t xml:space="preserve">الوضعُ classic يخفي بصنفِ CSS (`group-hidden`) ولا يمسّ DataTables، فحدثُ `column-visibility.dt` لا يقع وحارسُ صفرِ الأعمدة لا يُستدعى؛ و`setAll(false)` يحفظ الحالةَ في localStorage.</t>
  </si>
  <si>
    <t xml:space="preserve">INJ-0145</t>
  </si>
  <si>
    <t xml:space="preserve">٥ · البحثُ · و٧-٣ خياراتُ التصديرِ الثمانية</t>
  </si>
  <si>
    <t xml:space="preserve">المستخلصات والذمم والتغطية</t>
  </si>
  <si>
    <t xml:space="preserve">«تصديرٌ يُخرج العرضَ المختارَ أو جميعَ الأعمدةِ المسموحةِ بحسب الصلاحية» و«نتائجُ البحثِ والفلاترِ الحالية — كلُّ النتائجِ لا الصفحةَ الحالية».</t>
  </si>
  <si>
    <t xml:space="preserve">الجدولُ الوحيدُ ذو التصدير هو Contracts/contracts.php؛ tax_invoices.php بلا تصدير. — [مُصحَّح بعد التحقق] الصياغة الأولى: من واحدٍ وعشرين جدولًا في وحدة العقود، جدولٌ واحدٌ فقط (`Contracts/contracts.php`) فيه تصديرُ الإطار الموحَّد وواحدٌ آخر (`tax_invoices.php`) — و20 بلا تصدير، ومنها المستخلصاتُ والذممُ والتغطيةُ والجز</t>
  </si>
  <si>
    <t xml:space="preserve">لا يمكن إخراجُ كشفِ مستخلصاتٍ لفترةٍ أو لعميلٍ إلى المالية أو للعميل نفسِه؛ وحين يوجد التصديرُ يُخرج كلَّ صفوف الكيان متجاهلًا ما فلتره المستخدمُ على الشاشة — فيُصدَّر ما لم يُطلَب.</t>
  </si>
  <si>
    <t xml:space="preserve">إطارُ تصديرٍ يعمل على مستوى الكيان لا على مستوى الاستعلام المعروض، وكياناتُ وحدة العقود غيرُ مسجَّلةٍ فيه.</t>
  </si>
  <si>
    <t xml:space="preserve">Contracts/claims.php:1; Contracts/collections.php:1; Contracts/contract_coverage.php:1; excel.php:70-71; app/Services/Excel/ExcelService.php:147; includes/excel_ui.php:55-61</t>
  </si>
  <si>
    <t xml:space="preserve">١) افتح Contracts/claims.php واختر عقدًا وفترةً. ٢) ابحث عن زرِّ تصدير ⇒ لا يوجد. ٣) افتح Contracts/contracts.php وفلتِر بحالةٍ ثم صدّر ⇒ الملفُّ يحوي كلَّ العقود لا المفلترة.</t>
  </si>
  <si>
    <t xml:space="preserve">سجّل كياناتِ claims · claim_lines · collections · contract_coverage في `app/Services/Excel/`، ومرِّر معاملاتِ الفلترة والمنظر من `includes/excel_ui.php:55-61` إلى `excel.php` ثم إلى `ExcelService::export()` لتُبنى بها جملةُ WHERE.</t>
  </si>
  <si>
    <t xml:space="preserve">تصديرُ شبكةٍ مفلترةٍ يُخرج الصفوفَ المطابقةَ للفلاتر فقط والأعمدةَ الظاهرةَ في المنظر الحالي.</t>
  </si>
  <si>
    <t xml:space="preserve">تحقّقتُ: Contracts/contracts.php وحدَها تُضمّن excel_ui في المجلد (وtax_invoices.php بلا تصدير أصلًا، فالفجوةُ أوسعُ مما ذُكر)، وExcelService::export يبني WHERE 1=1 بنطاق الشركة فقط (السطر 147) وexcel.php لا يقرأ إلا entity وaction (70-71).</t>
  </si>
  <si>
    <t xml:space="preserve">INJ-0146</t>
  </si>
  <si>
    <t xml:space="preserve">٥ · البحثُ — «الجداولُ الساكنةُ تمامًا»</t>
  </si>
  <si>
    <t xml:space="preserve">جداول وحدة العقود</t>
  </si>
  <si>
    <t xml:space="preserve">http://localhost/ems/Contracts/contract_coverage.php</t>
  </si>
  <si>
    <t xml:space="preserve">رابعًا: تثبيت خط الأساس</t>
  </si>
  <si>
    <t xml:space="preserve">«البحثُ الموحَّدُ يجد الشاشةَ بالاسمِ أو بالمستندِ الذي تنتجه»، و«CM-08 الجدول: ترويسةٌ ثابتةٌ وفرزٌ وتحديدٌ متعددٌ وتثبيتُ العمودِ الأول».</t>
  </si>
  <si>
    <t xml:space="preserve">ثمانيةَ عشرَ جدولًا من جداول وحدة العقود ضمن «الجداول الساكنة تمامًا» — بلا بحثٍ ولا فرزٍ ولا ترقيم — منها contract_lines · penalties · contracts_details · contract_coverage · contract_guarantees · contract_monthly_plan · contract_card · plan_actual_link · contract_payment_schedule · collections · contract_lifecycle · commercial_board · contract_baseline · contract_sites · contract_obligations · tax_invoices · contract_resource_plan. والترويسةُ الثابتةُ وتثبيتُ العمود الأول والتحديدُ المتعدد غيرُ منفَّذةٍ في المستودع كلِّه.</t>
  </si>
  <si>
    <t xml:space="preserve">جداولٌ تحمل عشراتِ الصفوف بلا بحثٍ ولا فرز: يبحث المستخدمُ بعينه أو بـCtrl+F في المتصفح، وعند التمرير يفقد الترويسةَ فلا يعرف أيَّ عمودٍ يقرأ. وفلترُ الإدارة غيرُ موجودٍ في أيِّ شبكةٍ في النظام.</t>
  </si>
  <si>
    <t xml:space="preserve">جداولُ مكتوبةٌ يدويًّا موسومةٌ `no-datatable`/`data-no-dt` فيتخطاها المُهيِّئُ العام، وغيابُ قواعد `position:sticky` في ورقة أنماط الجداول.</t>
  </si>
  <si>
    <t xml:space="preserve">Contracts/contract_coverage.php:1; Contracts/collections.php:1; Contracts/penalties.php:1; assets/js/ui-unification.js:378-379; assets/css/ems-tables.css:1</t>
  </si>
  <si>
    <t xml:space="preserve">١) افتح Contracts/contract_coverage.php في عقدٍ فيه عشراتُ الأنواع. ٢) ابحث عن صندوق بحثٍ أو رأسِ فرز ⇒ لا شيء. ٣) مرّر لأسفل ⇒ تختفي الترويسة.</t>
  </si>
  <si>
    <t xml:space="preserve">أزِل وسمَ `data-no-dt` من جداول الوحدة أو فعّل المعالجةَ الخادميةَ عبر `includes/datatable_server.php` (المستعملةَ في Finance/events_list_fin.php:103)، وأضِف قواعدَ `position:sticky` للترويسة وللعمود الأول في `assets/css/ems-tables.css`.</t>
  </si>
  <si>
    <t xml:space="preserve">فريق الواجهة — وحدة العقود</t>
  </si>
  <si>
    <t xml:space="preserve">كلُّ جدولٍ في وحدة العقود فيه بحثٌ وفرزٌ وترقيمٌ وترويسةٌ ثابتةٌ عند التمرير.</t>
  </si>
  <si>
    <t xml:space="preserve">جداولُ وحدة العقود مستثناةٌ من DataTables إمّا بـdata-no-dt أو بصنف no-datatable (penalties:286 · contract_coverage:158/227/271 · contract_obligations:455) وكلاهما يُستثنى في ui-unification.js:378-379؛ ولا قاعدةَ position:sticky في ems-tables.css إطلاقًا.</t>
  </si>
  <si>
    <t xml:space="preserve">INJ-0147</t>
  </si>
  <si>
    <t xml:space="preserve">٤-٥ · تطابقُ تسميةِ الرابطِ مع الشاشةِ التي يفتحها</t>
  </si>
  <si>
    <t xml:space="preserve">أحكام العقد — العملات والمقدم والمهل</t>
  </si>
  <si>
    <t xml:space="preserve">http://localhost/ems/Contracts/contract_card.php</t>
  </si>
  <si>
    <t xml:space="preserve">اسمُ الشاشة في الوثيقة «أحكام العقد — العملات والمقدم والمهل» (contract_terms.php · 26 عمودًا)، والقائمةُ تُولَّد من مصفوفة العرض بتسمياتٍ مطابقة.</t>
  </si>
  <si>
    <t xml:space="preserve">الرابطُ في السايدبار باسم «أحكام العقد — العملات والمقدم والمهل» يفتح `Contracts/contract_card.php` التي عنوانُها الفعليُّ «بطاقة العقد» — أي شاشةَ ملفِّ العقد الجامعة لا شاشةَ الأحكام. ولا ملفَّ باسم contract_terms في المستودع. والحالُ نفسُه في «آليات تعديل السعر» التي تفتح `Contracts/price_terms.php` المعنونةَ «شروط تعديل السعر»، و«الوحدات التعاقدية المرقَّمة» التي تفتح `Operations/containers.php` المعنونةَ «حاويات العقود».</t>
  </si>
  <si>
    <t xml:space="preserve">ثلاثةُ روابطَ في مرحلة تثبيت خط الأساس تَعِد بشاشةٍ وتفتح أخرى: يظن مستخدمُ المبيعات أنه فتح شاشةَ الأحكام فيجد بطاقةَ العقد، فيبحث عن حقول المقدم والمهل حيث ليست. ويستحيل عدُّ الشاشات أو مطابقتُها بالوثيقة.</t>
  </si>
  <si>
    <t xml:space="preserve">إسقاطُ أسماء الوثيقة على ملفاتٍ قائمةٍ ذاتِ أغراضٍ أوسع بدل بناء الشاشات المسمّاة، بلا فاحصٍ يقارن تسميةَ الرابط بعنوان الشاشة.</t>
  </si>
  <si>
    <t xml:space="preserve">Contracts/contract_card.php:35; :44; Contracts/price_terms.php:154; :167; Operations/containers.php:198; :292</t>
  </si>
  <si>
    <t xml:space="preserve">١) ادخل بدور 12 واضغط «أحكام العقد — العملات والمقدم والمهل» ⇒ تُفتح شاشةٌ عنوانُها «بطاقة العقد». ٢) اضغط «آليات تعديل السعر» ⇒ عنوانُها «شروط تعديل السعر».</t>
  </si>
  <si>
    <t xml:space="preserve">إمّا بناءُ `Contracts/contract_terms.php` بالأعمدة الستةِ والعشرين المعلَنة، وإمّا توحيدُ التسمية: بدّل تسميةَ الرابط في البذرة إلى عنوان الشاشة الفعليّ وصحّح `$header_title` ليطابقه، وأضِف فاحصًا في `tools/` يقارن `nav_items.label_ar` بعنوان الشاشة.</t>
  </si>
  <si>
    <t xml:space="preserve">كلُّ رابطٍ في سايدبار دور المبيعات يفتح شاشةً عنوانُها مطابقٌ لتسميته حرفيًّا.</t>
  </si>
  <si>
    <t xml:space="preserve">تحقّقت: رابطُ «أحكام العقد» لسبعةِ أدوارٍ يفتح contract_card.php وعنوانُها «بطاقة العقد»/«بطاقة العقد الأم»، و«آليات تعديل السعر» تفتح price_terms.php («شروط تعديل السعر»)، و«الوحدات التعاقدية» تفتح containers.php («حاويات العقود»)؛ ولا ملفَّ contract_terms.php.</t>
  </si>
  <si>
    <t xml:space="preserve">INJ-0148</t>
  </si>
  <si>
    <t xml:space="preserve">٤-٢ · بنيةُ السايدبار الخمسية — المنطقةُ ③ دوراتُ العمل</t>
  </si>
  <si>
    <t xml:space="preserve">سايدبار إدارة المبيعات</t>
  </si>
  <si>
    <t xml:space="preserve">«③ دوراتُ العمل في وسط السايدبار: مراحلُ الدورةِ المستنديةِ بمجموعاتها»، و«الترتيبُ بالمرحلةِ المستنديةِ لا بالأبجديةِ ولا بتاريخ البرمجة»، ولا تُعرض المستوياتُ دفعةً.</t>
  </si>
  <si>
    <t xml:space="preserve">سايدبارُ الدور 12 يحوي مجموعةً أخيرةً بـ13 رابطًا اسمُها «خارج الوثيقة — بانتظار قرار المالك»، وفيها ستُّ شاشاتٍ تملكها الإدارةُ فعلًا وتنتمي لمرحلةٍ معروفةٍ في دورتها: خطةُ دفع العقد · ضماناتُ العقد · ربطُ الخطة بالفعلي · خطُّ أساس العقد · اقتصادُ دورة حياة العقد · نطاقاتُ العقد التشغيلية — وستٌّ منها مدفونةٌ خلف زرِّ «المزيد (6)» في عنصرِ `&lt;ul style="display:none"&gt;`.</t>
  </si>
  <si>
    <t xml:space="preserve">ستُّ شاشاتٍ من قلبِ مرحلة «تثبيت خط الأساس» و«المستخلص والمطالبة» مبعدةٌ إلى مجموعةٍ تقول للمستخدم إنها خارج الوثيقة، ثم مخفيةٌ خلف زرٍّ لا يظهر إلا بعد فتح المجموعة — فالمبنيُّ لا يُبلَغ عمليًّا.</t>
  </si>
  <si>
    <t xml:space="preserve">وضعُ الشاشات غيرِ المحسومة في مجموعةٍ بـstage_no=99 بلا مراجعةٍ لاحقة، مع قاعدةِ طيٍّ تقصّ ما بعد العنصر السابع في المجموعات الكثيفة.</t>
  </si>
  <si>
    <t xml:space="preserve">Contracts/contract_payment_schedule.php:1; Contracts/contract_guarantees.php:1; Contracts/plan_actual_link.php:1; Contracts/contract_baseline.php:1; Contracts/contract_lifecycle.php:1; includes/unified_nav.php:253-262</t>
  </si>
  <si>
    <t xml:space="preserve">١) ادخل بدور 12 وانزل لآخر السايدبار. ٢) افتح مجموعةَ «خارج الوثيقة — بانتظار قرار المالك» ⇒ 7 روابطَ ظاهرة وزرُّ «المزيد (6)». ٣) اضغطه ⇒ تظهر ستُّ شاشاتِ عقودٍ حقيقية.</t>
  </si>
  <si>
    <t xml:space="preserve">انقل صفوفَ nav_items الستةَ في `database/schema/seed_reference.sql` إلى مجموعاتها الصحيحة (خطُّ الأساس والضماناتُ وخطةُ الدفع إلى المرحلة الرابعة · ربطُ الخطة بالفعلي واقتصادُ دورة الحياة إلى الخامسة)، وارفع سقفَ الطيّ في `includes/unified_nav.php:253` أو اجعله يُظهر النشطَ دائمًا.</t>
  </si>
  <si>
    <t xml:space="preserve">لا تبقى شاشةٌ تملكها المبيعاتُ في مجموعة stage_no=99، وكلُّ شاشةٍ تظهر في مرحلتها المستندية بلا إخفاء.</t>
  </si>
  <si>
    <t xml:space="preserve">مجموعةُ stage_no=99 للدور 12 تضمّ 14 صفًّا فعّالًا (13 بعد ترشيح can_view) فيطوي المصيّرُ ستةً خلف «المزيد (6)»، وفيها ست شاشاتِ عقودٍ تملكها المبيعاتُ وتنتمي لمراحلَ معروفة.</t>
  </si>
  <si>
    <t xml:space="preserve">INJ-0149</t>
  </si>
  <si>
    <t xml:space="preserve">§٧ · الاختبارُ والقبول — الاختباراتُ الميتة</t>
  </si>
  <si>
    <t xml:space="preserve">اختبارات وحدة العقود</t>
  </si>
  <si>
    <t xml:space="preserve">«لا يُفترض أن كلَّ ما نُفِّذ موثَّقُ الربط»؛ والدليلُ يُثبَت باختبارٍ يمرّ في خط التسليم لا بملفٍّ في المستودع.</t>
  </si>
  <si>
    <t xml:space="preserve">عشراتُ ملفات الاختبار الخاصةِ بوحدة العقود مصنَّفةٌ ملفاتٍ ميتةً في جرد الشيفرة (لا تُستدعى من أيِّ مسار تشغيلٍ ولا خط تسليم): claims_test · claim_dispute_test · contract_baseline_test · contract_guarantees_test · contract_payment_schedule_test · commercial_board_test · contract_lines_test · contract_monthly_plan_test وغيرُها؛ ومعها إثباتاتُ HTTP (`*_http_proof.php`).</t>
  </si>
  <si>
    <t xml:space="preserve">شواهدُ القبول لوحدة العقود موجودةٌ ورقيًّا وغيرُ مشغَّلةٍ فعليًّا: أيُّ انحدارٍ في المستخلص أو خطِّ الأساس أو الضمانات لا يُكشف قبل الإطلاق، وتُقدَّم ملفاتُ الاختبار دليلًا وهي لا تُنفَّذ.</t>
  </si>
  <si>
    <t xml:space="preserve">اختباراتٌ كُتبت للتحقق اليدويِّ لحظةَ التطوير ولم تُربط بخط تسليمٍ آليٍّ ولا بأمرِ تشغيلٍ واحد.</t>
  </si>
  <si>
    <t xml:space="preserve">tests/claims_test.php:1; tests/contract_baseline_test.php:1; tests/commercial_board_test.php:1; tests/contract_state_machine_test.php:1; composer.json:1</t>
  </si>
  <si>
    <t xml:space="preserve">١) ابحث عن أمرٍ واحدٍ يشغّل اختباراتِ وحدة العقود دفعةً واحدة ⇒ لا يوجد. ٢) افتح ملفات tests/ ⇒ سكربتاتٌ مستقلةٌ تُشغَّل يدويًّا.</t>
  </si>
  <si>
    <t xml:space="preserve">أضِف مشغّلًا موحَّدًا (`composer test` أو سكربت في `scripts/`) يشغّل ملفاتِ tests/ ويُرجع رمزَ خروجٍ، واربطه بخط التسليم (لا يوجد اليومَ في المستودع سوى `composer.json` بلا قسم scripts)، واجعل بوابةَ الإصدار تشترط مرورَه.</t>
  </si>
  <si>
    <t xml:space="preserve">أمرٌ واحدٌ يشغّل كلَّ اختبارات وحدة العقود ويُرجع صفرًا عند النجاح؛ وخطُّ التسليم يفشل عند سقوط أيِّ اختبار.</t>
  </si>
  <si>
    <t xml:space="preserve">composer.json لا يحوي قسم scripts، ولا مجلدَ .github/workflows (الموجودُ ملفُّ إرشاداتٍ فقط)، ولا مشغّلَ موحَّدًا في scripts/ أو tools/ — فاختباراتُ tests/ (220 ملفًّا) تُشغَّل يدويًّا ولا تُربط بخط تسليم.</t>
  </si>
  <si>
    <t xml:space="preserve">INJ-0150</t>
  </si>
  <si>
    <t xml:space="preserve">TABLE 37 · الحقولُ الحساسة — الأسعارُ والهوامش</t>
  </si>
  <si>
    <t xml:space="preserve">هامش الربح للعقد والواقعة / بطاقة العقد</t>
  </si>
  <si>
    <t xml:space="preserve">http://localhost/ems/Reports/margin_report.php</t>
  </si>
  <si>
    <t xml:space="preserve">تقارير المبيعات</t>
  </si>
  <si>
    <t xml:space="preserve">«الأسعارُ والهوامش (سعرُ الوحدةِ · هامشُ العقدِ · تكلفةُ العميل) ◆ محجوبٌ عن التشغيلِ ومن تحته بنيويًّا»، ويُحجب من الخادم «فلا يُرسَل في الاستجابةِ أصلًا».</t>
  </si>
  <si>
    <t xml:space="preserve">`Reports/margin_report.php` (المودول 202) ممنوحٌ للأدوار 9 · 12 · 17 · 19 · 22 فقط — ودورُ التشغيل (1) بلا can_view عليه فلا يراه؛ وأعمدةُ قيمِ العقد في `Contracts/contracts.php` رؤوسٌ محقونةٌ `ems-fn-th` تُحشى «—» ولا تحمل قيمًا. — [مُصحَّح بعد التحقق] الصياغة الأولى: لا حجبَ خادميًّا لأيِّ حقلِ سعرٍ أو هامشٍ في وحدة المبيعات والعقود: `SensitiveFieldGuard` بلا مستدعٍ إنتاجي، و`ems_shell_axes()` تبذر محورَ الصلاحية في القشرة لكن لا شاشةَ تقرؤه لتحجب حقلًا. وشاشةُ «ه</t>
  </si>
  <si>
    <t xml:space="preserve">ينكسر أهمُّ حاجزِ حجبٍ في الوثيقة: يكفي منحُ عرضٍ واحدةٍ لأيِّ مستخدمٍ ليقرأ هوامشَ العقود وأسعارَ الوحدات — وهي المعلومةُ التي يحظر الدستورُ وصولَها إلى التشغيل ومن دونه — بلا سجلِّ اطّلاعٍ يُثبت من قرأها.</t>
  </si>
  <si>
    <t xml:space="preserve">نموذجُ الصلاحيات أربعُ رايات CRUD على مستوى الشاشة لا يعرف مستوى الحقل، وطبقةُ الحقول الحساسة مبنيةٌ وغيرُ موصولة.</t>
  </si>
  <si>
    <t xml:space="preserve">app/Services/Security/SensitiveFieldGuard.php:29-33; :79-84; includes/sensitive_read_log.php:32</t>
  </si>
  <si>
    <t xml:space="preserve">١) امنح دورًا تشغيليًّا can_view على Reports/margin_report.php. ٢) افتحها به ⇒ تظهر الهوامشُ كاملة. ٣) ابحث في sensitive_read_log عن أثرٍ ⇒ لا صف.</t>
  </si>
  <si>
    <t xml:space="preserve">سجّل حقولَ (unit_price · margin · client_cost) في `scr_sensitive_fields`، واستدعِ `SensitiveFieldGuard::filterRow()` في `Reports/margin_report.php` و`Contracts/contract_card.php` و`Contracts/contracts.php` قبل التصيير، واكتب `ems_log_sensitive_read()` عند كلِّ اطّلاعٍ مخوَّل.</t>
  </si>
  <si>
    <t xml:space="preserve">دورٌ بلا منحةٍ فرديةٍ لا يجد حقولَ السعر والهامش في استجابة الخادم؛ وكلُّ اطّلاعٍ مخوَّلٍ يكتب صفًّا في سجل الاطّلاع.</t>
  </si>
  <si>
    <t xml:space="preserve">`SensitiveFieldGuard` بلا مستدعٍ إنتاجيٍّ فعلًا (tests/ وtools/ فقط) ولا حجبَ حقليًّا خادميًّا؛ لكنَّ أثرَ التسريب أضيقُ مما ادُّعي فخفّضتُ الخطورة.</t>
  </si>
  <si>
    <t xml:space="preserve">INJ-0151</t>
  </si>
  <si>
    <t xml:space="preserve">PR-01 · مصدرُ الحقيقةِ واحدٌ لكلِّ بيان</t>
  </si>
  <si>
    <t xml:space="preserve">حسابات الموردين البنكية</t>
  </si>
  <si>
    <t xml:space="preserve">http://localhost/ems/Suppliers/supplier_bank.php</t>
  </si>
  <si>
    <t xml:space="preserve">أولًا: تسجيل المورد ووثائقه</t>
  </si>
  <si>
    <t xml:space="preserve">لكلِّ بيانٍ مصدرُ حقيقةٍ واحدٌ منظَّمٌ يُربط بكيانه؛ ولكلِّ عمودٍ «مصدرٌ ومالكٌ ونوعٌ وحساسيةٌ وحكمُ تصديرٍ وحكمُ استيراد».</t>
  </si>
  <si>
    <t xml:space="preserve">المصدرُ الأصليُّ لحساب المورد قائمٌ ومربوطٌ بمعرّفه: أعمدةُ suppliers.bank_name/bank_account_no/bank_iban/bank_doc_ref (schema.sql:11327-11332) تُكتب من Suppliers/supplier_documents.php عبر SupplierDocumentService::verifyBank بسجل تدقيق — فالعيبُ ازدواجُ مخزنٍ لا انقطاعُ ارتباط. — [مُصحَّح بعد التحقق] الصياغة الأولى: الشاشةُ الوحيدةُ في المستودع التي ما زالت تكتب في المخزن البيني `cmp03_screen_rows` — حمولةُ JSON بلا فهارسَ ولا قيودٍ ولا مفاتيحَ أجنبية — بينما هاجرت شقيقاتُها الإحدى عشرةَ في وحدة التشغيل إلى جداول</t>
  </si>
  <si>
    <t xml:space="preserve">حساباتُ الموردين البنكية غيرُ مرتبطةٍ بأيِّ موردٍ في القاعدة: لا يمكن لشاشة الدفع أو التسوية أن تقرأ حسابَ موردٍ بعينه، ولا يمكن فرضُ «حسابٍ واحدٍ موثَّقٍ لكل مورد»، ويختلف الاسمُ المكتوبُ عن اسم المورد المسجَّل فتتعدد الحسابات بلا كشف.</t>
  </si>
  <si>
    <t xml:space="preserve">تخلُّفُ الشاشة عن موجة الهجرة الثانية لـCMP-03: غيرُ مسجَّلةٍ في `includes/cmp03_registry.php` فتظل على المخزن البيني.</t>
  </si>
  <si>
    <t xml:space="preserve">Suppliers/supplier_bank.php:83-100; Suppliers/supplier_bank.php:102-119; includes/cmp03_local_store.php:26-40; includes/cmp03_registry.php:1</t>
  </si>
  <si>
    <t xml:space="preserve">١) أضِف حسابًا بنكيًّا لموردٍ من Suppliers/supplier_bank.php. ٢) افحص جدول cmp03_screen_rows ⇒ صفٌّ بحمولة JSON. ٣) ابحث عن supplier_id في الحمولة ⇒ لا وجود له. ٤) افتح Finance/payments_fin.php ⇒ لا يقرأ هذا الحساب.</t>
  </si>
  <si>
    <t xml:space="preserve">أضِف `supplier_bank.php` إلى `includes/cmp03_registry.php` مع جدولٍ أصليٍّ `scr_supplier_bank` فيه `supplier_id INT NOT NULL` مفتاحًا أجنبيًّا و`UNIQUE(company_id, supplier_id, iban)`، وبدّل حقلَ «المورد» في الفورم إلى منتقٍ من `suppliers`، وهاجِر الصفوفَ القائمة.</t>
  </si>
  <si>
    <t xml:space="preserve">كلُّ حسابٍ بنكيٍّ مرتبطٌ بمعرّف موردٍ حقيقي، وشاشةُ الدفع تقرأ الحسابَ الموثَّقَ للمورد المحدَّد بلا إدخالٍ يدوي.</t>
  </si>
  <si>
    <t xml:space="preserve">صحيحٌ أن Suppliers/supplier_bank.php هي الشاشةُ الوحيدةُ التي ما زالت تُدرج مباشرةً في cmp03_screen_rows (سطر 92) وأنها غيرُ مسجَّلةٍ في includes/cmp03_registry.php وأن حقلَ «المورد» نصٌّ حر، لكنّ أثرَ «لا رابطَ بين الحساب والمورد» ساقط.</t>
  </si>
  <si>
    <t xml:space="preserve">INJ-0152</t>
  </si>
  <si>
    <t xml:space="preserve">AR-05 · آلةُ الحالةِ ومسارُ العكس — عقودُ الموردين</t>
  </si>
  <si>
    <t xml:space="preserve">عقود الموردين — إجراءات دورة الحياة</t>
  </si>
  <si>
    <t xml:space="preserve">http://localhost/ems/Suppliers/supplier_contract_actions_handler.php</t>
  </si>
  <si>
    <t xml:space="preserve">ثانيًا: العقد والحصة</t>
  </si>
  <si>
    <t xml:space="preserve">انتقالاتُ حالة العقد تُحرَس في آلة الحالة، ولكلِّ فعلٍ حدثٌ ومستهلكٌ وفعلُ عكس وسجلُّ تدقيق.</t>
  </si>
  <si>
    <t xml:space="preserve">`Suppliers/supplier_contract_actions_handler.php` ينفّذ سبعةَ أفعالٍ لدورة حياة عقد المورد (تجديد · تسوية · إيقاف · استئناف · إنهاء · دمج · إكمال) بكتابةٍ مباشرةٍ في جدول `supplierscontracts` بلا آلةِ حالةٍ ولا نشرِ حدثٍ ولا سجلِّ تدقيق (المعالجُ ضمن قائمة الـ86 معالجًا بلا سجل)، ولا فعلَ عكسٍ لأيٍّ منها.</t>
  </si>
  <si>
    <t xml:space="preserve">إنهاءُ عقدِ موردٍ أو إيقافُه لا يصل التشغيلَ (الحاويات المفتوحة على المورد) ولا المالية (الاستحقاقات الجارية) ولا الأسطول؛ ولا يمكن نقضُ الإنهاء ولا معرفةُ من نفّذه ومتى وما القيمةُ قبل.</t>
  </si>
  <si>
    <t xml:space="preserve">معالجُ إجراءاتٍ قديمٌ نُسخ من نظيره في وحدة العقود قبل إدخال آلة الحالة، وبقي على الكتابة المباشرة.</t>
  </si>
  <si>
    <t xml:space="preserve">Suppliers/supplier_contract_actions_handler.php:17; :76; :127; :173; :205; :260; :300; :402</t>
  </si>
  <si>
    <t xml:space="preserve">١) أنهِ عقدَ موردٍ من شاشة عقود الموردين. ٢) افحص `op_containers` المفتوحةَ على المورد ⇒ لم تتغير. ٣) ابحث عن حدثٍ أو صفِّ تدقيقٍ للإنهاء ⇒ لا شيء. ٤) ابحث عن زرِّ نقض ⇒ لا يوجد.</t>
  </si>
  <si>
    <t xml:space="preserve">أنشئ `app/Services/Contract/SupplierContractStateMachine.php` على نمط `ContractStateMachine`، وأعِد كتابةَ الأفعال السبعة لتمرَّ عبرها وتنشرَ الأحداثَ (`supplier_contract.suspended` · `.ended` · `.renewed`)، وأضِف `ems_audit_change()` داخل المعاملة وفعلَ عكسٍ بسببٍ موثَّقٍ لكلِّ إنهاءٍ وإيقاف.</t>
  </si>
  <si>
    <t xml:space="preserve">إنهاءُ عقدِ موردٍ ينقل حالتَه في آلة الحالة، وينشر حدثًا واحدًا يُقفل حاوياتِه، ويكتب صفَّ تدقيقٍ بقيمةٍ قبل وبعد، وله فعلُ نقضٍ.</t>
  </si>
  <si>
    <t xml:space="preserve">الأفعالُ السبعة (:76 · :127 · :173 · :205 · :260 · :300 · :402) تكتب مباشرةً بلا آلةِ حالةٍ ولا حدثٍ ولا `ems_audit_change` ولا فعلِ عكس؛ لكن الحارسَ الصلاحيَّ قائمٌ (:17 + سجل action_guard:58) فالخطورةُ P2.</t>
  </si>
  <si>
    <t xml:space="preserve">INJ-0153</t>
  </si>
  <si>
    <t xml:space="preserve">PR-05 · الحارسُ الموجودُ والمطفأ — وثائقُ المورد</t>
  </si>
  <si>
    <t xml:space="preserve">وثائق المورد وحسابه البنكي</t>
  </si>
  <si>
    <t xml:space="preserve">http://localhost/ems/Suppliers/supplier_documents.php</t>
  </si>
  <si>
    <t xml:space="preserve">مخرَجُ المرحلة الأولى «ملفُّ مورد مكتمل»؛ و«معدةٌ بوثيقةٍ منتهيةٍ تُعلَّم حاجبةً للاعتماد» — والحارسُ يعمل لا يُراقب.</t>
  </si>
  <si>
    <t xml:space="preserve">افتراضُ EMS_DOC_EXPIRY_GUARD هو off لا monitor (DocumentGuard.php:59)، وافتراضُ بوابة وثائق المورد monitor كما ذُكر. — [مُصحَّح بعد التحقق] الصياغة الأولى: حارسُ الوثائق المنتهية `DocumentGuard` يعمل خلف `EMS_DOC_EXPIRY_GUARD` وحارسُ وثائق المورد خلف `EMS_SUPPLIER_DOC_GATE` بقيمةٍ افتراضيةٍ `monitor` (تقيس وتُعلن وتمرّ)؛ ولا وجودَ للمفتاحين في `.env.exam</t>
  </si>
  <si>
    <t xml:space="preserve">مورِّدٌ بوثائقَ منتهيةٍ (سجلٌّ تجاريٌّ · تأمينٌ · رخصةٌ) يظل مؤهَّلًا للترسية والاعتماد وتوليدِ طلب الدفع؛ والحارسُ الذي كُتب لمنع ذلك يسجّل ويمرّ. والشاشةُ التي تُدار منها الوثائقُ مبعدةٌ عن مرحلتها.</t>
  </si>
  <si>
    <t xml:space="preserve">بوابتان حوكميتان خلف علَمَي بيئةٍ افتراضُهما المراقبة، مع غياب المفتاحين من ملف المثال فلا يعرف المُنشِر أنهما مطفأتان.</t>
  </si>
  <si>
    <t xml:space="preserve">app/Services/Supplier/SupplierDocumentService.php:33-38; Approvals/hours_approval_handler.php:97; :102-103; app/Services/Unit/DocumentGuard.php:59</t>
  </si>
  <si>
    <t xml:space="preserve">١) أنشئ موردًا بوثيقةٍ منتهيةِ الصلاحية. ٢) ولّد تسويةً له واعتمدها ⇒ تُقبل مع إعلانٍ فقط. ٣) افحص `.env.example` ⇒ لا ذكرَ للمفتاحين.</t>
  </si>
  <si>
    <t xml:space="preserve">اضبط `EMS_SUPPLIER_DOC_GATE=enforce` و`EMS_DOC_EXPIRY_GUARD=enforce` في `.env` و`.env.example`، وغيّر الافتراضَ في `SupplierDocumentService.php:36` إلى `enforce` بعد تصفير الوثائق الموسومة، وانقل شاشةَ الوثائق إلى مجموعة «أولًا: تسجيل المورد ووثائقه».</t>
  </si>
  <si>
    <t xml:space="preserve">اعتمادُ تسويةٍ أو ترسيةٍ لموردٍ بوثيقةٍ منتهيةٍ يُرفض ويسمّي الوثيقة؛ وشاشةُ الوثائق في مرحلتها الأولى.</t>
  </si>
  <si>
    <t xml:space="preserve">EMS_SUPPLIER_DOC_GATE افتراضُه monitor فعلًا (SupplierDocumentService.php:36)، وحارسُ الوثائق المنتهية يُقرأ في hours_approval_handler.php:102-103، ولا ملفَّ .env.example في المستودع (PROMPT_cross_env_portability_fix.md:11 يعدّه ناقصًا)، وsupplier_documents.php مدفونٌ في مجموعة 99 للدورين 2 و17.</t>
  </si>
  <si>
    <t xml:space="preserve">INJ-0154</t>
  </si>
  <si>
    <t xml:space="preserve">INJAZ-FRD-01 §١٢-٤ · شاشاتُ إدارة الموردين</t>
  </si>
  <si>
    <t xml:space="preserve">أداء الموردين وجاهزيتهم / دفتر استهلاك حصص الموردين / معدات المورد ومالكوها</t>
  </si>
  <si>
    <t xml:space="preserve">http://localhost/ems/Suppliers/supplier_capacity.php#n9g18i2</t>
  </si>
  <si>
    <t xml:space="preserve">خامسًا: اعتماد وحداته</t>
  </si>
  <si>
    <t xml:space="preserve">من شاشات الإدارة المعلَنة: «أداء الموردين وجاهزيتهم» (supplier_perf.php · 22 عمودًا) و«دفتر استهلاك حصص الموردين» (quota_ledger.php · 20 عمودًا) و«معدات المورد ومالكوها» (supplier_equip.php · 26 عمودًا) — ولكلِّ شاشةٍ ملفٌّ فريدٌ له غرضٌ ومالكٌ وأعمدةٌ وأفعال.</t>
  </si>
  <si>
    <t xml:space="preserve">الشاشاتُ الثلاثُ غيرُ موجودةٍ كملفات: روابطُها في السايدبار مقاطعُ على ملفاتٍ أخرى — `Suppliers/supplier_capacity.php#n9g18i2` و`#n9g26i2` لأداء الموردين (ومسجَّلةٌ مرتين في مجموعتين مختلفتين)، و`Suppliers/shares_coverage.php#n9g17i1` لدفتر الاستهلاك، و`Suppliers/equipment_plan.php#n9g13i1` لمعدات المورد ومالكيها.</t>
  </si>
  <si>
    <t xml:space="preserve">ثلاثُ شاشاتٍ معلَنةٍ لا وجودَ لها؛ وملفُّ `supplier_capacity.php` وحدَه مسجَّلٌ ثلاثَ مراتٍ بعنوانين مختلفين في ثلاث مجموعات — فينقر المستخدمُ «أداء الموردين» في مرحلة الاعتماد ثم في مرحلة التقييم فيصل الشاشةَ نفسَها، وتُضيء الثلاثةُ معًا.</t>
  </si>
  <si>
    <t xml:space="preserve">سدُّ فجوةِ الشاشات المعلَنة بمقاطعَ في الرابط للالتفاف على القيد الفريد `uq_nav_role_route` بدل بناء الشاشات أو دمج التسميات.</t>
  </si>
  <si>
    <t xml:space="preserve">database/schema/seed_reference.sql (nav_items للدور 2: supplier_capacity.php#n9g18i2 · #n9g26i2 · shares_coverage.php#n9g17i1 · equipment_plan.php#n9g13i1)</t>
  </si>
  <si>
    <t xml:space="preserve">١) ادخل بدور 2. ٢) اضغط «أداء الموردين وجاهزيتهم» في المرحلة الخامسة ثم في مرحلة التقييم ⇒ الشاشةُ نفسُها بعنوان «الطاقة والجاهزية ومهلة الإحلال». ٣) لاحظ إضاءةَ الروابط الثلاثة معًا.</t>
  </si>
  <si>
    <t xml:space="preserve">إمّا بناءُ `Suppliers/supplier_perf.php` و`Suppliers/quota_ledger.php` و`Suppliers/supplier_equip.php` بأعمدتها المعلَنة، وإمّا حذفُ صفوف nav_items ذاتِ المقاطع وتحويلُ الأقسام إلى تبويباتٍ معنونةٍ داخل الشاشات الأمّ بروابطَ عميقةٍ حقيقية.</t>
  </si>
  <si>
    <t xml:space="preserve">لا يوجد في سايدبار الدور 2 رابطان يشيران إلى الملف نفسِه؛ وكلُّ شاشةٍ معلَنةٍ لها ملفٌّ وعنوانٌ مطابق.</t>
  </si>
  <si>
    <t xml:space="preserve">الملفاتُ Suppliers/supplier_perf.php و quota_ledger.php و supplier_equip.php غيرُ موجودةٍ على القرص، وروابطُها مراسٍ على supplier_capacity.php و shares_coverage.php و equipment_plan.php، و«أداء الموردين وجاهزيتهم» مسجَّلٌ مرتين للدور 2 (مرحلتا 5 و8).</t>
  </si>
  <si>
    <t xml:space="preserve">INJ-0155</t>
  </si>
  <si>
    <t xml:space="preserve">INJAZ-FRD-01 §١٢-٥ · الأثرُ العابر — التسويةُ وطلبُ الدفع</t>
  </si>
  <si>
    <t xml:space="preserve">تسويات ومستحقات الموردين</t>
  </si>
  <si>
    <t xml:space="preserve">http://localhost/ems/Suppliers/settlements.php</t>
  </si>
  <si>
    <t xml:space="preserve">سادسًا: التسوية والدفع</t>
  </si>
  <si>
    <t xml:space="preserve">ما تملكه إدارةُ الموردين ينتهي بـ«تسويتِه وكشفِه · طلبِ الدفع» وما لا تملكه «الدفعَ نفسَه · القيدَ» — والأثرُ ينتقل بالأحداث إلى المالية.</t>
  </si>
  <si>
    <t xml:space="preserve">`SettlementService::approve()` منضبطٌ فعلًا (فصلُ يدين + منعُ الاعتراضات المفتوحة + منعُ بندٍ بلا معادلٍ موحَّد) ويستدعي `EventPublisher::publish()` — لكن إنشاءَ الذمّة الدائنة يقع بكتابةٍ مباشرةٍ من خدمة العقود في `SupplierClosureService::235` (`gate-&gt;insert('fin_dues')`) لا بمستهلكٍ للحدث؛ وبوابةُ وثائق المورد التي تمنع توليدَ طلبِ دفعٍ إلى حسابٍ غيرِ موثَّق تعمل بوضع `monitor` افتراضيًّا (تقيس وتُعلن وتمرّ).</t>
  </si>
  <si>
    <t xml:space="preserve">تُعتمد تسويةٌ ويُنشأ استحقاقٌ للمورد على حسابٍ بنكيٍّ غيرِ موثَّقٍ (وهو أصلًا نصٌّ في مخزن JSON بلا رابطٍ بالمورد) لأن البوابةَ في وضع المراقبة؛ والمالية تتلقى الذمّةَ بكتابةٍ مباشرةٍ من وحدةٍ أخرى لا بحدثٍ تستهلكه.</t>
  </si>
  <si>
    <t xml:space="preserve">بوابةُ وثائقٍ خلف علَمِ بيئةٍ افتراضُه `monitor`، وأثرٌ ماليٌّ ينشأ بنداءٍ مباشرٍ لأن ناقلَ الأحداث معطَّل.</t>
  </si>
  <si>
    <t xml:space="preserve">app/Services/Settlement/SettlementService.php:513; :523-526; :550-558; app/Services/Supplier/SupplierDocumentService.php:33-38; app/Services/Contract/SupplierClosureService.php:235</t>
  </si>
  <si>
    <t xml:space="preserve">١) أنشئ موردًا بلا وثائقَ سارية. ٢) ولّد له تسويةً واعتمدها ⇒ تُقبل مع إعلانٍ فقط. ٣) افحص fin_dues ⇒ صفٌّ كُتب من خدمة العقود مباشرة.</t>
  </si>
  <si>
    <t xml:space="preserve">اضبط `EMS_SUPPLIER_DOC_GATE=enforce` في `.env` و`.env.example` وغيّر الافتراضَ في `app/Services/Supplier/SupplierDocumentService.php:36`؛ وحوّل إنشاءَ `fin_dues` في `SupplierClosureService:235` إلى نشرِ حدثٍ يستهلكه مستهلكٌ في وحدة المالية.</t>
  </si>
  <si>
    <t xml:space="preserve">اعتمادُ تسويةٍ لموردٍ بوثائقَ ناقصةٍ يُرفض ويسمّي الناقص؛ والذمّةُ الدائنةُ تُنشأ من مستهلكٍ في وحدة المالية بمفتاح عطالة.</t>
  </si>
  <si>
    <t xml:space="preserve">SupplierClosureService:235 يكتب fin_dues مباشرةً وبوابةُ وثائق المورد في monitor فعلًا، لكنه إفراجُ ضمانٍ بعينه وSettlementService::approve منضبطةٌ بفصل اليدين والحدث — والوضعُ monitor قرارٌ موثَّقٌ في docs/specs/M-19_supplier_documents.md.</t>
  </si>
  <si>
    <t xml:space="preserve">INJ-0156</t>
  </si>
  <si>
    <t xml:space="preserve">INJAZ-FRD-01 §١٢-٣ · المرحلة ٥ — اعتمادُ وحداته</t>
  </si>
  <si>
    <t xml:space="preserve">ما ينتظر اعتمادي (اعتماد وحدات المورد)</t>
  </si>
  <si>
    <t xml:space="preserve">مخرَجُ المرحلة الخامسة «محضرُ اعتماد حصة» باعتمادِ مدير الموردين — ولكلِّ مرحلةٍ مستندٌ يُنتَج.</t>
  </si>
  <si>
    <t xml:space="preserve">مجموعةُ «خامسًا: اعتماد وحداته» تشير إلى `Approvals/hours_approval.php` — شاشةُ اعتماد الساعات المشتركة — بتسمية «ما ينتظر اعتمادي — بقرار المالك»؛ والاعتمادُ فيها لا ينتج «محضرَ اعتماد حصة» ولا مستندًا مؤرَّخًا بمعتمِدٍ وصفة، بل صفوفًا في `timesheet_approvals` لكلِّ سطرٍ على حدة. ولا شاشةَ محضرٍ في الوحدة.</t>
  </si>
  <si>
    <t xml:space="preserve">مرحلةٌ معلَنةٌ بلا مستندِها: لا يمكن إخراجُ محضر اعتماد حصةٍ لموردٍ عن فترةٍ لتوقيعه أو إرساله، ولا إثباتُ أن المورد قَبِل الكميةَ المعتمدة — وهو أساسُ أيِّ نزاعٍ لاحق على التسوية.</t>
  </si>
  <si>
    <t xml:space="preserve">تنفيذُ الاعتماد بوصفه فعلًا على أسطر الساعات لا بوصفه مستندًا مجمَّعًا للفترة والمورد.</t>
  </si>
  <si>
    <t xml:space="preserve">database/schema/seed_reference.sql: nav_items 36 (group 3857 · stage 5); Approvals/hours_approval_handler.php:164-168</t>
  </si>
  <si>
    <t xml:space="preserve">١) ادخل بدور 2 واضغط «ما ينتظر اعتمادي» ⇒ شاشةُ اعتماد ساعاتٍ عامة. ٢) اعتمد أسطرَ موردٍ لفترة. ٣) ابحث عن محضرِ اعتماد حصةٍ قابلٍ للطباعة ⇒ لا يوجد.</t>
  </si>
  <si>
    <t xml:space="preserve">أضِف `Suppliers/quota_approval_minutes.php` يجمّع الأسطرَ المعتمدةَ لموردٍ وفترةٍ في مستندٍ واحدٍ برقمٍ وتاريخٍ ومعتمِدٍ بصفته وإجماليّاته، ويُنشر عند إصداره `supplier.quota.approved` ليقرأه `SettlementService::generate`.</t>
  </si>
  <si>
    <t xml:space="preserve">اعتمادُ أسطر موردٍ لفترةٍ يُنتج محضرًا واحدًا برقمٍ وتاريخٍ ومعتمِدٍ قابلًا للطباعة والتصدير.</t>
  </si>
  <si>
    <t xml:space="preserve">مجموعةُ «خامسًا: اعتماد وحداته» للدور 2 تنتهي إلى Approvals/hours_approval.php، ولا ملفَّ ولا جدولَ لمحضرِ اعتمادِ حصةٍ في المستودع كما تنصُّ الوثيقة (FRD §المرحلة 5).</t>
  </si>
  <si>
    <t xml:space="preserve">INJ-0157</t>
  </si>
  <si>
    <t xml:space="preserve">٧-٣ · التصديرُ والاستيرادُ والمناظر — شاشاتُ الموردين</t>
  </si>
  <si>
    <t xml:space="preserve">جداول إدارة الموردين</t>
  </si>
  <si>
    <t xml:space="preserve">«تصديرٌ يُخرج العرضَ المختارَ أو جميعَ الأعمدةِ المسموحةِ بحسب الصلاحية»، والشاشاتُ الطويلةُ تحتاج مناظرَ وزرَّ إظهارِ كلِّ الأعمدة إلزامًا.</t>
  </si>
  <si>
    <t xml:space="preserve">من سبعةَ عشرَ جدولًا في وحدة الموردين، جدولان فقط فيهما تصديرُ الإطار الموحَّد (`suppliers.php` و`supplierscontracts.php`) و15 بلا تصدير — ومنها التسوياتُ والسلفياتُ والحساباتُ البنكيةُ والتقييمُ والتصفيةُ وبنودُ العقد. وصفرُ استيرادٍ في الوحدة كلِّها. وصفرُ منتقي منظر. و`supplier_bank.php` بـ28 عمودًا و`settlements.php` بأعمدةٍ كثيرةٍ بلا زرِّ إظهار كل الأعمدة.</t>
  </si>
  <si>
    <t xml:space="preserve">لا يستطيع مديرُ الموردين إخراجَ كشفِ تسوياتٍ أو سلفياتٍ للمالية أو للمورد نفسِه؛ ولا يستطيع إدخالَ قائمةِ موردين أو حساباتٍ بنكيةٍ دفعةً واحدةً عند التأسيس.</t>
  </si>
  <si>
    <t xml:space="preserve">تسجيلُ كيانين فقط في إطار التصدير، وجداولُ الوحدة مكتوبةٌ يدويًّا خارج عُدّة الشاشة الموحَّدة.</t>
  </si>
  <si>
    <t xml:space="preserve">Suppliers/settlements.php:1; Suppliers/supplier_advances.php:1; Suppliers/supplier_bank.php:29-57; includes/excel_ui.php:45-61; app/Services/Excel/EntityDefinition.php:100-114; includes/u13_screen_kit.php:317-319</t>
  </si>
  <si>
    <t xml:space="preserve">١) افتح Suppliers/settlements.php ⇒ لا زرَّ تصديرٍ ولا استيراد. ٢) افتح Suppliers/supplier_bank.php ⇒ 28 عمودًا بلا زرِّ إظهار كل الأعمدة ولا منتقي منظر.</t>
  </si>
  <si>
    <t xml:space="preserve">سجّل كياناتِ settlements · settlement_lines · supplier_advances · scr_supplier_bank في `app/Services/Excel/`، وأضِف `ems_excel_header_actions()` إلى رؤوس الشاشات، وحوّل الجداولَ الطويلةَ إلى `includes/u13_screen_kit.php` لتحصل على المناظر وزرِّ إظهار كل الأعمدة.</t>
  </si>
  <si>
    <t xml:space="preserve">فريق الواجهة — وحدة الموردين</t>
  </si>
  <si>
    <t xml:space="preserve">كلُّ جدولٍ يتجاوز 20 عمودًا في وحدة الموردين فيه منتقي منظرٍ وزرُّ «إظهار كل الأعمدة»، والتسوياتُ والسلفياتُ قابلةٌ للتصدير بحسب الصلاحية.</t>
  </si>
  <si>
    <t xml:space="preserve">التحققُ يطابق: suppliers.php وsupplierscontracts.php وحدَهما تستدعيان إطارَ التصدير، وصفرُ استعمالٍ لـu13_screen_kit في مجلد الموردين، وصفرُ استيراد.</t>
  </si>
  <si>
    <t xml:space="preserve">INJ-0158</t>
  </si>
  <si>
    <t xml:space="preserve">VA-03 · عقدُ بطاقةِ المؤشرِ السباعي — UI-DEF-12</t>
  </si>
  <si>
    <t xml:space="preserve">بطاقة المورد</t>
  </si>
  <si>
    <t xml:space="preserve">http://localhost/ems/Suppliers/supplier_profile.php</t>
  </si>
  <si>
    <t xml:space="preserve">بطاقةُ المؤشر لا تُقبل بلا عقدها السباعي: القيمةُ والوحدةُ والفترةُ والمقارنةُ والحالةُ والمصدرُ والتعمّق؛ والحقولُ الحساسةُ تُحجب من الخادم.</t>
  </si>
  <si>
    <t xml:space="preserve">ستُّ بطاقاتٍ في `Suppliers/supplier_profile.php` تعرض رقمًا عاريًا وتسميةً فقط — بلا وحدةٍ ولا فترةٍ ولا مقارنةٍ ولا حالةٍ ولا مصدرٍ ولا رابطِ تعمّق. و`ems_shell_axes()` مبذورٌ في السطر 124 لكن لا شيءَ في الصفحة يقرأ محورَ الصلاحية، فالمخوَّلُ جزئيًّا يرى ما يراه الكامل رغم أن سببَ إعادة بنائها المعلَن «حقولٌ حساسة». والجدولان يسقطان إلى نصوص DataTables الافتراضية عند الفراغ.</t>
  </si>
  <si>
    <t xml:space="preserve">شاشةُ الملفِّ التي يفتحها مديرُ الموردين أولًا تعرض ستةَ أرقامٍ لا يعرف المستخدمُ وحدتَها ولا فترتَها ولا كيف يتعمق فيها؛ والغرضُ المعلَن من الشاشة (حجبُ الحقول الحساسة في الواجهة) غيرُ منفَّذٍ إطلاقًا.</t>
  </si>
  <si>
    <t xml:space="preserve">بطاقاتٌ مكتوبةٌ يدويًّا بأنماطٍ موضعيةٍ بدل مكوّن `.ems-kpi-card`، وبذرُ محاور الغلاف بلا قارئٍ لها في الشاشة.</t>
  </si>
  <si>
    <t xml:space="preserve">Suppliers/supplier_profile.php:159-165; :122; :29; main/role_board.php:109-113</t>
  </si>
  <si>
    <t xml:space="preserve">١) افتح Suppliers/supplier_profile.php?id=1. ٢) اقرأ البطاقاتِ الست ⇒ رقمٌ وتسميةٌ فقط بلا وحدةٍ ولا فترةٍ ولا رابط. ٣) افتحها بحسابٍ مخوَّلٍ جزئيًّا ⇒ المحتوى نفسُه.</t>
  </si>
  <si>
    <t xml:space="preserve">بدّل البطاقاتِ الستَّ إلى مكوّن `.ems-kpi-card` بعقده السباعي (كما في `main/role_board.php:109-113`)، واقرأ محورَ الصلاحية المبذورَ من `ems_shell_axes()` لحجب الحقول الحساسة خادميًّا، واستبدل نصوصَ DataTables الافتراضيةَ بحالةٍ فارغةٍ مُعلَنة.</t>
  </si>
  <si>
    <t xml:space="preserve">كلُّ بطاقةٍ في ملف المورد تحمل وحدةً وفترةً وحالةً ومصدرًا ورابطَ تعمّق؛ والمخوَّلُ جزئيًّا لا يجد الحقولَ الحساسةَ في استجابة الخادم.</t>
  </si>
  <si>
    <t xml:space="preserve">تحقّقت: ست بطاقاتٍ ترسم رقمًا عاريًا وتسميةً بلا وحدةٍ ولا فترةٍ ولا مقارنةٍ ولا تعمّق، خلافًا لـUI-07/VA-03 (ux_readable.md:594, 848)، و`ems_shell_axes(null)` مبذورةٌ بلا محورِ صلاحية.</t>
  </si>
  <si>
    <t xml:space="preserve">04_UXR</t>
  </si>
  <si>
    <t xml:space="preserve">INJ-0159</t>
  </si>
  <si>
    <t xml:space="preserve">TABLE 37 · الحقولُ الحساسة — الحسابُ البنكيُّ للمورد</t>
  </si>
  <si>
    <t xml:space="preserve">«الأجورُ والحسابات (الراتبُ ومكوّناتُه · الحسابُ البنكي) محجوبٌ إلا للموارد والماليةِ بمنحٍ فردي»، ويُحجب من الخادم ويُسجَّل كلُّ اطّلاع.</t>
  </si>
  <si>
    <t xml:space="preserve">الكتابةُ (POST) غيرُ محروسةٍ لأنها تسبق الحارسَ المركزيَّ؛ أمّا العرضُ فمحروسٌ بـcan_view من insidebar، والحقولُ الحساسةُ تُعرض بلا تقنيعٍ ولا سجلِّ اطّلاعٍ لمن يملك الصلاحية. — [مُصحَّح بعد التحقق] الصياغة الأولى: الشاشةُ لا تحتوي على أيِّ فحصِ صلاحيةٍ خاصٍّ بها (لا `check_page_permissions` ولا استعلامَ role_permissions): حارسُها الوحيدُ `!$is_super_admin &amp;&amp; $company_id &lt;= 0`، والحارسُ المركزيُّ يأتي مع `inside</t>
  </si>
  <si>
    <t xml:space="preserve">أيُّ مستخدمٍ مسجَّلِ الدخول في الكيان يقرأ ويُضيف حساباتِ الموردين البنكية (المستفيد · رقم الحساب · IBAN · البنك) — وهي وجهةُ الدفع. وتغييرُ الحساب البنكيّ للمورد أشهرُ طرق الاحتيال المالي، ولا يترك أثرًا تدقيقيًّا ولا يحتاج اعتمادًا.</t>
  </si>
  <si>
    <t xml:space="preserve">شاشةٌ مولَّدةٌ من دفعة CMP-03 بقالبٍ يفحص الكيانَ فقط، ولم تُصنَّف حقولُها حساسةً في `scr_sensitive_fields` ولم يُزرع فيها حارسُ الوحدة.</t>
  </si>
  <si>
    <t xml:space="preserve">Suppliers/supplier_bank.php:23; :84; :104; :150; insidebar.php:12-14; includes/permissions_helper.php:770</t>
  </si>
  <si>
    <t xml:space="preserve">١) أنشئ مستخدمًا في الكيان بلا أيِّ منحة. ٢) افتح Suppliers/supplier_bank.php ⇒ تظهر أرقامُ الحسابات وIBAN كاملة. ٣) أرسل POST بـ cmp03_action=add ⇒ يُضاف حسابٌ بنكيٌّ جديدٌ للمورد.</t>
  </si>
  <si>
    <t xml:space="preserve">أضِف في رأس `Suppliers/supplier_bank.php` كتلةَ `check_page_permissions()` قبل السطر 83 مع منعِ POST بلا can_add، وصنّف الحقول (account_no · IBAN · beneficiary) في `scr_sensitive_fields`، ومرّر الصفوفَ عبر `SensitiveFieldGuard::maskPartial()` واكتب `ems_log_sensitive_read()` عند كل عرض، وأضِف دورةَ تحقّقٍ واعتمادٍ قبل استعمال الحساب في الدفع.</t>
  </si>
  <si>
    <t xml:space="preserve">حسابٌ بلا منحةٍ لا يرى الشاشةَ ولا يستطيع الإضافة؛ والمخوَّلُ يرى IBAN مقنَّعًا إلا بمنحةٍ فردية؛ وكلُّ اطّلاعٍ يكتب صفًّا في سجل الاطّلاع.</t>
  </si>
  <si>
    <t xml:space="preserve">صحيحٌ أن الشاشة بلا فحصٍ خاصٍّ وأن معالجَ الحفظ (سطر 84) يسبق insidebar (سطر 150)، لكنّ الفاحصَ أغفل أن `Suppliers/supplier_bank.php` مسجَّلةٌ في modules وأن insidebar.php:12-14 ينفّذ `enforce_current_page_view_permission` الذي يحوّل ويُنهي التنفيذ قبل طباعة الجدول — فلا يقع تسريبُ IBAN لمن لا يملك can_view؛ والباقي عيبان أصغر: إدراجٌ غيرُ محروسٍ في مخزنٍ عرضيٍّ (cmp03_screen_rows) بلا مستهلك، وغيابُ التقنيع وسجلِّ الاطّلاع لمن يملك العرض.</t>
  </si>
  <si>
    <t xml:space="preserve">INJ-0160</t>
  </si>
  <si>
    <t xml:space="preserve">PR-05 · الحارسُ في الخادم — والفعلُ الحاذفُ لا يكون بـGET</t>
  </si>
  <si>
    <t xml:space="preserve">سجل الموردين</t>
  </si>
  <si>
    <t xml:space="preserve">http://localhost/ems/Suppliers/suppliers.php</t>
  </si>
  <si>
    <t xml:space="preserve">كلُّ طلبٍ يغيّر الحالةَ يُحرَس في الخادمِ ويُثبت أصلَه؛ والفعلُ ذو الأثرِ لا يقع بطلبِ قراءة.</t>
  </si>
  <si>
    <t xml:space="preserve">حذفُ المورد ينفَّذ بطلبِ GET: `?delete_id=N` — يفحص `can_delete` وارتباطَ المعدات والعقود ثم يُحدِّث `is_deleted=1` و`status=0`؛ ولا رمزَ حمايةٍ إطلاقًا (صفرُ مطابقةٍ لكلمة csrf في الملف)، بخلاف الشاشة النظيرة `Clients/clients.php` التي تفحص رمزًا على مسار الحذف بـGET.</t>
  </si>
  <si>
    <t xml:space="preserve">رابطٌ أو صورةٌ في بريدٍ أو صفحةٍ خارجية تحذف موردًا من سجل المستخدم المسجَّل — وهي عمليةٌ تُخفي المورد وعقودَه من كل الشاشات. والحذفُ بـGET قابلٌ أيضًا لأن ينفّذه زاحفُ متصفحٍ أو استرجاعٌ مسبق.</t>
  </si>
  <si>
    <t xml:space="preserve">مسارُ حذفٍ قديمٌ بـGET بقي بلا رمزِ حماية، بينما زُرع الرمزُ في الشاشة النظيرة في وحدة العملاء.</t>
  </si>
  <si>
    <t xml:space="preserve">Suppliers/suppliers.php:155-163; :189-198; Clients/clients.php:367-375; includes/security.php:406; :447-451</t>
  </si>
  <si>
    <t xml:space="preserve">١) سجّل الدخولَ بحسابٍ يملك can_delete على سجل الموردين. ٢) من نطاقٍ آخر افتح صفحةً فيها `&lt;img src="http://localhost/ems/Suppliers/suppliers.php?delete_id=5"&gt;`. ٣) افحص الصفَّ ⇒ is_deleted=1.</t>
  </si>
  <si>
    <t xml:space="preserve">حوّل الحذفَ في `Suppliers/suppliers.php` إلى POST مع `verify_csrf_token($_POST['csrf_token'])` على نمط `Clients/clients.php:233-234`، أو — كحدٍّ أدنى — افحص رمزًا في `$_GET['csrf_token']` كما في `Clients/clients.php:367-375`.</t>
  </si>
  <si>
    <t xml:space="preserve">طلبُ GET إلى `?delete_id=N` بلا رمزٍ صالحٍ لا يحذف شيئًا؛ والحذفُ من الشاشة نفسِها ينجح.</t>
  </si>
  <si>
    <t xml:space="preserve">الحذفُ فعلًا بـGET ?delete_id بلا أيِّ رمزِ حماية (صفرُ مطابقةٍ لـcsrf في الملف)، والحارسُ المركزيُّ ems_enforce_csrf_protection لا يعمل إلا على POST/PUT/PATCH/DELETE ومسارُ /Suppliers/ خارج CSRF_ENFORCE_PATHS الحيّة. لكن الأثرَ محصورٌ بحذفٍ ناعمٍ لموردٍ بلا معداتٍ ولا عقود ويشترط can_delete ⇒ P2.</t>
  </si>
  <si>
    <t xml:space="preserve">INJ-0161</t>
  </si>
  <si>
    <t xml:space="preserve">SEC-015-ب · الزوجُ ② إنشاءُ المورد وتحديثُ حسابه ⟂ اعتمادُ دفعِه</t>
  </si>
  <si>
    <t xml:space="preserve">سجل الموردين / حسابات الموردين البنكية / تسويات ومستحقات الموردين</t>
  </si>
  <si>
    <t xml:space="preserve">زوجُ فصلِ الواجبات الثاني: «supplier.create + supplier.bank.update ⟂ supplier.payment.approve» — لا يجمع حسابٌ واحدٌ إنشاءَ المورد وتحديثَ حسابه واعتمادَ دفعِه.</t>
  </si>
  <si>
    <t xml:space="preserve">الزوجُ مصنَّفٌ في خريطة الفصل بدرجة `approx`، وحارسُ الفصل يعامل هذه الدرجةَ بتحذيرٍ فقط: يسجّل `SOD_GRANT_WARN` ولا يضبط رسالةَ خطأٍ فيمضي الحفظُ. والفحصُ يقع عند منحِ صلاحيةِ الدور فقط لا عند المعاملة؛ ودورٌ يحمل الرايتين من البذرة لا يُعاد فحصُه إطلاقًا. و`SegregationOfDutiesGuard` الذي يقيّم الفصلَ عند حلِّ الصلاحية بلا مستدعٍ إنتاجي.</t>
  </si>
  <si>
    <t xml:space="preserve">يستطيع مستخدمٌ واحدٌ إنشاءَ موردٍ وهميٍّ وإضافةَ حسابٍ بنكيٍّ له واعتمادَ تسويتِه — أخطرُ سيناريو احتيالٍ تُصمَّم قواعدُ الفصل لمنعه — والنظامُ يكتفي بتحذيرٍ في السجل عند المنح.</t>
  </si>
  <si>
    <t xml:space="preserve">تدرُّجٌ في الإنفاذ (exact يحجب · approx يحذّر · absent يُتخطى) لم يُرفَع بعد، وقياسٌ عند المنح لا عند المعاملة.</t>
  </si>
  <si>
    <t xml:space="preserve">includes/sod_map.php:27-33; includes/sod_guard.php:69; :80-81; Settings/role_permissions.php:52-55; :65-73</t>
  </si>
  <si>
    <t xml:space="preserve">١) امنح دورًا واحدًا صلاحياتِ سجل الموردين والحسابات البنكية والتسويات. ٢) لاحظ ظهورَ تحذيرٍ ونجاحَ الحفظ. ٣) بذلك الدور: أنشئ موردًا ← أضِف حسابًا بنكيًّا ← اعتمد تسويته.</t>
  </si>
  <si>
    <t xml:space="preserve">ارفع درجةَ `sod_supplier_cycle` في `includes/sod_map.php` إلى `exact` ليحجبها `includes/sod_guard.php:77`، واستدعِ `SegregationOfDutiesGuard` عند المعاملة في `Suppliers/settlements.php` و`Finance/payments_fin.php` لا عند المنح فقط، وأضِف مسحًا دوريًّا للأدوار الحاملة للزوج من البذرة.</t>
  </si>
  <si>
    <t xml:space="preserve">محاولةُ منح دورٍ الرايات الثلاثَ تُرفض بحجبٍ لا بتحذير؛ ومستخدمٌ أنشأ الموردَ أو عدّل حسابَه لا يستطيع اعتمادَ تسويته.</t>
  </si>
  <si>
    <t xml:space="preserve">الزوجُ مصنَّفٌ approx فيمضي بتحذيرٍ فقط، والفحصُ عند المنح لا عند المعاملة، وSegregationOfDutiesGuard بلا مستدعٍ إنتاجي — لكنَّ «تُبلَّغ ولا تُمنع» قرارُ مالكٍ موثَّقٌ في الشيفرة فيُخفَّض الوزن.</t>
  </si>
  <si>
    <t xml:space="preserve">INJ-0162</t>
  </si>
  <si>
    <t xml:space="preserve">TABLE 53 · سجلُّ التدقيق — أفعالُ وحدة الموردين</t>
  </si>
  <si>
    <t xml:space="preserve">سجل الموردين / عقود الموردين / الحسابات البنكية</t>
  </si>
  <si>
    <t xml:space="preserve">كلُّ فعلٍ يغيّر الحالةَ يكتب سجلَّ تدقيقٍ بالفاعل والوقت والقيمة قبل وبعد.</t>
  </si>
  <si>
    <t xml:space="preserve">SupplierDocumentService::verifyBank يكتب صفَّ تدقيقٍ بقيمتَي قبل/بعد لتغيير حساب المورد (السطر 198-200)، ووسيطُ activity_logs يسجّل الطلبَ بلا قيم — فالنقصُ في قيم قبل/بعد لا في انعدام الأثر. — [مُصحَّح بعد التحقق] الصياغة الأولى: أربعةُ معالجاتٍ في وحدة الموردين تكتب في القاعدة بلا أيِّ سجلِّ تدقيقٍ على أيِّ مسار: `Suppliers/suppliers.php` (إنشاء/تعديل/حذف مورد) و`Suppliers/supplierscontracts.php` و`Suppliers/supplier_contract</t>
  </si>
  <si>
    <t xml:space="preserve">أخطرُ تغييرٍ في المنظومة من ناحية الاحتيال — تعديلُ الحساب البنكيّ للمورد — يقع بلا أيِّ أثرٍ يُثبت من غيّره ومن أيِّ قيمةٍ إلى أيِّ قيمة؛ وكذلك حذفُ مورد وإنهاءُ عقده.</t>
  </si>
  <si>
    <t xml:space="preserve">معالجاتٌ قديمةٌ لم تُزوَّد باستدعاء `ems_audit_change()`، والاعتمادُ على وسيط تسجيل الطلبات الذي لا يحمل القيم.</t>
  </si>
  <si>
    <t xml:space="preserve">Suppliers/suppliers.php:154-199; Suppliers/supplier_bank.php:83-100; app/Services/Supplier/SupplierDocumentService.php:169-200; includes/audit_trail.php:20-40</t>
  </si>
  <si>
    <t xml:space="preserve">١) عدّل حسابًا بنكيًّا لمورد. ٢) ابحث في سجل التدقيق عن القيمة قبل وبعد ⇒ لا يوجد.</t>
  </si>
  <si>
    <t xml:space="preserve">أضِف `ems_audit_change()` بعد كلِّ كتابةٍ ناجحةٍ في الملفات الأربعة داخل المعاملة نفسِها، وامنع تعديلَ الحساب البنكي بلا سببٍ ومستندٍ يُحفظان مع صفِّ التدقيق.</t>
  </si>
  <si>
    <t xml:space="preserve">كلُّ تعديلٍ على مورد أو عقده أو حسابه البنكي ينتج صفَّ تدقيقٍ بالحقول المتغيرة وقيمتيها والفاعل والوقت.</t>
  </si>
  <si>
    <t xml:space="preserve">صفرُ استدعاءٍ لـems_audit_change في مجلد Suppliers/ فعلًا (حذفُ المورد في suppliers.php:189-198 وإدراجُ الحساب في supplier_bank.php:92 بلا قيم قبل/بعد)، لكنّ أخطرَ ما ادُّعي — تعديلُ الحساب البنكي — مسجَّلٌ فعلًا.</t>
  </si>
  <si>
    <t xml:space="preserve">INJ-0163</t>
  </si>
  <si>
    <t xml:space="preserve">PR-01 · مصدرُ الحقيقة الواحد</t>
  </si>
  <si>
    <t xml:space="preserve">الأعيان المموَّلة</t>
  </si>
  <si>
    <t xml:space="preserve">http://localhost/ems/Equipments/fin_assets.php</t>
  </si>
  <si>
    <t xml:space="preserve">سادسًا: التمويل والملكية</t>
  </si>
  <si>
    <t xml:space="preserve">«لكل بيانٍ موضعٌ واحدٌ يُنشأ فيه ويُعدَّل» — وشاشةُ «الأعيان المموَّلة» تربط الأصلَ بعملية تمويله وحصصه.</t>
  </si>
  <si>
    <t xml:space="preserve">الشاشةُ مخزنٌ موازٍ معلَنٌ في تعليقِ رأسِ الملف (دَينُ الموجة ٢)؛ لا محرّكَ يقرؤه، لكنه لا يعطّل مسارَ التمويل القائم (financing_operations عبر FinancingService::createOperation). — [مُصحَّح بعد التحقق] الصياغة الأولى: الشاشةُ تكتب وتقرأ من مخزنٍ موازٍ scr_fin_assets عبر cmp03_store_insert/cmp03_store_rows، وليست موصولةً بجداول المجال (financing_operations · asset_ownership_shares · equipments). التعليقُ في رأس المل</t>
  </si>
  <si>
    <t xml:space="preserve">«الأعيانُ المموَّلة» — وهي حلقةُ الوصل بين الأسطول والتمويل — تُدخَل في جدولٍ لا يقرؤه أحد: لا محرّكُ الحصص ولا محرّكُ الإهلاك ولا شاشةُ عملية التمويل. فالبيانُ يُدخَل ويُعرض ويُصدَّر ولا يُنتج أثرًا.</t>
  </si>
  <si>
    <t xml:space="preserve">موجةُ CMP-03 ولّدت ٤٢ شاشةً على مخزنٍ بينيٍّ موحَّد (scr_*) وأُطلقت قبل ربطِ كلٍّ منها بجدول مجالها.</t>
  </si>
  <si>
    <t xml:space="preserve">Equipments/fin_assets.php:5-8,28,30; includes/cmp03_registry.php:146-148</t>
  </si>
  <si>
    <t xml:space="preserve">١) بدور ٣ افتح «الأعيان المموَّلة» وأضِف عينًا مموَّلةً مربوطةً بعملية تمويل. ٢) افتح Financing/operation_profile.php للعملية نفسِها → العينُ غير ظاهرة. ٣) افحص القاعدة: الصفُّ في scr_fin_assets ولا صفَّ في asset_ownership_shares.</t>
  </si>
  <si>
    <t xml:space="preserve">أنشئ محوّلًا في includes/cmp03_registry.php يوجّه 'fin_assets.php' إلى جدول المجال الحقيقيِّ (asset_ownership_shares/financing_assets) بدل scr_fin_assets، أو استبدل الشاشةَ بواجهةٍ تستدعي FinancingService::applyShares.</t>
  </si>
  <si>
    <t xml:space="preserve">إضافةُ عينٍ مموَّلةٍ من الشاشة تظهر فورًا في ملف العملية وفي حصص الملكية، وصفرُ صفٍّ جديدٍ في scr_fin_assets.</t>
  </si>
  <si>
    <t xml:space="preserve">صحيحٌ أن fin_assets.php:28-30 يكتب/يقرأ scr_fin_assets عبر cmp03_store_insert/rows (السجل includes/cmp03_registry.php:146-148)، وأن بحثَ scr_fin_assets لا يُرجع قارئًا خارج الشاشة. لكنه دَينٌ تقنيٌّ معلَنٌ في رأس الملف وفي docs/CMP03_FOLLOWUP_SOURCES_ar.md، ولا يُفقد مصدرَ حقيقةٍ قائمًا ولا يُنتج أثرًا ماليًّا غيرَ مأذون — شاشةُ عرضٍ عاطلةٌ لا حاجبُ إصدار.</t>
  </si>
  <si>
    <t xml:space="preserve">INJ-0164</t>
  </si>
  <si>
    <t xml:space="preserve">INJAZ-FRD-01 §٨-٣ · مراحلُ دورةِ العملِ ومستنداتُها (المرحلة ٢)</t>
  </si>
  <si>
    <t xml:space="preserve">جاهزية المعدات للتشغيل</t>
  </si>
  <si>
    <t xml:space="preserve">ثانيًا: الجاهزية والتفعيل</t>
  </si>
  <si>
    <t xml:space="preserve">«لكل مرحلةٍ مستندٌ يُنتَج ومعتمِدٌ يشهد — ولا مرحلةَ بلا مخرَج»؛ ومرحلةُ «ثانيًا: الجاهزية والتفعيل» مستندُها «شهادة جاهزية فنية» ومعتمِدُها «الصيانة»، وشاشاتُها ٤.</t>
  </si>
  <si>
    <t xml:space="preserve">الشاشةُ الوحيدةُ في هذه المرحلة عرضٌ محضٌ: $header_actions = array() (السطر 39) ولا زرَّ ولا نموذجَ ولا معالجَ POST في الملف كلِّه؛ لا تُصدَر شهادةُ جاهزيةٍ ولا يُختم معتمِدٌ ولا يوجد جدولٌ لشهادات الجاهزية. والجاهزيةُ٪ محسوبةٌ من OperationsBoardService بلا مستندٍ مقابل.</t>
  </si>
  <si>
    <t xml:space="preserve">مرحلةٌ كاملةٌ من دورة الأسطول بلا مخرَجٍ مستندي: تُشغَّل معداتٌ بلا شهادةِ جاهزيةٍ موقَّعةٍ من الصيانة، فينقطع أثرُ «تشخيصُ العطل × اعتمادُ الجاهزية» (زوجُ فصل الواجبات الثامن) من أصله.</t>
  </si>
  <si>
    <t xml:space="preserve">نُفِّذت اللوحةُ الحيةُ (العرض) ولم يُنفَّذ المستندُ (شهادةُ الجاهزية) ولا آلةُ حالته.</t>
  </si>
  <si>
    <t xml:space="preserve">Fleet/readiness_board.php:24; :39; :48; database/schema/seed_reference.sql (nav_items 6297-6300)</t>
  </si>
  <si>
    <t xml:space="preserve">١) بدور ٣ افتح لوحةَ الجاهزية. ٢) ابحث عن زرِّ «إصدار شهادة جاهزية» أو «اعتماد الجاهزية» → لا يوجد. ٣) افحص الملفَّ: لا وجودَ لأي $_POST ولا لأي insert.</t>
  </si>
  <si>
    <t xml:space="preserve">أضِف جدول fleet_readiness_certificates وشاشةَ إصدارٍ/اعتمادٍ (Fleet/readiness_cert.php) بمعالجٍ يفرض معتمِدًا من الصيانة ويمنع أن يكون هو مشخّصَ العطل، وانشر الحدث fleet.readiness.certified؛ واربط زرَّ الإصدار من خلية اللوحة في readiness_board.php:71.</t>
  </si>
  <si>
    <t xml:space="preserve">إصدارُ شهادةِ جاهزيةٍ لمعدةٍ يُنشئ صفًّا بمعتمِدٍ وتاريخ، ويُرفض إصدارُها ممن سجّل تشخيصَ العطل نفسِه برمز 403.</t>
  </si>
  <si>
    <t xml:space="preserve">اللوحةُ عرضٌ محضٌ فعلًا ($header_actions فارغةٌ والملفُّ 89 سطرًا بلا POST) ولا جدولَ شهاداتِ جاهزية، لكن مرحلةَ «الجاهزية والتفعيل» فيها أربعةُ صفوفِ تنقّلٍ لا واحد — وثلاثةٌ منها تُحجب لغياب منحِ الدور 3 على وحدات الصيانة.</t>
  </si>
  <si>
    <t xml:space="preserve">INJ-0165</t>
  </si>
  <si>
    <t xml:space="preserve">INJAZ-FRD-01 §٨-٤ · شاشاتُها وأفعالُها · CORE-01 ٤-٢/١٠ لا زرَّ بلا أثرٍ ظاهر</t>
  </si>
  <si>
    <t xml:space="preserve">اعتماد كرت المعدة</t>
  </si>
  <si>
    <t xml:space="preserve">http://localhost/ems/Equipments/approve_card.php</t>
  </si>
  <si>
    <t xml:space="preserve">«لا زرَّ بلا عقدِ فعلٍ وأثرٍ ظاهر» — والفعلُ ينتهي بأثرٍ حقيقيٍّ أو برسالةِ منعٍ برمزٍ محكوم.</t>
  </si>
  <si>
    <t xml:space="preserve">معالجُ الاعتماد يلفّ التحديثَ في try/catch يبتلع كلَّ استثناء (السطر 52: catch (\Throwable $e) { }) ثم يُعيد التوجيهَ برسالةِ «✅ تم اعتماد الكرت» في السطر 53 سواءٌ نجح التحديثُ أم رفضته بوابةُ العزل أم لم تتغير أيُّ صفٍّ لأن الحالةَ كانت active سلفًا.</t>
  </si>
  <si>
    <t xml:space="preserve">المستخدمُ يُبلَّغ بنجاحِ اعتمادٍ لم يقع؛ فقد يبني عليه تشغيلَ معدةٍ كرتُها لم يُعتمد، ويستحيل على المراجع تمييزُ الاعتماد الحقيقيِّ من الفاشل لعدم وجود سجلِّ تدقيق.</t>
  </si>
  <si>
    <t xml:space="preserve">معالجةُ الخطأ صُمِّمت لإخفاء الاستثناء لا لإبلاغه، ولم يُفحص عددُ الصفوف المتأثرة قبل صياغة الرسالة.</t>
  </si>
  <si>
    <t xml:space="preserve">Equipments/approve_card.php:47; Equipments/approve_card.php:51; Equipments/approve_card.php:52; Equipments/approve_card.php:53</t>
  </si>
  <si>
    <t xml:space="preserve">١) بدور ٣ افتح سجل المعدات واعتمد كرتَ معدةٍ حالتُها active سلفًا (أو معدةٍ من شركةٍ أخرى). ٢) لاحظ ظهورَ رسالة «✅ تم اعتماد الكرت». ٣) افحص الصفَّ في قاعدة البيانات: card_approved_by لم يتغير.</t>
  </si>
  <si>
    <t xml:space="preserve">في Equipments/approve_card.php استقبِل نتيجةَ $card_gate-&gt;update في متغير $affected، وفي catch أعِد التوجيهَ برسالةِ فشلٍ برمز GOV-FAIL-409، وإذا كان $affected===0 أعِد رسالة «الكرتُ معتمدٌ سلفًا» بدل رسالة النجاح.</t>
  </si>
  <si>
    <t xml:space="preserve">اعتمادُ كرتٍ معتمدٍ سلفًا يعرض «الكرتُ معتمدٌ سلفًا» لا «تم الاعتماد»، واعتمادُ كرتِ معدةٍ خارج نطاق الشركة يعرض رسالةَ رفضٍ برمزٍ محكوم.</t>
  </si>
  <si>
    <t xml:space="preserve">الأسطرُ مطابقةٌ حرفيًّا: catch فارغٌ يبتلع الاستثناء (52) ثم رسالةُ نجاحٍ ثابتة (53) بلا فحصِ عددِ الصفوف المتأثرة — لكنَّ الأثرَ رسالةٌ مضلِّلةٌ لا خسارةُ حوكمة.</t>
  </si>
  <si>
    <t xml:space="preserve">INJ-0166</t>
  </si>
  <si>
    <t xml:space="preserve">INJAZ-FRD-01 §٨-٥ · الأثرُ العابرُ للإدارات — «حدثٌ منشورٌ يستهلكه من يعنيه»</t>
  </si>
  <si>
    <t xml:space="preserve">«نمطُ الانتقال: حدثٌ منشورٌ يستهلكه من يعنيه — لا نداءٌ مباشر»، و«الإداراتُ المتأثرةُ بأفعالها: إدارة الموقع · إدارة الصيانة · القوى التشغيلية · … · المالية والخزينة».</t>
  </si>
  <si>
    <t xml:space="preserve">اعتمادُ الكرت يحدّث ثلاثةَ أعمدةٍ في جدول equipments فقط ولا ينشر أي حدث (لا EventPublisher ولا publishFact في الملف)، فلا تعلم الصيانةُ ولا التشغيلُ ولا الماليةُ أن أصلًا صار جاهزًا للاستخدام.</t>
  </si>
  <si>
    <t xml:space="preserve">دخولُ أصلٍ إلى الخدمة لا يصل إلى أيٍّ من الإدارات الإحدى عشرةَ التي تعلن الوثيقةُ تأثرَها به؛ فيبقى التزامنُ بالإدخال اليدويِّ في كل إدارةٍ على حِدة.</t>
  </si>
  <si>
    <t xml:space="preserve">المعالجُ يُنفّذ كتابةً مباشرةً في الجدول ولم يُلحَق بناقل الأحداث القائم (app/Core/EventPublisher.php).</t>
  </si>
  <si>
    <t xml:space="preserve">Equipments/approve_card.php:46-52</t>
  </si>
  <si>
    <t xml:space="preserve">١) اعتمد كرتَ معدة. ٢) افحص جدولَ الأحداث بحثًا عن حدثٍ بمفتاحٍ يخصّ هذه المعدة → لا شيء. ٣) افتح شاشةَ الصيانة/التشغيل → لا إشعارَ ولا مهمة.</t>
  </si>
  <si>
    <t xml:space="preserve">في approve_card.php بعد نجاح التحديث استدعِ \App\Core\EventPublisher::publish بحدث 'fleet.card.approved' بمفتاحِ عطالةٍ 'card:'.$equipment_id وحمولةٍ تحمل المعدةَ والمعتمِدَ والوقت.</t>
  </si>
  <si>
    <t xml:space="preserve">اعتمادُ كرتٍ ينشئ صفَّ حدثٍ واحدًا بمفتاح card:&lt;id&gt;؛ وإعادةُ الاعتماد لا تنشئ حدثًا ثانيًا.</t>
  </si>
  <si>
    <t xml:space="preserve">Equipments/approve_card.php لا يحوي أيَّ نداءِ EventPublisher/publishFact ويكتفي بتحديث card_state وcard_approved_by/at — لكنَّ حالةَ الكرت تُقرأ سحبًا من equipments.php وequipment_profile.php فالأثرُ ليس مفقودًا كليًّا.</t>
  </si>
  <si>
    <t xml:space="preserve">INJ-0167</t>
  </si>
  <si>
    <t xml:space="preserve">INJAZ-FRD-01 §٨-٣ · المرحلة ٤ — «قراءة عدّاد · وثيقة سارية»</t>
  </si>
  <si>
    <t xml:space="preserve">وثائق المعدات والمشغّلين</t>
  </si>
  <si>
    <t xml:space="preserve">http://localhost/ems/Equipments/equipment_documents.php</t>
  </si>
  <si>
    <t xml:space="preserve">رابعًا: العدّادات والوثائق</t>
  </si>
  <si>
    <t xml:space="preserve">لكل مرحلةٍ مخرَجٌ يعمل: تصعيدُ الوثيقة المنتهية إشعارٌ مرةً واحدةً لكل (وثيقة × مرحلة) كما ينصّ رأسُ الملف نفسِه.</t>
  </si>
  <si>
    <t xml:space="preserve">سلّمُ التصعيد يمنع التكرارَ بمقارنة نصِّ العنوان (السطران 29-32)، والعنوانُ يتضمن days_left المتغيّرَ يوميًّا (السطر 27: 'تنتهي خلال '.intval($x['days_left']).' أيام'). فالمقارنةُ لا تطابق أبدًا في اليوم التالي، والوثيقةُ الواحدة تولّد ثمانيةَ إشعاراتٍ (0..7 يومًا) بدل واحد.</t>
  </si>
  <si>
    <t xml:space="preserve">إغراقُ صندوق إشعارات الأسطول بتصعيداتٍ مكررةٍ لثمانيةِ أيام لكل وثيقة، فيفقد التصعيدُ معناه ويُتجاهل — وهو الضدُّ المباشرُ للغرض المعلن في رأس الملف.</t>
  </si>
  <si>
    <t xml:space="preserve">مفتاحُ العطالة صيغ من نصٍّ يحوي متغيّرًا زمنيًّا بدل مفتاحٍ ثابتٍ (doc_id × stage).</t>
  </si>
  <si>
    <t xml:space="preserve">Fleet/cron_doc_expiry_escalation.php:6; :27-29; :30-32</t>
  </si>
  <si>
    <t xml:space="preserve">١) اجعل وثيقةَ معدةٍ تنتهي بعد ٧ أيام. ٢) شغّل php Fleet/cron_doc_expiry_escalation.php يوميًّا سبعةَ أيامٍ متتالية. ٣) اعدّ صفوفَ fin_notifications لهذه الوثيقة → ثمانيةُ صفوفٍ لا واحد.</t>
  </si>
  <si>
    <t xml:space="preserve">في Fleet/cron_doc_expiry_escalation.php افصل مفتاحَ العطالة عن نصِّ العرض: قارن على عمودٍ مفتاحيٍّ ثابتٍ مثل link='Equipments/equipment_documents.php?doc='.$doc_id.'&amp;stage=7d' أو أضِف عمود idem_key فريدًا، واحتفظ بـ days_left في نص العرض فقط.</t>
  </si>
  <si>
    <t xml:space="preserve">تشغيلُ السكربت سبعةَ أيامٍ متتاليةٍ على الوثيقة نفسِها ينتج إشعارًا واحدًا لمرحلة 7d.</t>
  </si>
  <si>
    <t xml:space="preserve">عيبٌ حقيقيٌّ في العطالة: العنوانُ يتضمن `days_left` المتغيّرَ يوميًّا ثم يُقارَن نصًّا في `fin_notifications` — فلا يتطابق في اليوم التالي وتتولّد ثمانيةُ إشعارات.</t>
  </si>
  <si>
    <t xml:space="preserve">INJ-0168</t>
  </si>
  <si>
    <t xml:space="preserve">§٤-٢/٣ · لكل شاشةٍ مالكٌ واحدٌ (مرفوع دستوريًّا في CORE-01 ٤-٢/٣)</t>
  </si>
  <si>
    <t xml:space="preserve">سجل المعدات</t>
  </si>
  <si>
    <t xml:space="preserve">أولًا: إدخال الأصل والترميز</t>
  </si>
  <si>
    <t xml:space="preserve">«لكل شاشةٍ مالكٌ واحدٌ وعارضون بزوايا مختلفة» — «يمنع شاشةً بمالكين · ويمنع نسخَ الشاشة لكل إدارةٍ ترى بياناتها».</t>
  </si>
  <si>
    <t xml:space="preserve">ثلاثُ شاشاتٍ مستقلةٍ تكتب في الجدول نفسِه equipments: Equipments/equipments.php (1642 سطرًا) و Equipments/equipments_drivers.php (1697) و Equipments/equipments_fleet.php (1904). الأولى والثانية تحملان العنوانَ نفسَه «إدارة المعدات» ورمزَ الصلاحية نفسَه 'equipments'، والثالثة رمزَ 'Equipments/equipments_fleet.php'. واحدةٌ فقط (equipments.php) في سايدبار الأسطول والباقيتان تُفتحان بالرابط المباشر.</t>
  </si>
  <si>
    <t xml:space="preserve">ثلاثةُ مسارات كتابةٍ لكرت المعدة الواحد بمنطق تحققٍ مختلفٍ في كلٍّ منها؛ تعديلٌ يُحفظ في مسارٍ لا يمرّ بفحوص المسار الآخر، وأي إصلاحٍ يجب تكرارُه ثلاثًا وإلا عاد العيب.</t>
  </si>
  <si>
    <t xml:space="preserve">نسخٌ تاريخيٌّ للشاشة عند إضافة زاويةِ «السائقين» وزاويةِ «الأسطول» بدل بناءِ منظرٍ (view) واحدٍ فوق شاشةٍ واحدة.</t>
  </si>
  <si>
    <t xml:space="preserve">Equipments/equipments.php (1641 سطرًا) · equipments_drivers.php (1696) · equipments_fleet.php (1903)</t>
  </si>
  <si>
    <t xml:space="preserve">١) بدور ٣ افتح Equipments/equipments.php وأضف معدة. ٢) افتح Equipments/equipments_drivers.php بالرابط المباشر — الشاشةُ نفسُها بعنوانٍ واحدٍ وصلاحيةٍ واحدة. ٣) افتح Equipments/equipments_fleet.php — الشاشةُ الثالثة تكتب في equipments أيضًا. ٤) قارن الحقولَ المحفوظة في كلٍّ فتجدها مختلفة.</t>
  </si>
  <si>
    <t xml:space="preserve">أبقِ Equipments/equipments.php شاشةً مالكةً وحيدة، وحوّل equipments_drivers.php و equipments_fleet.php إلى مناظرَ (view=drivers|fleet) على الشاشة نفسِها عبر معامل GET، واحذف معالجَي الحفظ فيهما (السطران 278 و342) وأعِد توجيهَهما إلى معالج equipments.php:249.</t>
  </si>
  <si>
    <t xml:space="preserve">بحثٌ في الشيفرة: عددُ الملفات التي تنفّذ insert/update على جدول equipments = 1. وفتحُ الرابطين القديمين يعيد التوجيهَ إلى الشاشة المالكة بمنظرها.</t>
  </si>
  <si>
    <t xml:space="preserve">الشاشاتُ الثلاثُ تكتب في equipments (249/253 · 278 · 342)، والأولى والثانية بالعنوان نفسِه ورمزِ 'equipments' نفسِه، والثالثة برمز 'Equipments/equipments_fleet.php'. وسايدبارُ الإنتاج لا يعرض إلا equipments.php (صفوفُ fleet كلُّها active=0 و drivers بلا صفٍّ). أعدادُ الأسطر أقلُّ بواحدٍ مما ذُكر.</t>
  </si>
  <si>
    <t xml:space="preserve">INJ-0169</t>
  </si>
  <si>
    <t xml:space="preserve">§٤-٢ مناطقُ السايدبار الخمس — ③ دوراتُ العمل من NAV-09</t>
  </si>
  <si>
    <t xml:space="preserve">http://localhost/ems/main/project_users.php</t>
  </si>
  <si>
    <t xml:space="preserve">بنيةُ السايدبار خمسُ مناطقَ: ① مساحةُ عملي ② لوحةُ إدارتي ③ دوراتُ العمل ④ السجلاتُ والمراجع ⑤ التقاريرُ والتصدير — ولا مجموعةَ سادسة، و«القائمةُ تُولَّد من مصفوفة العرضِ في NAV-09».</t>
  </si>
  <si>
    <t xml:space="preserve">سايدبار دور ٣ يحوي مجموعةً تاسعةً بعنوانٍ حرفيٍّ «خارج الوثيقة — بانتظار قرار المالك» (stage_no=99) تضمّ رابطين: «فريق الإدارة والتكليفات» (main/project_users.php) و«مساحة مخاطر الإدارة» (Risk/dept_risk_space.php). والمجموعةُ نفسُها موجودةٌ لأدوار المالية (٢٣ رابطًا لدور ١٧) والتمويل والموارد البشرية.</t>
  </si>
  <si>
    <t xml:space="preserve">عنوانُ مجموعةٍ يخاطب فريقَ التطوير لا المستخدم، ويُظهر للمستخدم النهائيِّ أن جزءًا من نظامه «خارج الوثيقة»؛ وهو أوضحُ ما يراه العميلُ في عرضٍ خارجي.</t>
  </si>
  <si>
    <t xml:space="preserve">أُبقيت الشاشاتُ غيرُ المصنَّفةِ في NAV-09 ظاهرةً في مجموعةٍ مؤقتةٍ بدل إخفائها أو تصنيفها في مرحلتها.</t>
  </si>
  <si>
    <t xml:space="preserve">database/schema/seed_reference.sql (link_groups 2084-2107؛ nav_items 42 و6835)</t>
  </si>
  <si>
    <t xml:space="preserve">١) ادخل بدور ٣ (وكذلك ١٧ و٢٦ و٤). ٢) انزل إلى آخر السايدبار. ٣) اقرأ عنوانَ المجموعة «خارج الوثيقة — بانتظار قرار المالك».</t>
  </si>
  <si>
    <t xml:space="preserve">صنّف كلَّ رابطٍ في هذه المجموعة إلى مرحلته في NAV-09 أو أوقفه (active=0)، واحذف مجموعةَ stage_no=99 من link_groups؛ وأضِف فحصًا في مولّد التنقل يرفض أي مجموعةٍ بعنوانٍ تشغيليٍّ داخلي.</t>
  </si>
  <si>
    <t xml:space="preserve">مكتب الهندسة — وحدة التنقل</t>
  </si>
  <si>
    <t xml:space="preserve">صفرُ مجموعةٍ في سايدبار أي دورٍ يحمل stage_no=99 أو عنوانًا يحوي «خارج الوثيقة».</t>
  </si>
  <si>
    <t xml:space="preserve">مجموعةُ stage_no=99 بعنوان «خارج الوثيقة — بانتظار قرار المالك» قائمةٌ لأربعةٍ وعشرين دورًا، وللدور 3 فيها رابطان نشطان فقط هما main/project_users.php وRisk/dept_risk_space.php (بقيةُ صفوفها active=0) — أي أن الملاحظةَ راعت عمودَ active.</t>
  </si>
  <si>
    <t xml:space="preserve">INJ-0170</t>
  </si>
  <si>
    <t xml:space="preserve">شرط-٥ · وحداتُ الصلاحياتِ مسجَّلةٌ كلُّها — «٢٠٣ من ٢٠٣ أو استثناءٌ معلَن»</t>
  </si>
  <si>
    <t xml:space="preserve">شاشات مجلد المعدات غير المسجَّلة</t>
  </si>
  <si>
    <t xml:space="preserve">http://localhost/ems/Equipments/equipment_profile.php</t>
  </si>
  <si>
    <t xml:space="preserve">شرطُ الإطلاق الخامس: «وحداتُ الصلاحياتِ مسجَّلةٌ كلُّها — الشاهد: ٢٠٣ من ٢٠٣ أو استثناءٌ معلَن»، ولا شاشةَ تُفتح خارج مصفوفة الظهور.</t>
  </si>
  <si>
    <t xml:space="preserve">منها أربعُ نقاطِ get_* ومعالجٌ واحد، والباقي شاشاتُ عرض. — [مُصحَّح بعد التحقق] الصياغة الأولى: ١٣ ملفًّا من ٢٤ في مجلد Equipments لا تظهر في سايدبار أي دور، منها شاشاتُ عرضٍ كاملةٌ يمكن فتحُها بالرابط: equipment_profile.php (١٢٤٢ سطرًا) و fleet_failures.php (٤٥١ سطرًا وفيه تصديرُ xls) و equipme</t>
  </si>
  <si>
    <t xml:space="preserve">لا يمكن إثباتُ اجتيازِ شرطِ الإطلاق الخامس: ثلثُ شاشات الإدارة غيرُ مرئيٍّ في مصفوفة الظهور، فلا يُعرف من يملكها ولا بأي زاويةٍ يراها ولا محجوبٌ عنه ماذا.</t>
  </si>
  <si>
    <t xml:space="preserve">أُضيفت شاشاتٌ ومعالجاتٌ خارج بذرة nav_items ولم يُسجَّل لكلٍّ منها استثناءٌ معلَن.</t>
  </si>
  <si>
    <t xml:space="preserve">Equipments/equipment_profile.php:1; Equipments/fleet_failures.php:1; Equipments/equipments_drivers.php:1; Equipments/equipments_fleet.php:1; Equipments/approve_card.php:1</t>
  </si>
  <si>
    <t xml:space="preserve">١) اجرد nav_items لكل الأدوار على مسارات Equipments/*. ٢) قارنها بقائمة الملفات في المجلد. ٣) ١٣ ملفًّا بلا ظهور.</t>
  </si>
  <si>
    <t xml:space="preserve">سجّل كلَّ شاشةِ عرضٍ من الثلاثةَ عشرَ في modules و nav_items بزاويتها ودورها، أو أعلنها استثناءً في سجل الاستثناءات مع سببٍ ومدة، أو ألغِ الملفَّ إن كان مكررًا.</t>
  </si>
  <si>
    <t xml:space="preserve">تقريرٌ آليٌّ: كلُّ ملفِّ شاشةٍ في Equipments/ إمّا له صفُّ nav_items واحدٌ على الأقل، وإمّا مُدرجٌ في سجل الاستثناءات بسببٍ ومدة.</t>
  </si>
  <si>
    <t xml:space="preserve">١٣ ملفًّا من ٢٤ في Equipments/ بلا صفِّ nav_items نشط — والقائمةُ تطابق ما ذُكر (equipment_profile · fleet_failures · equipments_drivers · equipments_fleet · approve_card · equipment_child_save …)، وequipment_profile.php وfleet_failures.php غيرُ مسجَّلين في modules أصلًا.</t>
  </si>
  <si>
    <t xml:space="preserve">INJ-0171</t>
  </si>
  <si>
    <t xml:space="preserve">GOV-0358-أ · GOV-0358-ب · ▐ ١١-١٢ الصلاحياتُ والنطاق</t>
  </si>
  <si>
    <t xml:space="preserve">حوكمة إدارة الأسطول (gov_dept_flt.php)</t>
  </si>
  <si>
    <t xml:space="preserve">«يُضاف لكل إدارةٍ مكوّنٌ نطاقيٌّ واحدٌ باسم «حوكمة إدارتي» · وهو منظرٌ على مصادرِ الحوكمةِ المركزيةِ لا نظامُ حوكمةٍ مستقلٌّ لكل إدارة» — وتعلن INJAZ-FRD-01 §٨-٤ شاشةَ gov_dept_flt.php بـ١٥ عمودًا وفعلين.</t>
  </si>
  <si>
    <t xml:space="preserve">لا وجودَ لملف gov_dept_flt.php. الموجودُ فعلًا ثلاثُ نسخٍ فقط: Finance/gov_dept_fin.php و Governance/gov_dept_gov.php و Risk/gov_dept_rsk.php. ولا رابطَ حوكمةٍ في سايدبار دور ٣ إطلاقًا.</t>
  </si>
  <si>
    <t xml:space="preserve">مديرُ الأسطول لا يرى فريقَه ولا تفويضاتِه ولا تعارضاتِ الواجبات في حسابات إدارته، فلا يستطيع أداءَ واجب التصديق gov.flt.attest المنصوصِ عليه في M-14 §١٠-٢.</t>
  </si>
  <si>
    <t xml:space="preserve">مكوّنُ «حوكمة إدارتي» نُفِّذ لثلاث إداراتٍ فقط ولم يُعمَّم بمنظرٍ نطاقيٍّ واحدٍ يتغير عنوانُه ونطاقُه بحسب الإدارة.</t>
  </si>
  <si>
    <t xml:space="preserve">Finance/gov_dept_fin.php:1; Governance/gov_dept_gov.php:1; Risk/gov_dept_rsk.php:1</t>
  </si>
  <si>
    <t xml:space="preserve">١) ادخل بدور ٣. ٢) ابحث في السايدبار عن «حوكمة إدارتي/حوكمة الأسطول» → غير موجودة. ٣) جرّب http://localhost/ems/Governance/gov_dept_flt.php → 404.</t>
  </si>
  <si>
    <t xml:space="preserve">عمّم Finance/gov_dept_fin.php إلى مكوّنٍ واحدٍ Governance/gov_dept.php يقرأ الإدارةَ من دور الجلسة، وأنشئ صفَّ nav_items لدور ٣ يشير إليه بعنوان «حوكمة إدارة الأسطول».</t>
  </si>
  <si>
    <t xml:space="preserve">بدور ٣ يفتح رابطُ «حوكمة إدارة الأسطول» شاشةً تعرض أعضاءَ الإدارة وأدوارَهم وتفويضاتِهم قراءةً فقط، وصفرَ سجلٍّ من إدارةٍ أخرى.</t>
  </si>
  <si>
    <t xml:space="preserve">لا وجودَ لـgov_dept_flt.php؛ الموجودُ ثلاثةٌ فقط (Finance/gov_dept_fin · Governance/gov_dept_gov · Risk/gov_dept_rsk) بينما FRD تُعلن الشاشةَ لكل إدارةٍ (frd_readable.md:611)، ولا صفَّ nav_items للدور 3. لكن الإصلاحَ المقترحَ يتجاهل أن المكوّنَ النطاقيَّ الواحدَ قائمٌ سلفًا في includes/dept_gov_space.php — المطلوبُ غلافٌ رقيقٌ لا تعميمُ شاشةِ المالية.</t>
  </si>
  <si>
    <t xml:space="preserve">INJ-0172</t>
  </si>
  <si>
    <t xml:space="preserve">SCN-129-أ · SCN-129-ب · ▐ ١١-٣ مصفوفةُ الظهورِ حسبَ الإدارة</t>
  </si>
  <si>
    <t xml:space="preserve">«يجب أن تُعرض شاشةُ «صندوق ما ينتظر اعتمادي» لـإدارة الأسطول … ومحجوبٍ عنه: اعتمادُ ما أنشأتُه» — ومصفوفةُ الواجبات المتعارضة (CORE-01 ٨-٢ الزوج ١): «إنشاءُ المستند × اعتمادُ المستند نفسِه».</t>
  </si>
  <si>
    <t xml:space="preserve">أثرُ card_state عرضيٌّ/حوكميٌّ بنصِّ ترويسة الملف: لا مسارَ تشغيليًّا أو ماليًّا يتوقف عليه (يُقرأ في equipments.php وequipment_profile.php شارةً فقط) — فالخطورةُ دون المدَّعى. — [مُصحَّح بعد التحقق] الصياغة الأولى: معالجُ اعتماد الكرت لا يقارن منشئَ المعدة بمن يعتمدها ولا يستدعي ems_no_self_approval الموجودةَ في includes/self_approval_guard.php؛ الفحصُ الوحيدُ هو can_edit على وحدة equipments_fleet. فمن أدخل المع</t>
  </si>
  <si>
    <t xml:space="preserve">اعتمادُ الذات على المستند المؤسِّس للأصل: تُدخَل معدةٌ ببياناتِ ملكيةٍ وتكلفةٍ ثم يشهد مُدخِلُها بصحتها، فيسقط الفصلُ البنيويُّ عند نقطة دخول الأصل إلى الدفاتر.</t>
  </si>
  <si>
    <t xml:space="preserve">الحارسُ العامُّ ems_no_self_approval وُضع في includes/self_approval_guard.php وعُمِّم نصًّا («دالةٌ واحدةٌ يستدعيها كلُّ مسار اعتماد») لكنه لم يُستدعَ إلا في أربعة ملفات، وليس هذا منها.</t>
  </si>
  <si>
    <t xml:space="preserve">Equipments/approve_card.php:29; Equipments/approve_card.php:46-51; includes/self_approval_guard.php:23-38</t>
  </si>
  <si>
    <t xml:space="preserve">١) بحسابٍ واحدٍ له can_add و can_edit على المعدات: أضِف معدةً جديدة. ٢) من صفِّها اضغط «اعتماد الكرت». ٣) لاحظ نجاحَ الاعتماد وأن card_approved_by = منشئُ الصف نفسُه.</t>
  </si>
  <si>
    <t xml:space="preserve">في Equipments/approve_card.php قبل السطر 47: اقرأ created_by للمعدة عبر البوابة، ثم استدعِ ems_no_self_approval($conn,$created_by,$user_id,'كرت معدة #'.$equipment_id,$company_id) وأعِد 403 عند رجوعِ مصفوفة.</t>
  </si>
  <si>
    <t xml:space="preserve">المستخدمُ الذي أنشأ صفَّ المعدة يتلقى 403 عند اعتماد كرتها مع سطرٍ في سجل التدقيق، ومستخدمٌ آخرُ يعتمد بنجاح.</t>
  </si>
  <si>
    <t xml:space="preserve">Equipments/approve_card.php لا يقرأ equipments.created_by ولا يستدعي ems_no_self_approval (includes/self_approval_guard.php:23)، وحارسُه الوحيدُ can_edit على equipments_fleet (سطر 29) — فمُدخِلُ المعدة يعتمد كرتَها.</t>
  </si>
  <si>
    <t xml:space="preserve">INJ-0173</t>
  </si>
  <si>
    <t xml:space="preserve">PR-05 · الحارسُ في الخادم — «ويُسجَّل الرفضُ بالمستخدم والوقت والرمز»</t>
  </si>
  <si>
    <t xml:space="preserve">الفعلُ ذو الأثر يحمل حارسَ رمزٍ مضادًّا للتزوير (CSRF) وسطرًا في سجل التدقيق بقيمِ قبل/بعد.</t>
  </si>
  <si>
    <t xml:space="preserve">المعالجُ يقبل POST بلا أي تحقّقٍ من رمز الحماية (لا verify_csrf_token ولا fin_verify_action_token)، ولا يكتب أي سطرٍ في سجل التدقيق (لا ems_audit_change ولا ems_log_*) ولا ينشر حدثًا.</t>
  </si>
  <si>
    <t xml:space="preserve">اعتمادُ كرتِ أصلٍ يمكن تنفيذُه بتزوير طلبٍ عابرٍ للمواقع من جلسة مدير أسطول، ولا أثرَ يُبيّن مَن اعتمد ومتى وبأي صفة سوى عمودَي card_approved_by/at بلا سياق.</t>
  </si>
  <si>
    <t xml:space="preserve">الملفُّ كُتب كمعالجٍ خفيفٍ («حوكمة خفيفة» في تعليق السطر 2) ولم يُلحَق بطبقة الحوكمة الموحّدة.</t>
  </si>
  <si>
    <t xml:space="preserve">Equipments/approve_card.php:2; :23; :29-32; :46-52</t>
  </si>
  <si>
    <t xml:space="preserve">١) سجّل الدخولَ بدور ٣. ٢) من صفحةٍ خارجية أرسل POST إلى http://localhost/ems/Equipments/approve_card.php بحقلَي equipment_id و return. ٣) لاحظ تنفيذَ الاعتماد. ٤) ابحث في سجل التدقيق عن سطرٍ لهذا الاعتماد → لا يوجد.</t>
  </si>
  <si>
    <t xml:space="preserve">أضِف في approve_card.php بعد السطر 26 فحصَ verify_csrf_token($_POST['csrf_token'])، وبعد نجاح التحديث استدعِ ems_audit_change($conn,'fleet','approve_card','approve',$equipment_id, قيمِ قبل, قيمِ بعد, سياق الشركة والمستخدم)، وأضِف حقلَ csrf_token في نموذجَي equipments.php:1065 و equipments_fleet.php:1286.</t>
  </si>
  <si>
    <t xml:space="preserve">POST بلا رمزِ حمايةٍ صالحٍ يُرفض 403؛ واعتمادٌ ناجحٌ يُنشئ سطرًا في سجل التدقيق بقيمة قبل/بعد واسمِ المعتمِد.</t>
  </si>
  <si>
    <t xml:space="preserve">الملفُّ فعلًا بلا verify_csrf_token وبلا ems_audit_change، ومسارُ /Equipments/ خارج CSRF_ENFORCE_PATHS الحيّة فالحارسُ المركزيُّ في وضع المراقبة. لكن الفعلَ محروسٌ بـcheck_page_permissions can_edit ويكتب card_approved_by/at، وcard_state «عرضيٌّ حوكميٌّ» بنصِّ رأس الملف ⇒ P2.</t>
  </si>
  <si>
    <t xml:space="preserve">INJ-0174</t>
  </si>
  <si>
    <t xml:space="preserve">PR-05 · الحارسُ في الخادم — تطابقُ رمز الوحدة بين الشاشة ومعالجها</t>
  </si>
  <si>
    <t xml:space="preserve">«يمنع الاكتفاءَ بإخفاء الزر في الواجهة» — والزرُّ الظاهرُ في شاشةٍ يجب أن يُنفَّذ بالصلاحية نفسِها التي أظهرته.</t>
  </si>
  <si>
    <t xml:space="preserve">زرُّ الاعتماد يُصيَّر في Equipments/equipments.php:1065 وفق صلاحيات وحدة 'equipments' (السطر 48)، بينما المعالجُ Equipments/approve_card.php:29 يفحص صلاحيةَ وحدةٍ أخرى هي 'equipments_fleet'. فالمستخدمُ الذي يملك الأولى دون الثانية يرى الزرَّ ويُرفض عند الضغط.</t>
  </si>
  <si>
    <t xml:space="preserve">زرٌّ ظاهرٌ لا يعمل لطائفةٍ من المستخدمين، ورسالةُ الرفض تظهر في شريط الرابط لا داخل النظام؛ والمستخدمُ لا يفهم سببَ المنع ولا يُسجَّل رفضُه.</t>
  </si>
  <si>
    <t xml:space="preserve">توحيدُ الشاشات لم يُتبَع بتوحيد رموز الوحدات، فبقي المعالجُ مرتبطًا برمز الشاشة القديمة equipments_fleet.</t>
  </si>
  <si>
    <t xml:space="preserve">Equipments/equipments.php:48; Equipments/equipments.php:1065; Equipments/approve_card.php:29; Equipments/equipments_fleet.php:81</t>
  </si>
  <si>
    <t xml:space="preserve">١) امنح دورًا can_edit على 'equipments' فقط دون 'equipments_fleet'. ٢) افتح سجل المعدات — زرُّ «اعتماد الكرت» ظاهر. ٣) اضغطه — رسالةُ «لا توجد صلاحية لاعتماد الكرت».</t>
  </si>
  <si>
    <t xml:space="preserve">وحّد الرمزَ: في Equipments/approve_card.php:29 استبدل 'equipments_fleet' بـ 'Equipments/equipments.php'، أو اجعل الزرَّ في equipments.php:1065 مشروطًا بنفس الصلاحية التي يفحصها المعالج.</t>
  </si>
  <si>
    <t xml:space="preserve">لكل حسابٍ: ظهورُ زرِّ الاعتماد ⇔ نجاحُ تنفيذه؛ صفرُ حالةٍ يظهر فيها الزرُّ ويُرفض الفعل.</t>
  </si>
  <si>
    <t xml:space="preserve">الزرُّ يُصيَّر في equipments.php:1065 خلف $can_edit المشتقِّ من check_page_permissions($conn,'equipments') (السطر 48)، والمعالجُ approve_card.php:29 يفحص 'equipments_fleet' — وهما يُحلّان إلى موديولين مختلفين (256 و8) فيقع «زرٌّ ظاهرٌ وفعلٌ مرفوض».</t>
  </si>
  <si>
    <t xml:space="preserve">INJ-0175</t>
  </si>
  <si>
    <t xml:space="preserve">PR-04 · المالُ أثرٌ لا مصدر — «ويمنع قيدًا بلا واقعةٍ تشغيلية»</t>
  </si>
  <si>
    <t xml:space="preserve">الذمم والتحصيل — كتّاب fin_dues العشرة</t>
  </si>
  <si>
    <t xml:space="preserve">«يوجب أن يتولد كلُّ إيرادٍ ومصروفٍ وذمةٍ من واقعةٍ اجتازت سلسلةَ الاعتماد وبوابةَ الاستحقاق» — لكلِّ صفٍّ ماليٍّ مستندٌ مصدرٌ يُنقر إليه.</t>
  </si>
  <si>
    <t xml:space="preserve">موضعُ كتابةٍ واحدٌ (proc_helpers.php:612) بلا أيِّ مرجعٍ مبنيٍّ؛ وأربعةُ مواضعِ المروحة تحمل event_id وصفَّ fin_event_links يربطها بمصدرها، والإعفاءُ في dues_fin.php:73 قرارُ تصميمٍ موثَّقٌ لا سهو. — [مُصحَّح بعد التحقق] الصياغة الأولى: عشرةُ مواضعِ كتابةٍ في fin_dues، تسعةٌ منها خارج الشاشة ولا يمرّ أيٌّ منها بفحص dues_fin.php:82-95: app/Services/EffectFanout.php:175 · :1057 · :1271 · :1304 (كلُّها direction='credit' بلا source_doc_</t>
  </si>
  <si>
    <t xml:space="preserve">الذمّةُ الدائنة — وهي التي تولّد الالتزامَ بالدفع — تُنشأ من خمسة مسارات بلا حقلِ مستندٍ مصدرٍ إطلاقًا؛ فلا يمكن الانتقالُ من رقمٍ في كشف حساب المورد إلى واقعته، وينكسر PR-08 معه.</t>
  </si>
  <si>
    <t xml:space="preserve">الحارسُ نُفِّذ في طبقة الشاشة لا في طبقة الخدمة/القاعدة، فبقي كلُّ مسارٍ خدميٍّ خارجَه؛ والاستثناءُ الممنوحُ لـcredit جعل أكثرَ المسارات استعمالًا بلا مصدر.</t>
  </si>
  <si>
    <t xml:space="preserve">Finance/dues_fin.php:68-73,97; app/Services/EffectFanout.php:175-186,1057-1080,1271-1292,1304-1325; Procurement/proc_helpers.php:602-620</t>
  </si>
  <si>
    <t xml:space="preserve">١) نفّذ SELECT COUNT(*) FROM fin_dues WHERE source_doc_type IS NULL → عددٌ كبيرٌ من صفوف credit. ٢) اعتمد تايم شيت ليوم عملٍ فيتولد صفُّ fin_dues من EffectFanout.php:175 بلا source_doc_type. ٣) من شاشة الذمم اضغط الصفَّ محاولًا بلوغَ مستنده → لا رابط.</t>
  </si>
  <si>
    <t xml:space="preserve">أضِف حقولَ source_doc_type/source_doc_id (أو event_id إلزاميًّا) في نداءات insert('fin_dues') الخمسةِ التي تفتقدها (EffectFanout.php:175/1057/1271/1304 و proc_helpers.php:612)، ثم شدّد قيدَ القاعدة ليشمل direction='credit' بعد ردم التاريخي.</t>
  </si>
  <si>
    <t xml:space="preserve">SELECT COUNT(*) FROM fin_dues WHERE COALESCE(event_id,0)=0 AND source_doc_type IS NULL = صفر (أو مصنَّفًا legacy_no_ref)، وكلُّ صفٍّ في شاشة الذمم يفتح مستندَه بنقرة.</t>
  </si>
  <si>
    <t xml:space="preserve">dues_fin.php:73 يُعفي credit صراحةً بتعليقٍ مُبرَّر («مصدرُه حدثُ المروحة»)، والأربعةُ في EffectFanout (175/1057/1271/1304) تمرّر event_id وتكتب رابطَ fin_event_links بـself::link — فالتتبعُ قائمٌ لا مفقود. الفجوةُ الحقيقيةُ الوحيدةُ proc_helpers.php:612: ذمّةٌ دائنةٌ بلا event_id ولا source_doc_type ومرجعُها period_ref='PO-&lt;id&gt;' وحدَه.</t>
  </si>
  <si>
    <t xml:space="preserve">INJ-0176</t>
  </si>
  <si>
    <t xml:space="preserve">PR-04 · المالُ أثرٌ لا مصدر — «يمنع توليدَ أثرٍ ماليٍّ من إدخالٍ مباشر»</t>
  </si>
  <si>
    <t xml:space="preserve">«لا يقع أثرٌ ماليٌّ من إدخالٍ مباشر. وكلُّ إيرادٍ ومصروفٍ وذمةٍ يتولد من واقعةٍ تشغيليةٍ اجتازت سلسلةَ اعتمادها وبوابةَ استحقاقها».</t>
  </si>
  <si>
    <t xml:space="preserve">إدخالٌ ماليٌّ مباشرٌ بمرجعٍ نصيٍّ غيرِ محقَّقٍ ولا مفتاحِ عطالة، لكنه مقيَّدٌ بصلاحيةِ الإضافة ويمرُّ بسلسلةِ اعتمادٍ قبل توليدِ قيدٍ مسودةٍ يُفحص عند ترحيله بقفل الفترة. — [مُصحَّح بعد التحقق] الصياغة الأولى: معالجُ الحفظ في Finance/events_list_fin.php:151-199 ينشئ صفًّا في fin_financial_events — وهو جذرُ الأثر المالي — من حقولِ $_POST مباشرة: نوعُ الحدث ومصدرُه ومرجعٌ نصيٌّ حرٌّ (source_ref) والمبلغُ والع</t>
  </si>
  <si>
    <t xml:space="preserve">بابٌ مفتوحٌ لخلق المال من العدم: يكفي مستخدمٌ بصلاحية الإضافة على الشاشة ليُنشئ حدثًا ماليًّا بمبلغٍ اختياريٍّ ومرجعٍ نصيٍّ لا يُتحقَّق منه، ثم يمرّ في دورة الاعتماد ويولّد قيدًا في الدفاتر.</t>
  </si>
  <si>
    <t xml:space="preserve">الشاشةُ صُمِّمت كسجلٍّ إداريٍّ للأحداث ثم صارت مسارَ إنشاءٍ كاملًا بلا اشتراطِ مصدرٍ مستنديٍّ محقَّق.</t>
  </si>
  <si>
    <t xml:space="preserve">Finance/events_list_fin.php:151; Finance/events_list_fin.php:160; Finance/events_list_fin.php:170; Finance/events_list_fin.php:193; Finance/events_list_fin.php:275</t>
  </si>
  <si>
    <t xml:space="preserve">١) بدور مالية له can_add افتح «سجل الأحداث المالية». ٢) أنشئ حدثًا: النوع «مصروف»، المصدر «عام»، المرجع «xyz»، المبلغ 1000000. ٣) احفظ → ينشأ الصف. ٤) مرّره في دورة الاعتماد حتى approved → يتولد قيدٌ آليّ.</t>
  </si>
  <si>
    <t xml:space="preserve">في Finance/events_list_fin.php:151 اجعل source_ref مرجعًا محقَّقًا: أضِف حقلَي source_table/source_id إلزاميين مع تحقّقٍ من وجود الصف في جدول المصدر (proc_order · mnt_order · unit_record · claim)، وارفض الحفظَ 422 عند غيابه؛ وأضِف ems_period_check قبل الإدراج.</t>
  </si>
  <si>
    <t xml:space="preserve">POST لإنشاء حدثٍ ماليٍّ بمرجعٍ نصيٍّ لا يقابله صفٌّ في جدول المصدر يُرفض 422 برمزٍ محكوم، ولا يُنشأ أي صف.</t>
  </si>
  <si>
    <t xml:space="preserve">الأسطرُ 151-199 صحيحةٌ حرفيًّا: الصفُّ يُنشأ من $_POST بفحصِ قوائمَ بيضاءَ ومبلغٍ موجبٍ فقط و source_ref نصٌّ حر. لكن الحفظَ يتطلب can_add على الموديول 86 (أدوارُ المالية)، والصفُّ يولد state='draft' ولا يبلغ fin_auto_journal (السطر 275) إلا بعد سلسلةِ اعتمادٍ خماسية، وقفلُ الفترة مفروضٌ عند الترحيل في Finance/journal_form_fin.php:143 — فليست «خلق مالٍ من العدم» بضغطةٍ واحدة.</t>
  </si>
  <si>
    <t xml:space="preserve">INJ-0177</t>
  </si>
  <si>
    <t xml:space="preserve">PR-04 · المالُ أثرٌ لا مصدر — «ونسبةُ القيود اليدويةِ مؤشرُ صحةٍ يُقاس ويُخفَّض»</t>
  </si>
  <si>
    <t xml:space="preserve">«استعلم عن كل صفٍّ في جدول القيود بلا source_event_id — يجب أن يكون صفرًا (أو مصنَّفًا استثناءً موثَّقًا). جرّب POST لإنشاء قيدٍ يدويٍّ بلا واقعة — يُرفض».</t>
  </si>
  <si>
    <t xml:space="preserve">القيدُ اليدويُّ بلا حدثٍ يُحفظ مسودةً بسببٍ مكتوبٍ إلزامًا، ولا يُرحَّل إلا بيد المدير المالي وفي فترةٍ مفتوحة — والناقصُ مؤشرُ «نسبة القيود اليدوية» لا الحارسُ نفسُه. — [مُصحَّح بعد التحقق] الصياغة الأولى: نموذجُ القيد يعرض الحدثَ المرتبطَ باسمِ «الحدث المرتبط (اختياري)» وخيارٍ أولَ نصُّه «— بلا حدث —» (السطران 238 و240)، والمعالجُ يقرأ $event_id = intval($_POST['event_id']) ?: null (السطر 130) ويُدرج ا</t>
  </si>
  <si>
    <t xml:space="preserve">أيُّ رقمٍ يمكن إدخالُه في الدفاتر بقيدٍ متوازنٍ بلا واقعةٍ تشغيلية؛ فتنكسر سلسلةُ التتبع من القائمة المالية إلى المستند، ولا مؤشرَ يقيس نسبةَ القيود اليدوية أصلًا في أي لوحة.</t>
  </si>
  <si>
    <t xml:space="preserve">نُفِّذت ضوابطُ التوازن والفترة والعملة والسبب، ولم يُنفَّذ اشتراطُ الواقعة، ولم يُصنَّف القيدُ اليدويُّ استثناءً موثَّقًا بسقفٍ ومعتمِدٍ أعلى.</t>
  </si>
  <si>
    <t xml:space="preserve">Finance/journal_form_fin.php:41,130,142-146,178,238-240</t>
  </si>
  <si>
    <t xml:space="preserve">١) بدور محاسب افتح «القيود اليومية» واضغط «إنشاء قيد». ٢) اترك «الحدث المرتبط» على «— بلا حدث —». ٣) أدخِل سطرين متوازنين وبيانًا واحفظ → يُحفظ القيد بـevent_id NULL.</t>
  </si>
  <si>
    <t xml:space="preserve">في Finance/journal_form_fin.php:130 اجعل event_id إلزاميًّا افتراضيًّا: ارفض الحفظَ 422 عند غيابه إلا إذا حمل الطلبُ manual_exception_ref مربوطًا بصفٍّ في سجل الاستثناءات باعتمادِ المدير المالي؛ وأضِف بطاقةَ «نسبة القيود اليدوية» إلى Finance/cfo_daily_board_fin.php محسوبةً حيًّا.</t>
  </si>
  <si>
    <t xml:space="preserve">حفظُ قيدٍ بلا حدثٍ مرتبطٍ وبلا مرجعِ استثناءٍ معتمدٍ يُرفض 422؛ ولوحةُ المالية تعرض نسبةَ القيود اليدوية محسوبةً من القاعدة.</t>
  </si>
  <si>
    <t xml:space="preserve">الأسطرُ صحيحةٌ حرفيًّا (event_id اختياري في :130 و:178 والخيارُ «— بلا حدث —» في :240)، لكن الفاحصَ أسقط الضوابطَ المحيطة: البيانُ/السببُ إلزامٌ (:146)، والقيدُ يُحفظ state='draft'، والترحيلُ محصورٌ في fin_can_perform(...,'finance_manager') (:41)، وبوابةُ الفترة تمنع المقفلة (:142-144). والمسارُ اليدويُّ منصوصٌ عليه في SPEC-01 #13 التي يستشهد بها الكود.</t>
  </si>
  <si>
    <t xml:space="preserve">INJ-0178</t>
  </si>
  <si>
    <t xml:space="preserve">PR-04 · المالُ أثرٌ لا مصدر</t>
  </si>
  <si>
    <t xml:space="preserve">«كلُّ إيرادٍ ومصروفٍ وذمةٍ يتولد من واقعةٍ تشغيليةٍ اجتازت سلسلةَ اعتمادها وبوابةَ استحقاقها».</t>
  </si>
  <si>
    <t xml:space="preserve">تنفيذُ الحركة (حيث يقع الأثرُ المالي) يمرُّ بـApprovalGate::assertComplete تحت العلَم EMS_U13_APPROVAL_GATE (افتراضُه monitor: يسجّل ولا يمنع، وenforce يمنع) — فالبابُ ليس مفتوحًا بلا أيِّ سلسلةِ اعتماد. — [مُصحَّح بعد التحقق] الصياغة الأولى: معالجُ الإنشاء (الأسطر 119-136) ينشئ حركةَ خزينةٍ من direction+party+amount؛ receivable_id اختياريٌّ (السطر 126) ولا حقلَ لمستندٍ مصدرٍ أو التزامٍ أو ذمّةٍ للصرف، والفحصُ الوحيد amount&gt;0 (السطر 128). </t>
  </si>
  <si>
    <t xml:space="preserve">حركةُ خزينةٍ (صرفٌ أو تحصيل) تُنشأ بلا أي مستندٍ يربطها بالتزامٍ أو ذمّة؛ وحين تُنفَّذ لاحقًا تُغيّر حالةَ ذممِ المورد جملةً (السطر 84) بلا مطابقةٍ للمبالغ.</t>
  </si>
  <si>
    <t xml:space="preserve">الشاشةُ عوملت كسجلِّ حركاتٍ حرٍّ لا كمنفّذٍ لأمرِ دفعٍ معتمدٍ صادرٍ من دورة الطلبات المالية.</t>
  </si>
  <si>
    <t xml:space="preserve">Finance/payments_fin.php:119; Finance/payments_fin.php:126; Finance/payments_fin.php:128; Finance/payments_fin.php:131; Finance/payments_fin.php:84</t>
  </si>
  <si>
    <t xml:space="preserve">١) بدور مالية له can_add افتح «طلبات الدفع والسداد». ٢) أنشئ حركةَ صرفٍ لمورد بمبلغٍ اختياريٍّ بلا اختيار ذمّة. ٣) احفظ → تُنشأ مسودةُ صرفٍ بلا أي مستندٍ مصدر.</t>
  </si>
  <si>
    <t xml:space="preserve">في Finance/payments_fin.php:119 اجعل الصرفَ (disbursement) يشترط obligation_id أو due_id أو request_id موجودًا ومعتمدًا، وارفض 422 عند غيابه؛ وأضِف ems_period_check و fin_verify_action_token و ems_audit_change في المعالج.</t>
  </si>
  <si>
    <t xml:space="preserve">حفظُ حركةِ صرفٍ بلا مستندِ التزامٍ أو ذمّةٍ معتمدةٍ يُرفض 422؛ وكلُّ صفٍّ في fin_payments يفتح مستندَه بنقرة.</t>
  </si>
  <si>
    <t xml:space="preserve">معالجُ الإنشاء يطابق الوصف (مسودةٌ بلا مستندٍ مصدرٍ وبفحص amount&gt;0 وحدَه)، لكنّ البندَ أغفل حارسَ التنفيذ.</t>
  </si>
  <si>
    <t xml:space="preserve">INJ-0179</t>
  </si>
  <si>
    <t xml:space="preserve">PR-04 · المالُ أثرٌ لا مصدر · §٩-١ «◆ ما لا تملكه المالية: العقدَ والسعر»</t>
  </si>
  <si>
    <t xml:space="preserve">التكاليف والربحية بالمركز</t>
  </si>
  <si>
    <t xml:space="preserve">http://localhost/ems/Finance/cost_report_fin.php</t>
  </si>
  <si>
    <t xml:space="preserve">متابعة وتقارير المالية</t>
  </si>
  <si>
    <t xml:space="preserve">المالية «لا تملك العقدَ والسعر»، و«لا يقع أثرٌ ماليٌّ من إدخالٍ مباشر».</t>
  </si>
  <si>
    <t xml:space="preserve">معالجُ Finance/cost_report_fin.php:34-51 ينشئ صفًّا في fin_cost_records من $_POST يتضمن total_cost و revenue (السطران 42-43) بلا أي مستندٍ مصدرٍ ولا حدثٍ ولا فحصِ فترة؛ الفحصُ الوحيد قائمةُ أنواعٍ بيضاء و total_cost&gt;=0 (السطر 44). فالإيرادُ — وهو ما لا تملكه المالية — يُدخَل يدويًّا هنا.</t>
  </si>
  <si>
    <t xml:space="preserve">أرقامُ التكلفة والإيراد التي تُبنى عليها تقاريرُ الربحية وهامشُ العقد تُدخَل يدويًّا بلا واقعةٍ ولا عقد؛ فيصير تقريرُ الربحية رأيًا لا قياسًا، ويخالف حدَّ اختصاص الإدارة.</t>
  </si>
  <si>
    <t xml:space="preserve">الشاشةُ بُنيت لالتقاط تكاليفَ غير مؤتمتةٍ ولم يُقيَّد الحقلُ الإيراديُّ ولا اشتُرط مستندٌ للتكلفة.</t>
  </si>
  <si>
    <t xml:space="preserve">Finance/cost_report_fin.php:34; Finance/cost_report_fin.php:42; Finance/cost_report_fin.php:43; Finance/cost_report_fin.php:44; Finance/cost_report_fin.php:46</t>
  </si>
  <si>
    <t xml:space="preserve">١) بدور مالية افتح «التكاليف والربحية بالمركز». ٢) أضِف سجلَّ تكلفةٍ بنوعٍ ما وقيمةِ تكلفةٍ وإيرادٍ اختياريين. ٣) احفظ → يظهر الرقمُ في تقرير الربحية بلا مصدر.</t>
  </si>
  <si>
    <t xml:space="preserve">في Finance/cost_report_fin.php:34 اشترط source_event_id مرتبطًا بحدثٍ مالي أو مستندٍ تشغيليٍّ لكل سجلِّ تكلفة، واحذف حقلَ revenue من هذه الشاشة (الإيرادُ من المستخلص/الفاتورة حصرًا) واقرأه قراءةً من fin_financial_events.</t>
  </si>
  <si>
    <t xml:space="preserve">حفظُ سجلِّ تكلفةٍ بلا حدثٍ مصدرٍ يُرفض 422؛ وحقلُ الإيراد غيرُ قابلٍ للإدخال في هذه الشاشة ويُقرأ من مصدره.</t>
  </si>
  <si>
    <t xml:space="preserve">المعالجُ في السطر 34 يُدرج fin_cost_records من $_POST بحقلَي total_cost وrevenue (42-43) بلا مستندٍ مصدرٍ ولا حدثٍ ولا فحصِ فترة — والفحصُ الوحيد قائمةٌ بيضاء وtotal_cost&gt;=0 (44). أخفضتُ الخطورةَ لأن الفعلَ محروسٌ بـcan_add ولا يُنشئ قيدًا محاسبيًّا.</t>
  </si>
  <si>
    <t xml:space="preserve">INJ-0180</t>
  </si>
  <si>
    <t xml:space="preserve">PR-06 · لا رجعيةَ في المعتمَد — «لا كتابةَ ماليةً في فترةٍ مقفلة»</t>
  </si>
  <si>
    <t xml:space="preserve">شاشات المالية الكاتبة</t>
  </si>
  <si>
    <t xml:space="preserve">«يوجب… انفتاحُ الفترة المحاسبية» (§٢٤-١)، والحارسُ المنفَّذ includes/period_guard.php يُرجع 423 لأي كتابةٍ ماليةٍ في فترةٍ مقفلة.</t>
  </si>
  <si>
    <t xml:space="preserve">الدفترُ العامُّ (fin_financial_events) محروسٌ مركزيًّا؛ والمكشوفُ الدفاترُ المساعدةُ (fin_dues · fin_payments · fin_receivables) التي تُكتب مباشرةً بلا فحصِ فترة. — [مُصحَّح بعد التحقق] الصياغة الأولى: من بين شاشات مجلد Finance الكاتبة، شاشةٌ واحدةٌ فقط تستدعي حارسَ الفترة: Finance/journal_form_fin.php (السطران 59 و143). ولا استدعاءَ في payments_fin.php ولا dues_fin.php ولا events_list_fin.php ولا c</t>
  </si>
  <si>
    <t xml:space="preserve">إقفالُ الفترة يمنع القيدَ اليدويَّ وحدَه: تبقى الذممُ والمدفوعاتُ والأحداثُ الماليةُ وسجلاتُ التكلفة والمطابقةُ البنكية تُنشأ وتُعدَّل بتواريخَ داخل فترةٍ مقفلة، فيتغير الرصيدُ بعد الإقفال ويفقد الإقفالُ معناه.</t>
  </si>
  <si>
    <t xml:space="preserve">حارسُ الفترة أُضيف نقطيًّا عند إصلاح القيود ولم يُعمَّم على مسارات الكتابة المالية الأخرى.</t>
  </si>
  <si>
    <t xml:space="preserve">includes/period_guard.php:24; app/Core/EventPublisher.php:311-318; Finance/journal_form_fin.php:143; Finance/dues_fin.php:97; Finance/payments_fin.php:131</t>
  </si>
  <si>
    <t xml:space="preserve">١) أقفِل فترةَ الشهر الماضي. ٢) أنشئ حركةَ صرفٍ أو ذمّةً أو حدثًا ماليًّا بتاريخٍ داخل تلك الفترة. ٣) لاحظ نجاحَ الحفظ بلا أي منع.</t>
  </si>
  <si>
    <t xml:space="preserve">أضِف require_once includes/period_guard.php و ems_period_check($conn,$company_id,$date) قبل كل insert/update ماليٍّ في الملفات التسعة المذكورة، وأرجِع 423 برسالة السبب عند الإقفال.</t>
  </si>
  <si>
    <t xml:space="preserve">كلُّ محاولةِ كتابةٍ ماليةٍ بتاريخٍ في فترةٍ مقفلةٍ تُرفض 423 برسالةٍ تسمّي الفترةَ والسبب، من كل شاشات المالية.</t>
  </si>
  <si>
    <t xml:space="preserve">صحيحٌ أن شاشات Finance الكاتبةَ لا تستدعي ems_period_check (عدا journal_form_fin)، لكنّ الحارسَ مركزيٌّ في نقطة الخنق: app/Core/EventPublisher.php:311-318 يرفض أيَّ حدثٍ ماليٍّ في فترةٍ مقفلة، ومعه DepreciationService:128 وPeriodicEventService وclaim_helpers:1048.</t>
  </si>
  <si>
    <t xml:space="preserve">INJ-0181</t>
  </si>
  <si>
    <t xml:space="preserve">AR-04 · مفتاحُ منع التكرار في كل أثر — «إعادةُ النداء ترجع مرجعَ الأثر الأول»</t>
  </si>
  <si>
    <t xml:space="preserve">«كلُّ فعلٍ ذي أثرٍ يحمل مفتاحًا مركَّبًا لا يتكرر… تحقق من UNIQUE index على المفتاح المركَّب».</t>
  </si>
  <si>
    <t xml:space="preserve">لا يحمل أيُّ معالجِ كتابةٍ في مجلد Finance مفتاحَ عطالةٍ على مستوى الطلب: إنشاءُ القيد (journal_form_fin.php:177) والذمّة (dues_fin.php:97) وحركةِ الخزينة (payments_fin.php:131) والحدثِ المالي (events_list_fin.php:193) وسجلِّ التكلفة (cost_report_fin.php:46) — كلُّها إدراجٌ مباشرٌ بلا مفتاح. ورمزُ الحماية جلسيٌّ يُقارَن ولا يُستهلك (includes/security.php:233) فلا يمنع إعادةَ الإرسال. والمفتاحُ منفَّذٌ في طبقة الأحداث فقط.</t>
  </si>
  <si>
    <t xml:space="preserve">نقرتان أو زرُّ رجوعٍ أو إعادةُ إرسالٍ تُنشئ قيدًا ثانيًا أو ذمّةً ثانيةً أو صرفًا ثانيًا بالمبلغ نفسِه؛ وهي أكثرُ أخطاء الأنظمة المالية شيوعًا وأصعبُها اكتشافًا بعد الإقفال.</t>
  </si>
  <si>
    <t xml:space="preserve">العطالةُ نُفِّذت في ناقل الأحداث (idempotency_key) ولم تُنفَّذ في طبقة الطلب لأي معالجٍ في المستودع؛ و app/Core/ProcessedOperations.php الذي يوفّرها بلا أي مستدعٍ إنتاجي.</t>
  </si>
  <si>
    <t xml:space="preserve">Finance/journal_form_fin.php:174; Finance/journal_form_fin.php:177; Finance/dues_fin.php:97; Finance/payments_fin.php:130; Finance/events_list_fin.php:192; includes/security.php:233; app/Core/ProcessedOperations.php:1</t>
  </si>
  <si>
    <t xml:space="preserve">١) أنشئ قيدًا متوازنًا واضغط حفظ. ٢) اضغط زرَّ الرجوع ثم أعِد الإرسال. ٣) اعدّ صفوفَ fin_journal_entries → قيدان بنفس المحتوى وبرقمين مختلفين.</t>
  </si>
  <si>
    <t xml:space="preserve">أضِف حقلَ idempotency_key في نماذج المالية (مولَّدًا في الواجهة) وفهرسًا فريدًا على (company_id, idempotency_key) في fin_journal_entries و fin_dues و fin_payments و fin_financial_events و fin_cost_records، واستعمل app/Core/ProcessedOperations.php لادّعاء المفتاح قبل الكتابة وإرجاعِ مرجع الأثر الأول عند التكرار.</t>
  </si>
  <si>
    <t xml:space="preserve">إرسالُ نفس نموذج القيد/الذمّة/الصرف مرتين وبالتوازي ينتج صفًّا واحدًا، والاستجابةُ الثانيةُ تحمل رقمَ المستند الأول.</t>
  </si>
  <si>
    <t xml:space="preserve">لا مفتاحَ عطالةٍ في أيِّ معالجِ كتابةٍ ماليّ (journal_form_fin.php:177 · dues_fin.php:97 · payments_fin.php:131 · events_list_fin.php:193)، وverify_csrf_token (security.php:233) مقارنةٌ جلسيةٌ لا تُستهلك، وProcessedOperations بلا مستدعٍ إنتاجيّ. خُفّضت لأن نمطَ PRG (ems_gov_flash_redirect بعد الإدراج) يحجب تكرارَ التحديث.</t>
  </si>
  <si>
    <t xml:space="preserve">INJ-0182</t>
  </si>
  <si>
    <t xml:space="preserve">PR-06 · لا رجعيةَ في المعتمَد — «التصحيحُ حركةٌ جديدةٌ تشير إلى الأصل، أو حركةٌ عاكسةٌ بمرجعها»</t>
  </si>
  <si>
    <t xml:space="preserve">الذمم والتحصيل / طلبات الدفع</t>
  </si>
  <si>
    <t xml:space="preserve">«المستندُ المعتمدُ لا يُعدَّل ولا يُحذف. والتصحيحُ حركةٌ جديدةٌ تشير إلى الأصل، أو حركةٌ عاكسةٌ بمرجعها إن كان الأثرُ ماليًّا قد وقع».</t>
  </si>
  <si>
    <t xml:space="preserve">لا مسارَ عكسٍ لأيٍّ من الذمم أو المدفوعات: الشاشتان توفران حذفًا ناعمًا فقط (dues_fin.php:44 و :52 · payments_fin.php:112)، والحذفُ الناعمُ للذمّة مشروطٌ بألا تكون paid والدفعةُ بأن تكون draft — أي أن المنفَّذَ لا يُعكس ولا يُصحَّح بحركةٍ جديدة. وأعمدةُ «عكس عن»/«معكوس بـ» تُحقن رؤوسًا بلا مصدر (gov_columns.php:38-39)، وapp/Services/Actions/ReverseService.php بلا أي مستدعٍ إنتاجي.</t>
  </si>
  <si>
    <t xml:space="preserve">خطأٌ في ذمّةٍ مسوّاةٍ أو صرفٍ منفَّذٍ لا سبيلَ لتصحيحه إلا بتعديلٍ خلفيٍّ في القاعدة أو بترك الخطأ؛ فتفقد الدفاترُ خاصيةَ السجل التاريخيِّ التي يفرضها المبدأ.</t>
  </si>
  <si>
    <t xml:space="preserve">بوابةُ العكس العامة كُتبت ولم تُوصل بأي شاشة، واكتُفي بالحذف الناعم بديلًا عن الحركة العاكسة.</t>
  </si>
  <si>
    <t xml:space="preserve">Finance/dues_fin.php:43; :51; Finance/payments_fin.php:112; includes/gov_columns.php:38-39; app/Services/Actions/ReverseService.php:22</t>
  </si>
  <si>
    <t xml:space="preserve">١) نفّذ دفعةَ صرفٍ (state=executed). ٢) ابحث عن زرِّ «عكس الحركة» → لا يوجد؛ وزرُّ الحذف لا يعمل على المنفَّذ. ٣) افتح عمودَي «عكس عن»/«معكوس بـ» → «—» دائمًا.</t>
  </si>
  <si>
    <t xml:space="preserve">أضِف فعلَ «حركة عاكسة» في Finance/payments_fin.php و Finance/dues_fin.php يستدعي app/Services/Actions/ReverseService.php وينشئ صفًّا جديدًا بـreverses_id يشير إلى الأصل ويُبقي الأصلَ ظاهرًا، ثم املأ عمودَي gov_columns من هذا المرجع.</t>
  </si>
  <si>
    <t xml:space="preserve">عكسُ دفعةٍ منفَّذةٍ ينشئ صفًّا جديدًا بمرجعِ الأصل، ويظهر الصفّان معًا في الشاشة وفي سجل التدقيق، ولا يُحذف الأصل.</t>
  </si>
  <si>
    <t xml:space="preserve">الشاشتان توفران حذفًا ناعمًا مشروطًا فقط (dues_fin.php:43 و:51 · payments_fin.php:112)، وapp/Services/Actions/ReverseService::resolve بلا أيِّ مستدعٍ إنتاجيّ، وأعمدةُ «عكس عن/معكوس بـ» رؤوسٌ محقونةٌ من gov_columns.php:38-39 بلا مصدر.</t>
  </si>
  <si>
    <t xml:space="preserve">INJ-0183</t>
  </si>
  <si>
    <t xml:space="preserve">INJAZ-FRD-01 §٩-٣ · المرحلة ٧ — «لا مرحلةَ بلا مخرَج» · شرطُ الإغلاق بالدليل</t>
  </si>
  <si>
    <t xml:space="preserve">إقفال الفترة المحاسبية — بنود الإقفال</t>
  </si>
  <si>
    <t xml:space="preserve">«لا إقفالَ نهائيٌّ قبل إنجاز بنود الإقفال الإلزامية» كما يعلن رأسُ الملف، والبندُ المنجَزُ يُغلق بدليلٍ لا بصمت.</t>
  </si>
  <si>
    <t xml:space="preserve">إنجازُ بند الإقفال (الأسطر 75-80) يضع item_state='done' لأي بندٍ بمعرّفه عبر GET بلا مرفقٍ ولا مرجعِ مستندٍ ولا ملاحظةٍ ولا تحقّقٍ من أن البند يخصّ الفترةَ المعنيّة (الشرطُ الوحيد array('id'=&gt;$it))، ثم يصير الإقفالُ ممكنًا لأن العدّاد في السطر 41 يعدّ البنودَ pending فقط.</t>
  </si>
  <si>
    <t xml:space="preserve">قائمةُ الإقفال تتحول إلى نقراتٍ شكلية: تُعلَّم البنودُ منجَزةً بلا دليل، فيقع الإقفالُ النهائيُّ مستوفيًا الشكلَ خاليًا من المضمون.</t>
  </si>
  <si>
    <t xml:space="preserve">لم يُطلب دليلٌ لإنجاز البند ولم يُربط البندُ بمصدرِ إثباتٍ (تقريرٍ أو مطابقةٍ أو مرفق).</t>
  </si>
  <si>
    <t xml:space="preserve">Finance/periods_fin.php:41; :74; :77; :78</t>
  </si>
  <si>
    <t xml:space="preserve">١) بدور مالية افتح فترةً وبنودَ إقفالها. ٢) اضغط «إنجاز» على كل بندٍ إلزاميٍّ متتاليًا بلا إدخال شيء. ٣) اضغط «إقفال» → يقع الإقفال.</t>
  </si>
  <si>
    <t xml:space="preserve">في Finance/periods_fin.php:75 اشترط evidence_ref (مرفق أو مرجع تقرير) وملاحظةً غيرَ فارغةٍ لإنجاز البند، وأضِف شرطَ period_id إلى where، واستدعِ ems_audit_change لكل إنجازٍ.</t>
  </si>
  <si>
    <t xml:space="preserve">إنجازُ بندِ إقفالٍ بلا مرجعِ دليلٍ يُرفض 422؛ وكلُّ بندٍ منجَزٍ يعرض دليلَه ومن أنجزه ومتى.</t>
  </si>
  <si>
    <t xml:space="preserve">إنجازُ بند الإقفال يقع بـGET بلا مرجعِ دليلٍ ولا ملاحظةٍ ولا شرطِ period_id في where، والعدّادُ الحاكمُ يعدّ pending فقط.</t>
  </si>
  <si>
    <t xml:space="preserve">INJ-0184</t>
  </si>
  <si>
    <t xml:space="preserve">INJAZ-FRD-01 §٩ · ملاحظةُ الوثيقة — «الوثيقةُ تعلن «12 مرحلة» ويسرد الجدولُ ١١ صفًّا برقمَي 10 مكررين»</t>
  </si>
  <si>
    <t xml:space="preserve">مراحل دورة المالية في السايدبار</t>
  </si>
  <si>
    <t xml:space="preserve">الترتيبُ من الدورة المستندية لا من تاريخ البرمجة، ولكل مرحلةٍ مجموعتُها في السايدبار (INJAZ-FRD-01 §٩-٢).</t>
  </si>
  <si>
    <t xml:space="preserve">التصحيح: الوثيقةُ تسرد ١١ صفَّ مرحلةٍ لا ١٢ (frd_readable.md:674-686). — [مُصحَّح بعد التحقق] الصياغة الأولى: سايدبار أدوار المالية يعرض ٨ مراحلَ مرقّمةً (أولًا…سابعًا + متابعة) ومجموعتَي «إعدادات المالية» و«خارج الوثيقة»، أي ١٠ مجموعاتٍ مقابل ١٢ مرحلةً معلَنة. والمرحلتان المفقودتان هما «تاسعًا: التحليلُ الما</t>
  </si>
  <si>
    <t xml:space="preserve">دورةُ عمل المالية تُعرض ناقصةً مرحلتين، إحداهما مرحلةٌ كاملةٌ بعشر شاشاتٍ مبنيّة؛ فيبدو النظامُ أقلَّ مما بُني ويُحرَم المستخدمُ من أدوات التحليل التي دُفع ثمنُها.</t>
  </si>
  <si>
    <t xml:space="preserve">بذرةُ link_groups لأدوار المالية أُنشئت للمراحل الثماني الأولى فقط ولم تُستكمل بعد بناء شاشات التحليل.</t>
  </si>
  <si>
    <t xml:space="preserve">database/schema/seed_reference.sql:3542; Finance/fin_ratios.php:1; Finance/fin_early_warning.php:1</t>
  </si>
  <si>
    <t xml:space="preserve">١) ادخل بدور ١٧. ٢) اعدّ مجموعاتِ السايدبار = ١٠ (منها مجموعتان غيرُ مرحليّتين). ٣) ابحث عن «التحليل المالي والنسب» أو «مخاطر الإدارة» → غير موجودتين.</t>
  </si>
  <si>
    <t xml:space="preserve">أضِف مجموعتين في link_groups لأدوار المالية: «تاسعًا: التحليلُ الماليُّ والنسب» بشاشات fin_ratios/fin_ratio_detail/fin_ratio_targets/fin_cashflow_stmt/fin_equity_stmt/fin_project_pl/fin_contract_margin/fin_unit_economics/fin_early_warning/fin_posting_matrix، و«مخاطرُ الإدارة» بشاشة Risk/risk_dept_fin.php.</t>
  </si>
  <si>
    <t xml:space="preserve">بدور ١٧ تظهر مجموعتا التحليل والمخاطر بمحتواهما، وكلُّ رابطٍ فيهما يفتح شاشتَه.</t>
  </si>
  <si>
    <t xml:space="preserve">تحقّقت: سايدبار الدور 17 يعرض 0..7 ثم «متابعة وتقارير المالية» و«إعدادات المالية» و«خارج الوثيقة»؛ ولا مجموعةَ لمرحلة «تاسعًا: التحليلُ المالي والنسب» و`Finance/fin_ratios.php` **بلا صفِّ nav_items إطلاقًا**، ومخاطرُ الإدارة في مجموعة «خارج الوثيقة».</t>
  </si>
  <si>
    <t xml:space="preserve">INJ-0185</t>
  </si>
  <si>
    <t xml:space="preserve">PR-06 (مقتبسٌ في §٩) — «عدمُ الرجعية: المستندُ المعتمدُ لا يُعدَّل — والتصحيحُ حركةٌ جديدة»</t>
  </si>
  <si>
    <t xml:space="preserve">تسوية المورد</t>
  </si>
  <si>
    <t xml:space="preserve">«المستندُ المعتمدُ لا يُعدَّل… والتصحيحُ حركةٌ جديدة»، وكلُّ فعلٍ جماعيٍّ ذي أثرٍ ماليٍّ يترك أثرًا يُبيّن ما شمله.</t>
  </si>
  <si>
    <t xml:space="preserve">السطرُ 28 يستدعي `fin_verify_action_token()` والسطرُ 29 يفرض `fin_can_perform(...,'treasurer')` — فالنقصُ في المستندِ والتدقيق لا في الحارس. — [مُصحَّح بعد التحقق] الصياغة الأولى: فعلُ «تسوية مورد» (dues_fin.php:26-37) يحدّث settlement_state إلى 'settled' لكل صفوف المورد المعلَّقة دفعةً واحدةً بلا حدٍّ زمنيٍّ ولا مبلغٍ ولا رقمِ تسويةٍ (settlement_id يبقى NULL) ولا سطرِ تدقيق؛ و</t>
  </si>
  <si>
    <t xml:space="preserve">تسويةٌ جماعيةٌ لا يمكن عكسُها ولا تتبعُ ما شملته: لا يُعرف أيُّ الصفوف سُوِّي في أي تسويةٍ ولا بأي مبلغ، فيسقط ربطُ الصفِّ بتسويته الذي صُمِّم له العمودُ settlement_id في الجدول.</t>
  </si>
  <si>
    <t xml:space="preserve">نُفِّذ الفعلُ كتحديثٍ جماعيٍّ سريعٍ بلا إنشاء مستندِ تسويةٍ يحمل رقمَه ومبلغَه ونطاقَه.</t>
  </si>
  <si>
    <t xml:space="preserve">Finance/dues_fin.php:26-37; app/Services/Settlement/SettlementService.php:156-170; database/schema/schema.sql:4026</t>
  </si>
  <si>
    <t xml:space="preserve">١) بدور أمين الخزينة اضغط «تسوية» لمورد له عدةُ مستحقات. ٢) افحص الصفوف → settlement_state='settled' و settlement_id=NULL. ٣) ابحث عن مستندِ تسويةٍ يحمل الرقم → لا يوجد.</t>
  </si>
  <si>
    <t xml:space="preserve">في Finance/dues_fin.php:26 أنشئ صفَّ تسويةٍ في جدول settlements أولًا، ثم حدّث الصفوفَ بـsettlement_id=&lt;الرقم&gt; ضمن معاملةٍ واحدة، وسجّل ems_audit_change بعدد الصفوف والمبلغ.</t>
  </si>
  <si>
    <t xml:space="preserve">كلُّ تسويةٍ تنشئ مستندًا برقمٍ ومبلغٍ، وكلُّ صفٍّ مسوًّى يحمل settlement_id يشير إليه، ويظهر الفعلُ في سجل التدقيق.</t>
  </si>
  <si>
    <t xml:space="preserve">الفعلُ فعلًا يقلب `settlement_state` جماعيًّا بلا `settlement_id` ولا مستندِ تسويةٍ ولا سطرِ تدقيق، متجاوزًا `SettlementService` الذي يفعل ذلك صحيحًا؛ لكنه محروسٌ برمزٍ وبفصلِ واجبات.</t>
  </si>
  <si>
    <t xml:space="preserve">INJ-0186</t>
  </si>
  <si>
    <t xml:space="preserve">§٨ التصدير · CORE-01 ٤-٢/٧ — «التصديرُ يدعم العرضَ الحاليَّ وجميعَ الأعمدةِ المسموحةِ معًا»</t>
  </si>
  <si>
    <t xml:space="preserve">سجل الأحداث المالية / التكاليف والربحية</t>
  </si>
  <si>
    <t xml:space="preserve">«يوجب خياري تصدير: العرضُ الحاليُّ · وجميعُ الأعمدة المسموحة»؛ و«صدّر بحساب غير مخوَّلٍ لعمودٍ حساس — يجب ألّا يظهر العمود في الملف (فحص محتوى CSV/XLSX من الخادم)».</t>
  </si>
  <si>
    <t xml:space="preserve">التصديرُ في شاشتي المالية هاتين ينفَّذ في المتصفح عبر أزرار DataTables (events_list_fin.php:484-488 و cost_report_fin.php:199): خيارُ نسخٍ وExcel وطباعةٍ فقط — لا خيارَ «كل الأعمدة المسموحة»، ولا فحصَ حساسيةٍ في الخادم، ولا سطرَ تصديرٍ في السجل. وشاشةُ الأحداث تعمل بمعالجةٍ خادميةٍ (ems_dt_emit) فيصدّر الزرُّ الصفحةَ المعروضةَ وحدَها لا النتيجةَ كاملة.</t>
  </si>
  <si>
    <t xml:space="preserve">تصديرٌ ناقصٌ ومضلِّل: المستخدمُ يظن أنه صدّر النتيجةَ كاملةً وقد صدّر صفحةً واحدة؛ ولا يُسجَّل خروجُ البيان المالي من النظام، ولا يمرّ بأي حجبٍ للحقول الحساسة.</t>
  </si>
  <si>
    <t xml:space="preserve">خمسُ تنفيذاتٍ متوازيةٍ للتصدير في النظام، وهذه أضعفُها: أزرارُ عميلٍ لا تعرف صلاحياتِ الأعمدة ولا تُخطر الخادم.</t>
  </si>
  <si>
    <t xml:space="preserve">Finance/events_list_fin.php:484-488; Finance/cost_report_fin.php:199; excel.php:81-90</t>
  </si>
  <si>
    <t xml:space="preserve">١) افتح «سجل الأحداث المالية» واضبط الترشيح على نتيجةٍ من ٥٠٠ صف. ٢) اضغط «📊 Excel». ٣) افتح الملف → يحوي صفوفَ الصفحة الحالية فقط. ٤) ابحث عن سطرِ تصديرٍ في السجل → لا يوجد.</t>
  </si>
  <si>
    <t xml:space="preserve">احذف أزرارَ DataTables من Finance/events_list_fin.php:484 و Finance/cost_report_fin.php:199، وسجّل الكيانين في app/Services/Excel/ExcelRegistry.php، واستعمل excel.php?action=export بخيارَي «العرض الحالي» و«كل الأعمدة المسموحة» مع تمرير الفلاتر وكتابةِ سطر تصدير.</t>
  </si>
  <si>
    <t xml:space="preserve">مكتب الهندسة — وحدة الواجهة</t>
  </si>
  <si>
    <t xml:space="preserve">زرُّ التصدير يعرض خيارين، والملفُّ الناتجُ يطابق نتيجةَ الترشيح كاملةً، ويظهر سطرُ تصديرٍ باسم المصدِّر والوقت وعددِ الصفوف.</t>
  </si>
  <si>
    <t xml:space="preserve">تحقّقت: التصديرُ في الشاشتين أزرارُ DataTables (نسخ/Excel/طباعة) بلا خيارِ «كل الأعمدة المسموحة» ولا فحصِ حساسيةٍ خادميٍّ ولا سطرِ سجل — بخلاف مسار excel.php الذي يقيّد الاطّلاع. خفّضتُ الخطورة لأن المصدَّرَ هو المعروضُ أصلًا (مرشَّحٌ بالصلاحية عند التصيير).</t>
  </si>
  <si>
    <t xml:space="preserve">INJ-0187</t>
  </si>
  <si>
    <t xml:space="preserve">§٧-٣ · §٩-٤ — زرُّ إظهارِ كلِّ الأعمدة (CM-10) إلزاميٌّ في الشاشات الطويلة</t>
  </si>
  <si>
    <t xml:space="preserve">شبكات المالية</t>
  </si>
  <si>
    <t xml:space="preserve">«الشاشاتُ الطويلةُ (٢٠+ عمودًا) تحتاج مناظرَ وزرَّ إظهارِ الكلِّ إلزامًا»، و«بالاسمِ الموحَّدِ في كل الشاشاتِ — ولا يُغيَّر نصُّه».</t>
  </si>
  <si>
    <t xml:space="preserve">العددُ المقيسُ ٤٢ شبكةً مضمَّنةً لا ٣٢ (الشاشاتُ التي تمرّ بـ`includes/u13_screen_kit.php` تحصل على الزرِّ من العدة نفسِها). — [مُصحَّح بعد التحقق] الصياغة الأولى: ٣٢ شبكةً في مجلد Finance بلا أي أداةِ إظهارِ أعمدةٍ إطلاقًا — وهي أكبرُ حصةٍ بين كل المجلدات — منها dues_fin.php و payments_fin.php و journal_form_fin.php و periods_fin.php و accounts_fin.php و bank_r</t>
  </si>
  <si>
    <t xml:space="preserve">المستخدمُ الماليُّ لا يستطيع بلوغَ النموذج الكامل لأي شاشةٍ من شاشاته الأساسية، ولا حفظَ منظرٍ مهمّي؛ فيلجأ إلى التصدير أو إلى طلب تقريرٍ من التطوير.</t>
  </si>
  <si>
    <t xml:space="preserve">مكوّنُ إظهار الأعمدة نُفِّذ في مكوّنين اثنين ولم يُعمَّم على شبكات المالية، ولا فحصَ آليٌّ يمنع نشرَ شاشةٍ طويلةٍ بلا منتقٍ.</t>
  </si>
  <si>
    <t xml:space="preserve">Finance/dues_fin.php:1; Finance/payments_fin.php:186; Finance/journal_form_fin.php:1; Finance/periods_fin.php:1; includes/u13_screen_kit.php:319; assets/js/column-groups.js:176</t>
  </si>
  <si>
    <t xml:space="preserve">١) افتح «الذمم والتحصيل». ٢) ابحث عن زرٍّ نصُّه «إظهار كل الأعمدة» → غير موجود. ٣) كرّر على «طلبات الدفع» و«القيود اليومية» و«إقفال الفترة».</t>
  </si>
  <si>
    <t xml:space="preserve">أدرِج مكوّنَ CM-10 (بالنص الموحد «إظهار كل الأعمدة») في شبكات المالية الاثنتين والثلاثين عبر includes/u13_screen_kit.php أو assets/js/column-groups.js، وأضِف فحصًا في بوابة الشاشة يرفض شاشةً طويلةً بلا منتقٍ.</t>
  </si>
  <si>
    <t xml:space="preserve">فحصٌ آليٌّ: كلُّ شبكةٍ في Finance/ تحوي عنصرًا نصُّه «إظهار كل الأعمدة»؛ صفرُ شبكةٍ طويلةٍ بلا منتقٍ.</t>
  </si>
  <si>
    <t xml:space="preserve">٤٢ ملفًّا في Finance/ يحمل `&lt;table&gt;` مضمَّنًا وليس في أيٍّ منها مكوّنُ CM-10 ولا عدةُ u13؛ والستةُ المسمّاةُ في الملاحظة خاليةٌ منه فعلًا.</t>
  </si>
  <si>
    <t xml:space="preserve">INJ-0188</t>
  </si>
  <si>
    <t xml:space="preserve">§٤-١ الشاشاتُ القانونية — «لكلٍّ وجهةٌ حيةٌ موجودةٌ» · §٤-٥ القائمةُ من NAV-09</t>
  </si>
  <si>
    <t xml:space="preserve">شاشات المالية غير الظاهرة</t>
  </si>
  <si>
    <t xml:space="preserve">http://localhost/ems/Finance/fin_ratios.php</t>
  </si>
  <si>
    <t xml:space="preserve">«القائمةُ تُولَّد من مصفوفة العرضِ في NAV-09»، ولكل شاشةٍ ظهورٌ بنطاقه وزاويته؛ والمرحلةُ العاشرة «تاسعًا: التحليلُ الماليُّ والنسب» تعلن ١٠ شاشات.</t>
  </si>
  <si>
    <t xml:space="preserve">كتلُ ob_* وctrl_* وtre_* وacc_* لها صفوفُ nav_items حيةٌ (مثال: 6893 ob_register · 6902 acc_my_day · 6908 ctrl_supervision · 6912 tre_sod_matrix) فادّعاءُ خفائها ساقط؛ والغائبُ فعلًا كتلةُ التحليل وgov_dept_fin وoperator_pay_fin. — [مُصحَّح بعد التحقق] الصياغة الأولى: ٤٤ ملفًّا من ٧٣ في مجلد Finance لا تظهر في سايدبار أي دور. ومن بينها كتلةُ التحليل المالي كاملةً (fin_ratios.php · fin_ratio_detail.php · fin_ratio_targets.php · fin_cashflow_stmt.php · fin_equity_stm</t>
  </si>
  <si>
    <t xml:space="preserve">مرحلةٌ كاملةٌ معلَنةٌ في الوثيقة (التحليلُ الماليُّ والنسبُ — ١٠ شاشات) منفَّذةٌ على القرص وغيرُ قابلةٍ للوصول من أي سايدبار؛ والعميلُ لا يرى ما دُفع ثمنُه. وكذلك سجلُّ الالتزامات الذي يحمل حكمَ OR-06.</t>
  </si>
  <si>
    <t xml:space="preserve">بُنيت الشاشاتُ بمولّد u13 وسُجِّلت في manifest التوليد ولم تُبذَر لها صفوفُ nav_items في مصفوفة العرض.</t>
  </si>
  <si>
    <t xml:space="preserve">Finance/fin_ratios.php:1; Finance/fin_posting_matrix.php:1; database/schema/seed_reference.sql (صفوف modules للكتلة بلا نظائر في nav_items)</t>
  </si>
  <si>
    <t xml:space="preserve">١) ادخل بدور ١٧ أو ١٩. ٢) ابحث في السايدبار عن «النسب المالية» أو «سجل الالتزامات» → غير موجودة. ٣) افتح http://localhost/ems/Finance/fin_ratios.php مباشرةً → تُفتح.</t>
  </si>
  <si>
    <t xml:space="preserve">ابذر صفوفَ nav_items لأدوار المالية للكتل الخمس (fin_* التحليلية · ob_* · ctrl_* · tre_* · acc_*) في مجموعاتها المستندية (المرحلة ٩ للتحليل والمرحلة ٨ للمتابعة)، أو أعلِن استثناءً موثَّقًا لكل ملفٍ لا يُراد إظهارُه.</t>
  </si>
  <si>
    <t xml:space="preserve">بدور ١٧: تظهر مجموعةُ «تاسعًا: التحليلُ الماليُّ والنسب» بعشر شاشاتٍ تُفتح كلُّها؛ وصفرُ ملفِّ شاشةٍ في Finance/ بلا ظهورٍ أو استثناءٍ معلَن.</t>
  </si>
  <si>
    <t xml:space="preserve">العددُ المدَّعى مبالغٌ فيه: الملفاتُ بلا صفِّ nav_items في Finance/ تسعةَ عشرَ لا أربعةً وأربعين، منها سبعةُ كرونٍ ومساعدين — لكنّ الادعاءَ الجوهريَّ صحيح: كتلةُ التحليل المالي العشرُ (fin_ratios · fin_ratio_detail · fin_ratio_targets · fin_cashflow_stmt · fin_equity_stmt · fin_project_pl · fin_contract_margin · fin_unit_economics · fin_early_warning · fin_posting_matrix) لها صفوفُ modules ولا صفَّ تنقّلٍ لأيِّ دور.</t>
  </si>
  <si>
    <t xml:space="preserve">INJ-0189</t>
  </si>
  <si>
    <t xml:space="preserve">§٤-٢ مناطقُ السايدبار الخمس · §٤-٥ «لا يُعرض عنصرٌ لا يملكه المستخدمُ»</t>
  </si>
  <si>
    <t xml:space="preserve">خارج الوثيقة — بانتظار قرار المالك (دور إدارة المالية)</t>
  </si>
  <si>
    <t xml:space="preserve">http://localhost/ems/Finance/executive_dashboard_fin.php</t>
  </si>
  <si>
    <t xml:space="preserve">بنيةُ السايدبار خمسُ مناطقَ، والترتيبُ من الدورة المستندية؛ ولا يُعرض عنصرٌ لا يملكه المستخدم.</t>
  </si>
  <si>
    <t xml:space="preserve">سايدبار دور ١٧ «إدارة المالية» يحوي مجموعةً بعنوان «خارج الوثيقة — بانتظار قرار المالك» فيها ٢٣ رابطًا، منها ١٠ روابطَ لشاشاتٍ مملوكةٍ لإدارتين أخريين: Suppliers/supplier_contract_lines.php · supplier_rules.php · supplier_capacity.php · supplier_closure.php · supplier_documents.php · rfq_requests.php (إدارة الموردين) و Contracts/contract_lines.php · plan_actual_link.php · contract_baseline.php · contract_lifecycle.php (المبيعات والعقود) — والمالية «لا تملك العقدَ والسعر» نصًّا.</t>
  </si>
  <si>
    <t xml:space="preserve">ثلثُ سايدبار المالية مجموعةٌ واحدةٌ بعنوانٍ داخليٍّ تضمّ شاشاتِ إدارتين أخريين؛ فتُخلط الملكياتُ ويُمنح المستخدمُ الماليُّ بابًا إلى بنود العقود وأسعار الموردين خلافًا لحدّ اختصاصه المعلَن.</t>
  </si>
  <si>
    <t xml:space="preserve">أُلقيت الشاشاتُ غيرُ المصنَّفة في مجموعةٍ واحدةٍ مؤقتةٍ بدل تصنيفها بزاويةِ قراءةٍ في مرحلتها أو حجبها.</t>
  </si>
  <si>
    <t xml:space="preserve">database/schema/seed_reference.sql:3542; includes/unified_nav.php:219; Suppliers/supplier_contract_lines.php:1; Contracts/contract_lines.php:1; Finance/executive_dashboard_fin.php:1</t>
  </si>
  <si>
    <t xml:space="preserve">١) ادخل بدور ١٧. ٢) انزل إلى المجموعة الأخيرة. ٣) اعدّ روابطَها = ٢٣، منها ١٠ لشاشات الموردين والعقود.</t>
  </si>
  <si>
    <t xml:space="preserve">صنّف روابطَ المجموعة إلى مراحلها في NAV-09 بزاويةِ قراءةٍ حيث تملك الماليةُ رؤيةً، واحذف ما لا تملكه الماليةُ من nav_items لدور ١٧، ثم أزِل مجموعةَ stage_no=99.</t>
  </si>
  <si>
    <t xml:space="preserve">صفرُ رابطٍ في سايدبار دور ١٧ لشاشةٍ لا تملكها الماليةُ ولا تُمنح رؤيتَها في مصفوفة الظهور؛ وصفرُ مجموعةٍ بعنوان «خارج الوثيقة».</t>
  </si>
  <si>
    <t xml:space="preserve">أكّدتُ العددَ حرفيًّا: 23 رابطًا نشطًا للدور 17 في مجموعة stage_no=99، منها 6 من Suppliers/ و4 من Contracts/ كما ذُكر. لكن الرؤيةَ ممنوحةٌ عمدًا في role_permissions (can_view=1 على الموديولات 153·159·171·173·179·180)، فالعيبُ موضعُ المجموعةِ وعنوانُها لا «منحُ بابٍ خلافًا للاختصاص» — والملاحظةُ نفسُها مصنَّفةٌ P2 في موضعٍ آخر (_idx=155).</t>
  </si>
  <si>
    <t xml:space="preserve">INJ-0190</t>
  </si>
  <si>
    <t xml:space="preserve">§٧ الجداولُ والمناظر — المناظرُ المحفوظةُ والترشيحُ والبحثُ</t>
  </si>
  <si>
    <t xml:space="preserve">«الشاشاتُ كثيفةُ البياناتِ تستخدم مناظرَ موجَّهةً للمهام» (CORE-01 ٤-٢/٥)، و«CM-09 منتقي المنظر — المكوّنُ الذي ينفّذ مبدأَ المناظرِ — إلزاميٌّ في 189 شاشة».</t>
  </si>
  <si>
    <t xml:space="preserve">لا منتقي مناظرَ ولا مناظرَ محفوظةٌ في أي شاشةٍ من شاشات المالية الرئيسة: dues_fin.php و payments_fin.php و journal_form_fin.php و periods_fin.php و accounts_fin.php لا تحوي أي مكوّنِ مناظر؛ والترشيحُ فيها إمّا غائبٌ أو مقتصرٌ على بحث DataTables في الصفحة الحالية.</t>
  </si>
  <si>
    <t xml:space="preserve">المستخدمُ الماليُّ يفتح شاشةً واحدةً لكل مهامه بلا منظرٍ يخصّ مهمتَه (المستحقُّ المتأخر · غيرُ المسوّى · بالعملة الأجنبية)، فيقضي وقتَه في الفرز اليدويّ ويتخذ قراراتِه على صفحةٍ واحدةٍ من النتيجة.</t>
  </si>
  <si>
    <t xml:space="preserve">لم يُعمَّم مكوّنُ CM-09 على شاشات المالية، واكتُفي بجداول DataTables الافتراضية.</t>
  </si>
  <si>
    <t xml:space="preserve">Finance/dues_fin.php:1; Finance/payments_fin.php:185; Finance/journal_form_fin.php:1; Finance/periods_fin.php:1; includes/u13_screen_kit.php:317</t>
  </si>
  <si>
    <t xml:space="preserve">١) افتح «الذمم والتحصيل». ٢) ابحث عن منتقي مناظرَ أو مناظرَ محفوظة → لا يوجد. ٣) جرّب ترشيحًا على «غير المسوّى» → لا مرشِّح.</t>
  </si>
  <si>
    <t xml:space="preserve">أضِف مكوّنَ المناظر CM-09 لشاشات المالية الخمس الرئيسة بمناظرَ افتراضيةٍ مشتقةٍ من المهام (المتأخر · غير المسوّى · بالعملة الأجنبية · المرحَّل)، مع حفظِ المنظر لكل مستخدم.</t>
  </si>
  <si>
    <t xml:space="preserve">كلُّ شاشةٍ ماليةٍ رئيسةٍ تعرض منتقي مناظرَ بثلاثة مناظرَ على الأقل، والمنظرُ المختارُ يُحفظ ويعود عند الفتح التالي.</t>
  </si>
  <si>
    <t xml:space="preserve">لا أثرَ لمكوّنِ المناظر ولا لـu13_screen_kit في dues_fin و payments_fin و journal_form_fin و periods_fin و accounts_fin (صفر مطابقة)، والنصُّ المُقتبَس مطابقٌ لـux_readable.md:405.</t>
  </si>
  <si>
    <t xml:space="preserve">INJ-0191</t>
  </si>
  <si>
    <t xml:space="preserve">AS-06 · طبقةُ الحوكمة المشتركة — «العمودُ بلا مصدرٍ بعدُ يظهر بمكانه «—»» (CORE-01 ٤-٢/٨)</t>
  </si>
  <si>
    <t xml:space="preserve">«كلُّ عمودٍ له مصدرٌ ومالكٌ ونوعٌ وحساسيةٌ وحكمُ تصديرٍ واستيراد — يمنع عمودًا بلا بطاقةِ تعريفٍ كاملة»، و«لا يُنشر رقمٌ لا يُتتبَّع».</t>
  </si>
  <si>
    <t xml:space="preserve">شبكاتُ المالية تحقن رؤوسًا وظيفيةً بالسمة data-fn بلا مصدر: ١٩ في payments_fin.php (منها «الحساب البنكي» و«البنك» و«مصدر التمويل المستخدم» و«المتاح قبل») و١٩ في journal_form_fin.php و٢٤ في entitlement_gate.php و١٥ في assets_fin.php و١٤ في approvals_inbox.php — بمجموعٍ يتجاوز ٢٥٠ رأسًا في المجلد. وحاشيةُ ui-unification.js تملأها بـ«—» أبدًا لأنها بلا مفتاح data-gov.</t>
  </si>
  <si>
    <t xml:space="preserve">شاشاتُ المالية تُعرض على العميل ممتلئةً بأعمدةٍ لا قيمةَ فيها أبدًا — ومنها أعمدةُ مالٍ حرجة كالحساب البنكي وبند الموازنة والمتاح قبل — فيبدو النظامُ مكتملًا وهو غيرُ موصولٍ بمصادره.</t>
  </si>
  <si>
    <t xml:space="preserve">حُقنت رؤوسُ أعمدة المستند في موجة CMP-03 ⑤ قبل ربط المصادر، والتعليقُ المحقونُ في كل شاشةٍ يقرّ بذلك حرفيًّا.</t>
  </si>
  <si>
    <t xml:space="preserve">Finance/payments_fin.php:188; :192; Finance/entitlement_gate.php:49; assets/js/ui-unification.js:221; :245-247</t>
  </si>
  <si>
    <t xml:space="preserve">١) افتح «طلبات الدفع والسداد». ٢) مرّر أفقيًّا إلى عمود «الحساب البنكي». ٣) لاحظ «—» في كل الصفوف. ٤) كرّر على «القيود اليومية» و«بوابة الاستحقاق».</t>
  </si>
  <si>
    <t xml:space="preserve">اربط رؤوسَ data-fn بمصادرها في استعلامات الشاشات، أو أخفِ الرأسَ غيرَ المربوط تلقائيًّا بشرطٍ في includes/gov_columns.php حتى ربطه؛ ولا تنشر عمودًا بلا مصدر.</t>
  </si>
  <si>
    <t xml:space="preserve">صفرُ عمودٍ في شبكات Finance تكون كلُّ خلاياه «—» في عيّنةٍ من ٢٠ صفًّا.</t>
  </si>
  <si>
    <t xml:space="preserve">الأعدادُ مطابقةٌ بالضبط (19·19·24·15·14 رأسًا بسمة data-fn)، وui-unification.js يعاملها معاملةَ أعمدة الحوكمة فيحشوها «—» لغياب مفتاح data-gov — لكنه عيبُ عرضٍ لا حاجبُ إطلاق.</t>
  </si>
  <si>
    <t xml:space="preserve">INJ-0192</t>
  </si>
  <si>
    <t xml:space="preserve">evidence · «اختباراتُ وحدةٍ ناجحةٌ للحرّاس (بوابةُ الوحدة)» — الدليلُ من النظام الحي</t>
  </si>
  <si>
    <t xml:space="preserve">اختبار مصدرية التحميلات</t>
  </si>
  <si>
    <t xml:space="preserve">الدليلُ المقبولُ «مُثبَتٌ من النظام الحيّ»، و«منع: رمزُ رفضٍ وسببٌ ولا أثرَ في الجداول» — والاختبارُ يجب أن يفشل حين يغيب الحارس.</t>
  </si>
  <si>
    <t xml:space="preserve">المسارُ التطبيقيُّ في Finance/dues_fin.php يفرض مستندَ المصدر للخصم فعلًا، فالفجوةُ في «القيد البنيوي» والدليل لا في غياب المنع كليًّا. — [مُصحَّح بعد التحقق] الصياغة الأولى: tests/dues_source_doc_test.php:59 يتحقق أن رسالةَ خطأ الإدراج تحوي 'ck_dues_debit_source' لإثبات «قيدٌ بنيويٌّ لا فحصٌ تطبيقي» (السطران 8-9). وبما أن القيدَ غيرُ موجودٍ في القاعدة، فالإدراجُ ينجح و$e </t>
  </si>
  <si>
    <t xml:space="preserve">بندٌ يُعدّ مغلقًا بدليلٍ اختباريٍّ لا يُثبت ما يدّعيه؛ وهو ما تسمّيه وثيقةُ التنفيذ فجوةَ دليلٍ مفتوحةً وتمنع معها إغلاقَ البند.</t>
  </si>
  <si>
    <t xml:space="preserve">كُتب الاختبارُ على فرضِ هجرةٍ لم تُنفَّذ، ولا بوابةَ CI تشغّل الاختباراتِ وتوقف الدمجَ عند فشلها.</t>
  </si>
  <si>
    <t xml:space="preserve">tests/dues_source_doc_test.php:8; tests/dues_source_doc_test.php:57; tests/dues_source_doc_test.php:59; database/schema/schema.sql:4009</t>
  </si>
  <si>
    <t xml:space="preserve">١) شغّل php tests/dues_source_doc_test.php على قاعدةٍ حيّة. ٢) لاحظ فشلَ الفحص ① «خصمٌ بلا مصدرٍ ترفضه القاعدة». ٣) قارن ذلك بادّعاء رأس الاختبار.</t>
  </si>
  <si>
    <t xml:space="preserve">بعد إضافة هجرةِ القيد، أعِد تشغيلَ tests/dues_source_doc_test.php وأدرِجه في بوابة CI (.github) بحيث يوقف الدمجَ عند الفشل؛ وحدّث tests/settlement_test.php:83 و tests/employee_settlement_test.php:87 و tests/settlements_screen_http_proof.php:101 التي تفترض القيدَ نفسَه.</t>
  </si>
  <si>
    <t xml:space="preserve">مكتب الهندسة — وحدة الجودة</t>
  </si>
  <si>
    <t xml:space="preserve">تشغيلُ الاختبارات الأربعة يعطي رمزَ خروج 0 على قاعدةٍ مهاجَرة، ويعطي 1 على قاعدةٍ بلا القيد.</t>
  </si>
  <si>
    <t xml:space="preserve">القيدُ ck_dues_debit_source غيرُ موجودٍ في المخطط ولا في أيِّ هجرة (لا ذكرَ لـfin_dues في database/migrations أصلًا)، بينما أربعةُ اختباراتٍ وتعليقاتُ الخدمة تستشهد به — فالاختبارُ يرسب أو يوهم.</t>
  </si>
  <si>
    <t xml:space="preserve">INJ-0193</t>
  </si>
  <si>
    <t xml:space="preserve">شرط-٤ · ربطُ الأفعالِ مكتمل — «الورقةُ ٠٧: صفرُ رمزٍ بحالة معلَّق» (CORE-01 ٩-٢ العقدُ السداسي)</t>
  </si>
  <si>
    <t xml:space="preserve">أفعال المالية</t>
  </si>
  <si>
    <t xml:space="preserve">«عقدُ كلِّ فعل: سداسيٌّ: الرمزُ والفاعلُ وما يُكتب والحدثُ والمستهلكُ وفعلُ العكس» — وشرطُ الإطلاق الرابع: صفرُ رمزِ فعلٍ معلَّق.</t>
  </si>
  <si>
    <t xml:space="preserve">الجدولُ الحاكمُ اسمُه actions (وliبقيةُ الستة action_writes · action_events · event_consumers · action_impacts · action_execution_log) وهو منشأٌ بلا صفٍّ واحدٍ مبذور؛ لا وجودَ لجدولٍ باسم act_action_contracts. — [مُصحَّح بعد التحقق] الصياغة الأولى: أفعالُ المالية الأربعةَ عشرَ الأساسية (إنشاءُ حدثٍ · اعتمادُه · قيدٌ · ترحيلٌ · ذمّةٌ · تسويةٌ · صرفٌ · تحصيلٌ · إقفالٌ · فتحٌ استثنائيّ · مطابقةٌ بنكية · إهلاكٌ · موازنةٌ · استقبالُ معاملات) لا يحمل </t>
  </si>
  <si>
    <t xml:space="preserve">لا يمكن إثباتُ اجتياز شرط الإطلاق الرابع للإدارة الأكبر: خريطةُ الأفعال غيرُ قابلةٍ للبناء من الشيفرة لأن معظمَ الأفعال بلا رموزٍ ولا أحداثٍ ولا أفعالِ عكس.</t>
  </si>
  <si>
    <t xml:space="preserve">نُفِّذت الأفعالُ كمعالجاتِ GET/POST مباشرةٍ في الشاشات ولم تُسجَّل في سجل عقود الأفعال (act_action_contracts) الذي أُنشئ في الهجرة.</t>
  </si>
  <si>
    <t xml:space="preserve">database/migrations/2026_11_02_act01_action_contracts.sql:8-31; Finance/payments_fin.php:26; Finance/periods_fin.php:27</t>
  </si>
  <si>
    <t xml:space="preserve">١) افتح أي شاشةٍ ماليةٍ واستخرج أزرارَها. ٢) ابحث عن رمز فعلٍ مسجَّلٍ لكل زر في سجل عقود الأفعال → لا مطابقة. ٣) ابحث عن فعلِ العكس لكلٍّ → لا يوجد.</t>
  </si>
  <si>
    <t xml:space="preserve">سجّل لكل فعلٍ ماليٍّ صفًّا في act_action_contracts بحقوله الستة (الرمز · الفاعل · ما يُكتب · الحدث · المستهلك · فعل العكس)، واربط كل زرٍّ في شاشات المالية برمز فعله عبر سمةٍ في DOM ليقيسه الفاحص.</t>
  </si>
  <si>
    <t xml:space="preserve">مكتب الهندسة — وحدة التتبع</t>
  </si>
  <si>
    <t xml:space="preserve">فاحصٌ آليٌّ يمسح أزرارَ شاشات المالية ويطابقها بسجل عقود الأفعال: صفرُ زرٍّ بلا رمزٍ مسجَّلٍ وصفرُ رمزٍ بلا فعلِ عكس.</t>
  </si>
  <si>
    <t xml:space="preserve">جداولُ عقودِ الأفعال منشأةٌ بالهجرة وخاليةٌ من أيِّ بذرة، فالادعاءُ صحيحٌ جوهرًا — لكنَّ الإصلاحَ يسمّي جدولًا غيرَ موجود والاختبارُ يفترض فاحصًا آليًّا غيرَ مبنيّ.</t>
  </si>
  <si>
    <t xml:space="preserve">INJ-0194</t>
  </si>
  <si>
    <t xml:space="preserve">كلُّ فعلٍ ماليٍّ ذي أثرٍ يمرّ برمزِ حمايةٍ يمنع الطلبَ العابرَ للمواقع — والنمطُ المعتمدُ في المالية fin_verify_action_token المستعملُ في الشاشات الأخرى.</t>
  </si>
  <si>
    <t xml:space="preserve">الحفظُ/التعديلُ (:151) طلبُ POST يمرّ بحارس CSRF المركزيِّ المُنفَّذ على `/Finance/`؛ والمكشوفُ هو `delete_id` و`advance_id` و`reject_id` لأنها GET خارج نطاق الحارس. — [مُصحَّح بعد التحقق] الصياغة الأولى: لا وجودَ لأي استدعاءٍ لـfin_verify_action_token في Finance/events_list_fin.php كلِّه، رغم أن الشاشةَ تحمل خمسةَ أفعالٍ حسّاسةٍ عبر GET/POST: الحفظُ والتعديل (:151) والحذفُ الناعم (:204) والتقدمُ في دو</t>
  </si>
  <si>
    <t xml:space="preserve">اعتمادُ حدثٍ ماليٍّ أو حذفُه يمكن تنفيذُه برابطٍ مزروعٍ في بريدٍ أو صفحةٍ يفتحها المديرُ المالي، لأن الأفعالَ عبر GET بلا رمزٍ ولا تأكيدٍ خادمي.</t>
  </si>
  <si>
    <t xml:space="preserve">توحيدُ رمز الإجراء (إصلاح #2) طُبِّق على بعض شاشات المالية دون هذه.</t>
  </si>
  <si>
    <t xml:space="preserve">Finance/events_list_fin.php:204; :219; :289; includes/security.php:404-451; docs/ARCHITECTURE_CURRENT_SYSTEM_v8_ar.md:225</t>
  </si>
  <si>
    <t xml:space="preserve">١) سجّل الدخولَ بدور مالية. ٢) افتح في تبويبٍ آخر رابطًا خارجيًّا يحوي &lt;img src="http://localhost/ems/Finance/events_list_fin.php?advance_id=1"&gt;. ٣) لاحظ تقدّمَ حالة الحدث بلا أي تفاعلٍ منك.</t>
  </si>
  <si>
    <t xml:space="preserve">أضِف في Finance/events_list_fin.php فحصَ fin_verify_action_token() في رأس كل من مسارات delete_id و advance_id و reject_id وحفظِ POST، وأضِف _t=fin_action_token() إلى روابط هذه الأفعال في التصيير.</t>
  </si>
  <si>
    <t xml:space="preserve">استدعاءُ advance_id/delete_id/reject_id بلا رمزٍ صالحٍ يُرفض برمز GOV-FAIL-409 ولا يغيّر حالة الحدث.</t>
  </si>
  <si>
    <t xml:space="preserve">صحيحٌ أن الملفَّ خالٍ من `fin_verify_action_token`، لكنَّ الفاحصَ أغفل الحارسَ المركزيَّ (فخُّ ٤): POST على /Finance/ محميٌّ بـ`ems_enforce_csrf_protection` — فالثغرةُ محصورةٌ في أفعال GET الثلاثة.</t>
  </si>
  <si>
    <t xml:space="preserve">INJ-0195</t>
  </si>
  <si>
    <t xml:space="preserve">SCN-131-أ · ▐ ١١-٣ — «بنطاق نطاقُه وسقفُه … ومحجوبٍ عنه: اعتمادُ ما أنشأتُه»</t>
  </si>
  <si>
    <t xml:space="preserve">صندوق ما ينتظر اعتمادي</t>
  </si>
  <si>
    <t xml:space="preserve">«يجب أن تُعرض شاشةُ «صندوق ما ينتظر اعتمادي» لـالمالية والخزينة بنطاق نطاقُه وسقفُه · بأفعالٍ مسموحةٍ هي اعتماد · رفضٌ بسبب · إعادة، ومحجوبٍ عنه: اعتمادُ ما أنشأتُه».</t>
  </si>
  <si>
    <t xml:space="preserve">الشاشةُ تستدعي AIS::inbox($conn, $company_id) — والدالةُ لا تأخذ معرّفَ المستخدم ولا دورَه ولا سقفَه إطلاقًا (app/Services/Finance/ApprovalsInboxService.php:19)، فتُرجع كلَّ ما هو معلَّقٌ في الشركة لكل من يفتحها. فلا نطاقَ ولا سقفَ ولا استبعادَ لما أنشأه الفاتح.</t>
  </si>
  <si>
    <t xml:space="preserve">صندوقُ الاعتماد يعرض لكل مستخدمٍ ماليٍّ كلَّ الطلبات والتسويات والقيود والإقفالات المعلَّقةِ في الشركة بلا تصفيةٍ بنطاقه، ولا يمكن بنيويًّا حجبُ «اعتماد ما أنشأتُه» لأن الخدمةَ لا تعرف من يقرأ.</t>
  </si>
  <si>
    <t xml:space="preserve">صُمِّمت الخدمةُ لتجمع العدّادات على مستوى الشركة لا على مستوى المستخدم، فسقط شرطُ النطاق والسقف من الأساس.</t>
  </si>
  <si>
    <t xml:space="preserve">Finance/approvals_inbox.php:39; app/Services/Finance/ApprovalsInboxService.php:19; app/Services/Finance/ApprovalsInboxService.php:26; app/Services/Finance/ApprovalsInboxService.php:42</t>
  </si>
  <si>
    <t xml:space="preserve">١) ادخل بحسابين ماليين مختلفَي الدور. ٢) افتح صندوقَ الاعتماد بكلٍّ منهما. ٣) لاحظ تطابقَ العدّادات والصفوف تمامًا. ٤) أنشئ طلبًا بأحدهما → يظهر في صندوقه هو أيضًا.</t>
  </si>
  <si>
    <t xml:space="preserve">غيّر توقيعَ ApprovalsInboxService::inbox ليأخذ ($conn,$companyId,$userId,$roleId) وأضِف في كل استعلامٍ شرطَ نطاق الدور وسقفَه واستبعادَ created_by = $userId؛ ومرّر المعرّفات من Finance/approvals_inbox.php:39.</t>
  </si>
  <si>
    <t xml:space="preserve">المستخدمُ الذي أنشأ طلبًا لا يراه في صندوق اعتماده؛ ومستخدمان بدورين مختلفين يريان عدّادين مختلفين وفق نطاق كلٍّ منهما.</t>
  </si>
  <si>
    <t xml:space="preserve">AIS::inbox($conn,$company_id) بلا معرّفِ مستخدمٍ ولا دورٍ ولا سقفٍ فتُرجع كلَّ المعلَّق في الشركة، لكن الصندوقَ واجهةُ قراءةٍ وقفزٍ والقرارُ يقع في شاشة مصدره بحارسها — فالأثرُ اطّلاعٌ موسَّعٌ لا سلطةُ اعتماد.</t>
  </si>
  <si>
    <t xml:space="preserve">INJ-0196</t>
  </si>
  <si>
    <t xml:space="preserve">PR-05 · الحارسُ في الخادم — رمزُ الحماية على الأفعال الحاكمة</t>
  </si>
  <si>
    <t xml:space="preserve">كلُّ فعلٍ حاكمٍ يمرّ برمزِ حمايةٍ خادميّ؛ والنمطُ المعتمدُ في مجلد المالية fin_verify_action_token.</t>
  </si>
  <si>
    <t xml:space="preserve">لا يوجد أي استدعاءٍ لـfin_verify_action_token في Finance/periods_fin.php؛ الانتقالاتُ الخمسةُ وإنجازُ بند الإقفال (done_item السطر 75) تُنفَّذ بـGET بلا رمز، ولا سطرَ تدقيقٍ إلا للفتح الاستثنائي (السطر 67).</t>
  </si>
  <si>
    <t xml:space="preserve">إقفالُ فترةٍ محاسبيةٍ أو إعادةُ فتحها يمكن تنفيذُها برابطٍ يفتحه المديرُ المالي دون قصد؛ وثلاثةٌ من خمسةِ انتقالاتٍ لا تترك أثرًا في سجل التدقيق.</t>
  </si>
  <si>
    <t xml:space="preserve">طُبِّق رمزُ الإجراء على بعض شاشات المالية دون شاشة الفترات، وأُضيف التدقيقُ للفتح الاستثنائي وحدَه.</t>
  </si>
  <si>
    <t xml:space="preserve">Finance/periods_fin.php:27-28; :33-56; :67-70; :74-79</t>
  </si>
  <si>
    <t xml:space="preserve">١) سجّل الدخولَ بدور مالية. ٢) افتح رابطًا خارجيًّا يحوي صورةً مصدرُها Finance/periods_fin.php?action=close&amp;pid=1. ٣) لاحظ محاولةَ الإقفال بلا رمزٍ ولا تأكيد.</t>
  </si>
  <si>
    <t xml:space="preserve">أضِف fin_verify_action_token() في رأس كتلة الانتقالات (بعد السطر 28) وفي done_item، وأضِف _t=fin_action_token() إلى روابط الأفعال في التصيير، واستدعِ ems_audit_change لكل من open/soft_close/close/lock.</t>
  </si>
  <si>
    <t xml:space="preserve">استدعاءُ أي انتقالِ حالةٍ بلا رمزٍ صالحٍ يُرفض 409؛ ولكل انتقالٍ ناجحٍ سطرٌ في سجل التدقيق بقيم قبل/بعد.</t>
  </si>
  <si>
    <t xml:space="preserve">الانتقالاتُ الخمسةُ و`done_item` تُنفَّذ كلُّها بـGET بلا رمزِ حماية (والحارسُ المركزيُّ لا يشمل GET)، ولا سطرَ تدقيقٍ إلا للفتح الاستثنائي (:67-70)؛ لكن can_edit مفحوصٌ فخفّضتُ الخطورة.</t>
  </si>
  <si>
    <t xml:space="preserve">INJ-0197</t>
  </si>
  <si>
    <t xml:space="preserve">▐ ١١-٩ سجلاتُ التدقيق — «كلُّ فعلٍ ذي أثرٍ يترك سطرًا بقيم قبل/بعد» (PR-08)</t>
  </si>
  <si>
    <t xml:space="preserve">«كلُّ أثرٍ يُتتبَّع إلى واقعته ومستنده ومعتمِده وتاريخه» — ولكل فعلِ كتابةٍ سطرٌ في سجل التدقيق.</t>
  </si>
  <si>
    <t xml:space="preserve">الناقصُ قيمُ «قبل/بعد» لا أصلُ الأثر — فسجلُّ النشاطِ المركزيُّ يقيّد الفاعلَ والشاشة. — [مُصحَّح بعد التحقق] الصياغة الأولى: من ٧٣ ملفًّا في مجلد Finance، ملفان فقط يستدعيان طبقةَ التدقيق: journal_form_fin.php (ems_audit_change في الأسطر 95 و115) و periods_fin.php (السطر 67 للفتح الاستثنائي وحدَه). صفرُ استدعاءٍ في dues_fin</t>
  </si>
  <si>
    <t xml:space="preserve">إنشاءُ ذمّةٍ أو حركةِ خزينةٍ أو حدثٍ ماليٍّ أو تعديلُها أو حذفُها لا يترك أثرًا يُبيّن من فعل وماذا كانت القيمةُ قبل؛ فتنعدم قابليةُ المراجعة على أكثر مسارات المال استعمالًا.</t>
  </si>
  <si>
    <t xml:space="preserve">طبقةُ التدقيق ems_audit_change أُضيفت في موجة N-02 لمسارَي القيد والفترة ولم تُعمَّم.</t>
  </si>
  <si>
    <t xml:space="preserve">Finance/journal_form_fin.php:95; Finance/periods_fin.php:67; Finance/dues_fin.php:97; Finance/payments_fin.php:131; Finance/events_list_fin.php:193; includes/audit_trail.php:1</t>
  </si>
  <si>
    <t xml:space="preserve">١) أنشئ ذمّةً ثم عدّل حالتَها ثم احذفها ناعمًا. ٢) افتح سجلَّ التدقيق وابحث عن هذه الأفعال → لا شيء.</t>
  </si>
  <si>
    <t xml:space="preserve">أضِف ems_audit_change بعد كل insert/update/softDelete في شاشات المالية الكاتبة (dues_fin:97/44/32 · payments_fin:131/82/112 · events_list_fin:193/180/210 · cost_report_fin:46/29)، بقيم قبل/بعد وسياق الشركة والمستخدم.</t>
  </si>
  <si>
    <t xml:space="preserve">كلُّ فعلِ كتابةٍ في شاشات المالية ينتج سطرًا واحدًا في سجل التدقيق بقيم قبل/بعد واسمِ الفاعل والوقت.</t>
  </si>
  <si>
    <t xml:space="preserve">صحيحٌ أن ملفَّين فقط من 73 في Finance/ يستدعيان ems_audit_change (journal_form_fin وperiods_fin)، لكن الادعاءَ «لا يترك أثرًا يُبيّن من فعل» مبالَغٌ فيه: ActivityLogMiddleware مُقلَعٌ من config.php:609 ويقيّد كلَّ طلبِ كتابةٍ بفاعلِه وشاشتِه؛ الناقصُ حقًّا هو قيمُ قبل/بعد.</t>
  </si>
  <si>
    <t xml:space="preserve">INJ-0198</t>
  </si>
  <si>
    <t xml:space="preserve">RB-01 · الاشتقاقُ من القالب لا المنحُ الفردي — «الصلاحيةُ تُشتق من ثلاثةٍ معًا»</t>
  </si>
  <si>
    <t xml:space="preserve">محرّك مستويات المالية</t>
  </si>
  <si>
    <t xml:space="preserve">الصلاحيةُ تُشتق من قالب الدور ونطاقه وسقفه، والقيدُ بنيويٌّ لا نصيّ.</t>
  </si>
  <si>
    <t xml:space="preserve">التصحيح: السقوطُ **مغلقٌ لا صامت** — الاسمُ غيرُ المطابق يُرجع 'none' فيُمنع الفعلُ كليًّا (`fin_can_perform`)، فالأثرُ تعطيلٌ لا تجاوزُ حارس. — [مُصحَّح بعد التحقق] الصياغة الأولى: فصلُ الواجبات داخل المالية مبنيٌّ على مطابقةِ اسمِ الدور نصًّا: fin_role_level_map في Finance/fin_helpers.php:17-27 تربط ستةَ أسماءٍ عربيةٍ حرفيةٍ («المدير المالي» · «أمين الخزينة» …) بمستوياتٍ، و fin</t>
  </si>
  <si>
    <t xml:space="preserve">حرّاسُ الترحيل والتنفيذ والتسوية في المالية معلَّقةٌ بسلسلةٍ نصيةٍ في الشيفرة لا بمعرّفٍ ثابتٍ ولا بصلاحيةٍ مسجَّلة؛ فتعديلُ اسمِ دورٍ من شاشة الأدوار يعطّل فصلَ الواجبات بلا إنذار.</t>
  </si>
  <si>
    <t xml:space="preserve">المستوياتُ لم تُنمذَج في جدولٍ أو في مفاتيح صلاحياتٍ بل في خريطةِ أسماءٍ داخل ملف مساعد.</t>
  </si>
  <si>
    <t xml:space="preserve">Finance/fin_helpers.php:17; :20; :31; :147</t>
  </si>
  <si>
    <t xml:space="preserve">١) غيّر اسمَ الدور «المدير المالي» إلى «المدير المالى» من شاشة الأدوار. ٢) ادخل بحساب ذلك الدور. ٣) جرّب ترحيلَ قيد → رفضٌ بحجة «الترحيل يخصّ المدير المالي فقط» رغم أنه هو.</t>
  </si>
  <si>
    <t xml:space="preserve">استبدل خريطةَ الأسماء في Finance/fin_helpers.php:17 بمفاتيح صلاحياتٍ مسجَّلةٍ (permission keys مثل fin.journal.post · fin.payment.execute) تُمنح للقوالب، واقرأها في fin_can_perform من role_permissions بدل مقارنة roles.name.</t>
  </si>
  <si>
    <t xml:space="preserve">إعادةُ تسمية أي دورٍ ماليٍّ لا تغيّر شيئًا في الأفعال المسموحة؛ ومنحُ مفتاح fin.journal.post لقالبٍ جديدٍ يمكّنه من الترحيل بلا تعديل شيفرة.</t>
  </si>
  <si>
    <t xml:space="preserve">تحقّقت بأرقامٍ مضبوطة: `fin_role_level_map()` (:17-27) تربط أسماءً عربيةً حرفيةً و`fin_user_level()` (:31) تطابق `roles.name` نصًّا.</t>
  </si>
  <si>
    <t xml:space="preserve">INJ-0199</t>
  </si>
  <si>
    <t xml:space="preserve">CORE-01 ٨-٢ · الزوج ③ «تنفيذُ الصرف × المطابقةُ البنكية»</t>
  </si>
  <si>
    <t xml:space="preserve">المطابقة البنكية</t>
  </si>
  <si>
    <t xml:space="preserve">http://localhost/ems/Finance/bank_reconciliation_fin.php</t>
  </si>
  <si>
    <t xml:space="preserve">خامسًا: الخزينة والمطابقة</t>
  </si>
  <si>
    <t xml:space="preserve">«تنفيذُ الصرف × المطابقةُ البنكية — من صرف لا يطابق ما صرفه».</t>
  </si>
  <si>
    <t xml:space="preserve">Finance/bank_reconciliation_fin.php يتحقق من رمز الحماية (السطر 115) لكنه لا يستدعي fin_can_perform إطلاقًا (بحثٌ = صفر)، فلا يميّز بين أمين الخزينة الذي نفّذ الصرف وبين من يطابق كشفَ البنك؛ الحارسُ الوحيدُ can_edit على الوحدة.</t>
  </si>
  <si>
    <t xml:space="preserve">من نفّذ الصرفَ يستطيع مطابقةَ كشف البنك وإقفالَ الفرق بنفسه، فيُغلق أخطرُ ضوابط الخزينة (اكتشافُ الصرف غير المصرَّح به) بيدٍ واحدة.</t>
  </si>
  <si>
    <t xml:space="preserve">الزوجُ ③ ليس ضمن ما يفحصه sod_guard بدرجة exact، ولم يُضَف فحصُ مستوًى في الشاشة كما أُضيف في dues_fin و payments_fin.</t>
  </si>
  <si>
    <t xml:space="preserve">Finance/bank_reconciliation_fin.php:114; :115; Finance/payments_fin.php:29; Finance/dues_fin.php:29</t>
  </si>
  <si>
    <t xml:space="preserve">١) بحساب دورُه «أمين الخزينة» نفّذ صرفًا. ٢) افتح «المطابقة البنكية» بنفس الحساب. ٣) طابِق الحركةَ نفسَها وأغلِق الفرق → ينجح.</t>
  </si>
  <si>
    <t xml:space="preserve">أضِف في Finance/bank_reconciliation_fin.php قبل فعل المطابقة: fin_can_perform($conn,$ctx['role'],'finance_reviewer') ومنعَ من نفّذ الحركةَ (executed_by) من مطابقتها عبر ems_no_self_approval.</t>
  </si>
  <si>
    <t xml:space="preserve">أمينُ الخزينة الذي نفّذ حركةً يتلقى 403 عند مطابقتها؛ والمراجعُ الماليُّ يطابقها بنجاح.</t>
  </si>
  <si>
    <t xml:space="preserve">صفرُ نداءٍ لـfin_can_perform في bank_reconciliation_fin.php مؤكَّد (الحارسُ can_edit ورمزُ الحماية فقط) بينما نظيرتاها payments/dues تشترطان مستوى أمين الخزينة.</t>
  </si>
  <si>
    <t xml:space="preserve">INJ-0200</t>
  </si>
  <si>
    <t xml:space="preserve">▐ ١١-٩ · سجلُّ التصدير — «من صدّر ماذا ومتى»</t>
  </si>
  <si>
    <t xml:space="preserve">شاشات المالية</t>
  </si>
  <si>
    <t xml:space="preserve">خروجُ البيان من النظام يُسجَّل: من صدّر وماذا ومتى وبأي معايير.</t>
  </si>
  <si>
    <t xml:space="preserve">لا يوجد سجلُّ تصديرٍ مركزيٌّ يُكتب عند التصدير من شاشات المالية: مسارُ excel.php يكتب سطرَ اطّلاعٍ على حقولٍ حساسةٍ فقط (السطر 93) ولا يكتب سطرَ تصدير، وأزرارُ DataTables في events_list_fin.php:486 و cost_report_fin.php:199 تعمل في المتصفح فلا يعلم الخادمُ بحدوث التصدير أصلًا.</t>
  </si>
  <si>
    <t xml:space="preserve">بياناتُ المالية تخرج من النظام بلا أثرٍ يُبيّن من أخرجها ومتى وبأي ترشيح؛ فيسقط ضابطٌ أساسيٌّ من ضوابط تسرب البيانات ولا يمكن التحقيقُ في تسريبٍ بعد وقوعه.</t>
  </si>
  <si>
    <t xml:space="preserve">نُفِّذ سجلُّ التصدير في وحدة المخاطر فقط (risk_export_log) ولم يُعمَّم على القناة الموحدة ولا على التصدير في المتصفح.</t>
  </si>
  <si>
    <t xml:space="preserve">excel.php:82-96; app/Services/Excel/ExcelService.php:94; Finance/events_list_fin.php:484-488; Finance/cost_report_fin.php:199</t>
  </si>
  <si>
    <t xml:space="preserve">١) صدّر من أي شاشةٍ مالية. ٢) ابحث عن سطرِ تصديرٍ في أي سجلٍّ → لا يوجد إلا سطرُ اطّلاعٍ على الحقول الحساسة إن وُجدت.</t>
  </si>
  <si>
    <t xml:space="preserve">أنشئ جدولَ export_log عامًّا واكتب فيه من app/Services/Excel/ExcelService::export (المستخدم · الكيان · عددُ الصفوف · المعايير · الوقت)، وامنع التصديرَ في المتصفح بحذف أزرار DataTables لصالح القناة الموحدة.</t>
  </si>
  <si>
    <t xml:space="preserve">كلُّ تصديرٍ من أي شاشةٍ ماليةٍ ينشئ سطرًا واحدًا في export_log باسم المصدِّر والكيان وعددِ الصفوف والمعايير.</t>
  </si>
  <si>
    <t xml:space="preserve">أزرارُ DataTables (copy/excel/print) في events_list_fin.php:484-488 وcost_report_fin.php:199 تعمل في المتصفح فلا يعلم بها الخادم، ولا جدولَ سجلِّ تصديرٍ عامًّا في المخطط (الموجودُ risk_export_log وحده) — وM-14 TABLE 53 يوجب «سجلَّ التصدير: المصدِّرُ بصفته · المنظرُ · الأعمدةُ · الفلاترُ · المستبعَد».</t>
  </si>
  <si>
    <t xml:space="preserve">INJ-0201</t>
  </si>
  <si>
    <t xml:space="preserve">▐ ١١-١٢ · GOV-0358 «حوكمة إدارتي» — منظرٌ نطاقيٌّ لكل إدارة</t>
  </si>
  <si>
    <t xml:space="preserve">حوكمة الإدارة المالية</t>
  </si>
  <si>
    <t xml:space="preserve">http://localhost/ems/Finance/gov_dept_fin.php</t>
  </si>
  <si>
    <t xml:space="preserve">«يُضاف لكل إدارةٍ مكوّنٌ نطاقيٌّ واحدٌ باسم «حوكمة إدارتي»… وحقُّ المستخدمِ فيه قراءةٌ فقط»، وتعرض مساحتُه تعارضاتِ الواجبات والتفويضاتِ والاستثناءات.</t>
  </si>
  <si>
    <t xml:space="preserve">الملفُّ Finance/gov_dept_fin.php موجودٌ على القرص لكنه لا يظهر في سايدبار أي دورٍ ماليٍّ (ليس ضمن الشاشات التسع والعشرين الظاهرة)، فلا يبلغه المديرُ المالي إلا بالرابط المباشر.</t>
  </si>
  <si>
    <t xml:space="preserve">المديرُ الماليُّ لا يرى تعارضاتِ الواجبات في حسابات إدارته ولا التفويضاتِ السارية، وهي المساحةُ الوحيدةُ التي تمكّنه من أداء واجب التصديق الدوري؛ فتبقى مخالفاتُ SoD غيرَ مرئيةٍ لمن يملك إصلاحَها.</t>
  </si>
  <si>
    <t xml:space="preserve">الشاشةُ بُنيت ولم تُبذَر لها صفوفُ nav_items لأدوار المالية.</t>
  </si>
  <si>
    <t xml:space="preserve">database/schema/seed_reference.sql (لا صفَّ nav_items بمسار Finance/gov_dept_fin.php); Finance/fin_m10_actions.php:56</t>
  </si>
  <si>
    <t xml:space="preserve">١) ادخل بدور ١٩ «مدير الإدارة المالية». ٢) ابحث في السايدبار عن «حوكمة إدارتي» → غير موجودة. ٣) افتح http://localhost/ems/Finance/gov_dept_fin.php مباشرةً → تُفتح.</t>
  </si>
  <si>
    <t xml:space="preserve">ابذر صفَّ nav_items لأدوار المالية (١٧ · ١٩) يشير إلى Finance/gov_dept_fin.php بعنوان «حوكمة الإدارة المالية» ضمن مجموعة المتابعة، وتحقّق من أن حقَّه قراءةٌ فقط.</t>
  </si>
  <si>
    <t xml:space="preserve">بدور ١٩ يظهر رابطُ «حوكمة الإدارة المالية» ويفتح مساحةً تعرض تعارضاتِ الواجبات والتفويضات قراءةً فقط.</t>
  </si>
  <si>
    <t xml:space="preserve">بحثُ nav_items لا يعطي أيَّ صفٍّ لمسار Finance/gov_dept_fin.php في أيِّ دور، ولا رابطَ وارد من شاشةٍ أخرى (الإشارتان الوحيدتان في Finance/fin_m10_actions.php سلسلتا نصٍّ لا رابط) — فالوصولُ بالرابط المباشر وحده.</t>
  </si>
  <si>
    <t xml:space="preserve">INJ-0202</t>
  </si>
  <si>
    <t xml:space="preserve">SEC-025 · الصلاحياتُ والنطاق — الدورُ بلا شاشاتٍ لا يُنشأ</t>
  </si>
  <si>
    <t xml:space="preserve">منفذ المدفوعات البنكية / معد المطابقة البنكية</t>
  </si>
  <si>
    <t xml:space="preserve">لكلِّ دورٍ في `roles` شاشاتُه ومنحُه وقائمتُه — «الدورُ يحدد الروابطَ التي تتبع له، والصلاحيةُ تحدد أتظهر الصفحةُ أم لا».</t>
  </si>
  <si>
    <t xml:space="preserve">دوران معرَّفان بلا شاشةٍ ولا منحةٍ ولا رابط؛ الأثرُ انطباعُ تغطيةٍ في مصفوفة فصل الواجبات لا خللٌ تشغيليٌّ واقع. — [مُصحَّح بعد التحقق] الصياغة الأولى: الدوران 34 «منفذ المدفوعات البنكية» و35 «معد المطابقة البنكية» موجودانِ في `roles` (`database/schema/seed_reference.sql:52-53`) ولهما **صفرُ صفوفٍ** في `modules` (لا يملكان شاشةً) و**صفرُ صفوفٍ** في `</t>
  </si>
  <si>
    <t xml:space="preserve">مستخدمٌ يُسنَد إليه أحدُ الدورين يدخل إلى نظامٍ فارغٍ تمامًا — لا شاشةَ ولا رابط؛ وفي الوقتِ نفسِه يظهر الدورانِ في مصفوفةِ فصلِ الواجباتِ ويوحيان بتغطيةٍ غيرِ موجودة (تنفيذُ الدفعِ والمطابقةُ البنكية من أخطرِ مواضعِ SoD).</t>
  </si>
  <si>
    <t xml:space="preserve">أُنشئ الدوران بهجرةِ إعادةِ هيكلةِ الأدوارِ الماليةِ (2026-08-09) ولم تُنشأ لهما شاشاتٌ ولا منحٌ ولا قوائم.</t>
  </si>
  <si>
    <t xml:space="preserve">database/schema/seed_reference.sql:52; :53; :449; :3542</t>
  </si>
  <si>
    <t xml:space="preserve">١) استعلم `SELECT COUNT(*) FROM modules WHERE owner_role_id IN (34,35)` → 0.
٢) `SELECT COUNT(*) FROM role_permissions WHERE role_id IN (34,35)` → 0.
٣) `SELECT COUNT(*) FROM nav_items WHERE role_id IN (34,35)` → 0.
٤) أسنِد الدورَ 34 لمستخدمٍ وادخل: لا شاشةَ ولا رابط.</t>
  </si>
  <si>
    <t xml:space="preserve">إمّا أنشئ شاشاتِ الدورين (تنفيذُ الدفعِ البنكي · المطابقةُ البنكية) وسجِّلها في `modules` وامنحها وولِّد `nav_items`، وإمّا عطِّل الدورين (`UPDATE roles SET status = 0 WHERE id IN (34,35)`) حتى إنشائها — ولا يُترك دورٌ فارغٌ في مصفوفةِ فصلِ الواجبات.</t>
  </si>
  <si>
    <t xml:space="preserve">فريق الباك-إند — المالية والخزينة</t>
  </si>
  <si>
    <t xml:space="preserve">كلُّ دورٍ بحالة `status=1` في `roles` يملك منحةَ قراءةٍ واحدةً على الأقل وصفَّ `nav_items` واحدًا فعّالًا — يُثبت باستعلامٍ واحدٍ يرجع صفرَ استثناءات.</t>
  </si>
  <si>
    <t xml:space="preserve">تحققتُ بجردِ البذرة: الدوران 34 و35 قائمان بـstatus=1 (seed_reference.sql:52-53) وبصفرِ صفوفٍ في modules و role_permissions و nav_items — بينما كلُّ الأدوار 1..33 لها صفوفٌ في الثلاثة. لكن لا أثرَ تشغيليًّا: لا مستخدمَ مُسنَدٌ ولا فعلَ غيرَ مصرَّحٍ ينتج، والخللُ نقصُ اكتمالٍ يُغلق إمّا بإنشاء الشاشتين وإمّا بتعطيل الدورين.</t>
  </si>
  <si>
    <t xml:space="preserve">INJ-0203</t>
  </si>
  <si>
    <t xml:space="preserve">PR-02 · عزلُ الكيانات بنيويّ (٤-١ المبادئُ الاثنا عشرَ الحاكمة)</t>
  </si>
  <si>
    <t xml:space="preserve">«عزلُ الكيانات بنيويّ» — ولا يُشتق نطاقُ الشركة من قيمةٍ ثابتةٍ في الشيفرة بل من سياق الجلسة، وبوابةُ العزل تُغلق مغلقًا عند غياب السياق.</t>
  </si>
  <si>
    <t xml:space="preserve">احتياطيٌّ مرمَّزٌ للشركة 4 يقع على جلسات السوبر أو الحساباتِ بلا شركة فتُنسب عملياتُهم إلى الكيان 4؛ ولا أثرَ له على المستخدمين ذوي الشركة الصالحة. — [مُصحَّح بعد التحقق] الصياغة الأولى: شاشةُ إنشاء عملية التمويل تحدّد الشركةَ بـ$co = $company_id ?: 4 (السطر 23): إن كانت شركةُ الجلسة صفرًا (سوبر أو حسابٌ بلا شركة) تُكتب العمليةُ في الشركة رقم ٤ حتمًا. والنمطُ نفسُه في Financing/financ</t>
  </si>
  <si>
    <t xml:space="preserve">عمليةُ تمويلٍ بعقدٍ وقيمةِ شراءٍ ورأسِ مالٍ تُنسب إلى شركةٍ ثابتةٍ في الشيفرة بدل شركة المستخدم؛ فتُخلط بياناتُ كيانين وتُكتب أصولُ شركةٍ في دفاتر أخرى — وهو ما يبطل العزلَ البنيويَّ من أصله.</t>
  </si>
  <si>
    <t xml:space="preserve">قيمةٌ افتراضيةٌ من بيئة التطوير (شركة الاختبار ٤) بقيت في شيفرة الإنتاج.</t>
  </si>
  <si>
    <t xml:space="preserve">Financing/financing_operation_new.php:23; Financing/financing_operation_new.php:38; Financing/financing_board.php:30; app/Core/TenantContext.php:1</t>
  </si>
  <si>
    <t xml:space="preserve">١) ادخل بحسابٍ company_id=0 (أو بحساب سوبر). ٢) افتح «إنشاء عملية تمويل» وأنشئ عملية. ٣) افحص الصف → company_id = 4.</t>
  </si>
  <si>
    <t xml:space="preserve">احذف الاحتياطيَّ في Financing/financing_operation_new.php:23 و Financing/financing_board.php:30 واستبدله برفضٍ صريح: if ($company_id&lt;=0) ems_gov_flash_redirect(...,'GOV-SCOPE-403')؛ ومرّر الشركةَ من بوابة العزل لا من متغيرٍ محلي.</t>
  </si>
  <si>
    <t xml:space="preserve">حسابٌ بلا شركةٍ صالحةٍ لا يستطيع فتحَ الشاشة ولا إنشاءَ عملية؛ وصفرُ صفٍّ في financing_operations بشركةٍ تخالف شركةَ منشئه.</t>
  </si>
  <si>
    <t xml:space="preserve">$co = $company_id ?: 4 موجودٌ حرفيًّا في financing_operation_new.php:23 وfinancing_board.php:30. لكن الاحتياطيَّ لا يعمل إلا حين company_id=0، وهي حالُ السوبر (-1) وحدَه عمليًّا لأنه الوحيدُ الذي يجتاز بوابةَ المنح في السطر 26؛ والمستخدمُ العاديُّ بشركةٍ صالحةٍ لا يتأثر — فلا انهيارَ للعزل البنيوي.</t>
  </si>
  <si>
    <t xml:space="preserve">INJ-0204</t>
  </si>
  <si>
    <t xml:space="preserve">INJAZ-FRD-01 §١٠-٥ · الأثرُ العابرُ للإدارات — «الإداراتُ المتأثرة: المالية والخزينة …»</t>
  </si>
  <si>
    <t xml:space="preserve">«الإداراتُ المتأثرةُ بأفعالها: المالية والخزينة · إدارة الأسطول · الحوكمة والالتزام…» و«الأثرُ ينتقل بالأحداث»؛ وسلسلةُ «تمويل → مالية» تُغلق.</t>
  </si>
  <si>
    <t xml:space="preserve">تسجيلُ سداد قسطٍ يحدّث جدولَي التمويل فقط (installments.php:37 و:40) ولا ينشئ أي حركةِ خزينةٍ (fin_payments) ولا ذمّةً ولا قيدًا ولا حدثًا منشورًا. ومرجعُ السداد payment_ref نصٌّ حرٌّ (السطر 29) لا يشير إلى مستندِ صرفٍ حقيقي. والدالةُ الوحيدةُ التي تنشر حدثَ تمويلٍ (publishInstallmentDue بمفتاح fininst:&lt;op&gt;:&lt;seq&gt;) لا تُستدعى من أي مكان.</t>
  </si>
  <si>
    <t xml:space="preserve">سلسلةُ «تمويل ← مالية» مقطوعةٌ تمامًا: أقساطٌ تُسدَّد في نظام التمويل ولا يعلم بها دفترُ الخزينة ولا الدفاترُ ولا التدفقُ النقدي؛ والتمويلُ لا ينشر حدثًا واحدًا في النظام كلِّه.</t>
  </si>
  <si>
    <t xml:space="preserve">بُنيت شاشةُ الأقساط كسجلٍّ داخليٍّ للإدارة ولم تُوصل بناقل الأحداث ولا بمسار الخزينة.</t>
  </si>
  <si>
    <t xml:space="preserve">Financing/installments.php:29; Financing/installments.php:37; Financing/installments.php:44; app/Services/Financing/FinancingService.php:235; app/Services/Financing/FinancingService.php:246</t>
  </si>
  <si>
    <t xml:space="preserve">١) سدّد قسطًا بمرجعٍ نصيّ. ٢) افتح «الخزينة والصناديق» و«القيود اليومية» → لا حركةَ ولا قيد. ٣) ابحث عن حدثٍ بمفتاح fininst في جدول الأحداث → لا شيء.</t>
  </si>
  <si>
    <t xml:space="preserve">اربط السدادَ بمستندِ صرفٍ حقيقي: اشترط payment_id من fin_payments بحالة executed بدل النص الحر، وانشر الحدث financing.installment.paid عبر EventPublisher بمفتاح عطالةٍ fininst:&lt;op&gt;:&lt;seq&gt;، وسجّل مستهلكًا ماليًّا ينشئ القيد.</t>
  </si>
  <si>
    <t xml:space="preserve">سدادُ قسطٍ يشترط مستندَ صرفٍ منفَّذًا، وينشر حدثًا واحدًا، ويظهر أثرُه في الخزينة والدفاتر خلال دورة cron واحدة.</t>
  </si>
  <si>
    <t xml:space="preserve">سدادُ القسط يُحدّث financing_installments (:37) و financing_operations (:42) فقط، وpayment_ref نصٌّ حرٌّ (:29)، وpublishInstallmentDue (FinancingService.php:235) بلا مستدعٍ خارجَ tests/. خُفّضت لأن الأثرَ محصورٌ في وحدةٍ طرفيةٍ لا يمنع سلسلةً أساسية.</t>
  </si>
  <si>
    <t xml:space="preserve">INJ-0205</t>
  </si>
  <si>
    <t xml:space="preserve">INJAZ-FRD-01 §١٠-٤ · CORE-01 ٤-٢/١٠ لا زرَّ بلا أثرٍ ظاهر</t>
  </si>
  <si>
    <t xml:space="preserve">انحرافات التمويل — الروابط الثلاثة الوهمية</t>
  </si>
  <si>
    <t xml:space="preserve">«لكلٍّ وجهةٌ حيةٌ موجودةٌ — وصفرُ شاشةٍ «قريبًا»»، والمِرساةُ في الرابط تشير إلى عنصرٍ حيٍّ في الصفحة.</t>
  </si>
  <si>
    <t xml:space="preserve">ثلاثةُ روابطَ في سايدبار دور ٢٦ تحمل مِراسٍ لا وجودَ لها في Financing/deviations.php: ../Financing/deviations.php#n9g13i1 و#n9g14i1 و#n9g15i1 (بذرةُ nav_items الأسطر 4900-4902). بحثٌ عن هذه المعرّفات في الملف يعيد صفرَ نتيجة، فالنقرُ عليها يفتح الشاشةَ نفسَها بلا أي ترشيحٍ ولا تمرير.</t>
  </si>
  <si>
    <t xml:space="preserve">ثلاثةُ عناصرَ في قائمة الإدارة تَعِد بثلاث شاشاتٍ وتؤدي جميعُها إلى الشاشة نفسِها بلا تمييز؛ فيظن المستخدمُ أن النظامَ معطَّلٌ أو أنه أخطأ النقر.</t>
  </si>
  <si>
    <t xml:space="preserve">وُلِّد ظهورٌ لكل شاشةٍ معلَنةٍ في NAV-09 وأُلحقت به مِرساةٌ اصطناعيةٌ للتفرقة دون تنفيذ الأقسام المقابلة.</t>
  </si>
  <si>
    <t xml:space="preserve">database/schema/seed_reference.sql:4900; database/schema/seed_reference.sql:4901; database/schema/seed_reference.sql:4902; Financing/deviations.php:60; Financing/deviations.php:85</t>
  </si>
  <si>
    <t xml:space="preserve">١) بدور ٢٦ انقر «فروق السداد والاستحقاق». ٢) لاحظ فتحَ «الانحرافات الثلاث» بلا ترشيح. ٣) ابحث في مصدر الصفحة عن n9g13i1 → غير موجود. ٤) كرّر على الرابطين الآخرين.</t>
  </si>
  <si>
    <t xml:space="preserve">استبدل المِراسي بمعاملِ ترشيحٍ حقيقيّ: ../Financing/deviations.php?type=payment_gap|unrecorded_exit|no_movement، وأضِف في Financing/deviations.php قراءةَ $_GET['type'] وترشيحَ الاستعلام في السطر 61 به وإظهارَ الترشيح في العنوان.</t>
  </si>
  <si>
    <t xml:space="preserve">كلُّ رابطٍ من الثلاثة يفتح الشاشةَ مرشَّحةً على صنفه ويظهر الصنفُ في العنوان؛ وصفرُ رابطٍ بمِرساةٍ لا وجودَ لها.</t>
  </si>
  <si>
    <t xml:space="preserve">المراسي الثلاثة (#n9g13i1 · #n9g14i1 · #n9g15i1) لا وجودَ لها في Financing/deviations.php، وهي حالةٌ من 72 صفَّ تنقّلٍ بمِراسٍ ميتةٍ في البذرة — فثلاثةُ عناوينَ مختلفةٍ تفتح الشاشةَ نفسَها بلا ترشيح.</t>
  </si>
  <si>
    <t xml:space="preserve">INJ-0206</t>
  </si>
  <si>
    <t xml:space="preserve">PR-09 · الواقعُ يُسجَّل ولا يُفترض · PR-05 الحارسُ في الخادم</t>
  </si>
  <si>
    <t xml:space="preserve">الانحرافات الثلاث</t>
  </si>
  <si>
    <t xml:space="preserve">الكتابةُ فعلٌ مقصودٌ بحارسه، ولا يقع أثرٌ في القاعدة بمجرد فتح صفحةِ عرض.</t>
  </si>
  <si>
    <t xml:space="preserve">Financing/deviations.php ينفّذ عمليتَي INSERT ... SELECT في financing_deviations عند كل تحميلٍ للصفحة (الأسطر 40-49 و50-58) خارج أي معالجِ POST، بـmysqli_query خامٍّ وبتضمين $company_id في نص الاستعلام، متجاوزًا بوابةَ العزل؛ وإغلاقُ الانحراف (السطر 25) بلا رمزِ حمايةٍ ولا سطرِ تدقيقٍ ولا فحصِ اعتماد الذات.</t>
  </si>
  <si>
    <t xml:space="preserve">فتحُ شاشةِ عرضٍ يكتب صفوفًا في جدولٍ حوكميّ؛ فعددُ الانحرافات وتوقيتُ رصدها يعتمدان على من فتح الصفحةَ ومتى لا على الواقع، ويستحيل تفسيرُ تاريخ الرصد في مراجعة.</t>
  </si>
  <si>
    <t xml:space="preserve">نُفِّذ الرصدُ داخل مسار العرض بدل مهمةٍ دوريةٍ (FinancingService::deviationSweep الموجودةُ أصلًا بلا أي مستدعٍ).</t>
  </si>
  <si>
    <t xml:space="preserve">Financing/deviations.php:25-36; :39-49; :50-58</t>
  </si>
  <si>
    <t xml:space="preserve">١) افتح Financing/deviations.php مرةً واحدة. ٢) افحص financing_deviations → صفوفٌ جديدةٌ أُنشئت بمجرد الفتح. ٣) أغلق انحرافًا بقرارٍ → لا سطرَ تدقيق.</t>
  </si>
  <si>
    <t xml:space="preserve">انقل كتلتَي الرصد (الأسطر 40-58) إلى مهمةٍ دوريةٍ تستدعي FinancingService::deviationSweep، واجعل الشاشةَ عرضًا فقط؛ وأضِف verify_csrf_token و ems_audit_change و ems_no_self_approval لفعل الإغلاق في السطر 25.</t>
  </si>
  <si>
    <t xml:space="preserve">فتحُ الشاشة لا يغيّر عددَ صفوف financing_deviations؛ والرصدُ يقع في مهمة cron ويُسجَّل وقتُه؛ وكلُّ إغلاقٍ يترك سطرَ تدقيق.</t>
  </si>
  <si>
    <t xml:space="preserve">الكتلتان `INSERT ... SELECT` (:39-49 و:50-58) تُنفَّذان عند كل تحميلٍ خارجَ أيِّ معالجِ POST بـmysqli_query خامٍّ وبـ$company_id مُدرَجًا نصًّا، وإغلاقُ الانحراف (:25-36) بلا رمزٍ ولا تدقيق.</t>
  </si>
  <si>
    <t xml:space="preserve">INJ-0207</t>
  </si>
  <si>
    <t xml:space="preserve">INJAZ-FRD-01 §١٠-٣ · المرحلة ٦ «سادسًا: سرية الملكية — منح رؤية بمدة وسبب · المعتمِد: الحوكمة»</t>
  </si>
  <si>
    <t xml:space="preserve">سرية الملكية — منح الرؤية</t>
  </si>
  <si>
    <t xml:space="preserve">المرحلةُ السادسةُ في دورة الإدارة «سرية الملكية» مستندُها «منح رؤية بمدة وسبب» ومعتمِدُها «الحوكمة» وشاشاتُها ٢.</t>
  </si>
  <si>
    <t xml:space="preserve">لا مجموعةَ للمرحلة السادسة في سايدبار دور ٢٦ إطلاقًا: المجموعاتُ هي (لوحة الإدارة · أولًا · ثانيًا · ثالثًا · رابعًا · خامسًا · متابعة وتقارير · خارج الوثيقة). وشاشتا المنح الفعليتان Governance/ownership_grants.php و Governance/sensitive_fields.php مملوكتان للحوكمة ولا تظهران لدور ٢٦ ولو قراءةً، رغم أن الإدارةَ هي صاحبةُ المجال المقيَّد.</t>
  </si>
  <si>
    <t xml:space="preserve">الإدارةُ التي يقوم عملُها كلُّه على «صلاحيةٍ فرديةٍ بمدةٍ وسبب» لا ترى مِنحَ الرؤية السارية على مجالها ولا مددَها ولا أسبابَها؛ فلا تستطيع طلبَ سحبِ منحةٍ ولا مراجعةَ من يطّلع على أسرارها.</t>
  </si>
  <si>
    <t xml:space="preserve">لم تُبذَر مجموعةُ المرحلة السادسة، ولم يُنشأ منظرٌ نطاقيٌّ للتمويل على شاشة المنح المملوكة للحوكمة.</t>
  </si>
  <si>
    <t xml:space="preserve">database/schema/seed_reference.sql:4899; Governance/ownership_grants.php:1; Governance/sensitive_fields.php:1; app/Core/OwnershipDomainGuard.php:113</t>
  </si>
  <si>
    <t xml:space="preserve">١) ادخل بدور ٢٦. ٢) اعدّ المجموعاتِ → لا مجموعةَ باسم «سادسًا: سرية الملكية». ٣) ابحث عن «منح الرؤية» أو «الحقول الحساسة» → غير موجودتين.</t>
  </si>
  <si>
    <t xml:space="preserve">أضِف مجموعةً سادسةً لدور ٢٦ بظهورَين قراءةً + طلبِ سحبٍ على Governance/ownership_grants.php (مرشَّحًا على أكواد ownership.*) و Governance/sensitive_fields.php، مع حجب فعل المنح عن الدور.</t>
  </si>
  <si>
    <t xml:space="preserve">بدور ٢٦ تظهر مجموعة «سادسًا: سرية الملكية» بشاشتين، والمنحُ محجوبٌ والطلبُ متاح.</t>
  </si>
  <si>
    <t xml:space="preserve">مجموعاتُ الدور 26 المحسوبةُ هي (0·1·2·3·4·5·7·99) بلا مرحلةٍ سادسة، وownership_grants.php محروسةٌ بأرقام 1·19·السوبر (السطر 27) فلا يفتحها 26 ولو قراءةً — والوثيقة frd_readable.md:786 تُثبت المرحلةَ السادسة بشاشتين.</t>
  </si>
  <si>
    <t xml:space="preserve">INJ-0208</t>
  </si>
  <si>
    <t xml:space="preserve">INJAZ-FRD-01 §١٠-٤ · شاشاتُها — «مخاطر التمويل والملكية (risk_dept_cap.php)»</t>
  </si>
  <si>
    <t xml:space="preserve">مخاطر التمويل والملكية (risk_dept_cap.php)</t>
  </si>
  <si>
    <t xml:space="preserve">تعلن الوثيقةُ ضمن شاشات الإدارة الأربعَ عشرةَ شاشةَ «مخاطر التمويل والملكية» رمزُها risk_dept_cap.php بـ٢٢ عمودًا و٣ أفعال في مرحلة «مخاطرُ الإدارة».</t>
  </si>
  <si>
    <t xml:space="preserve">لا وجودَ لملف risk_dept_cap.php؛ مجلد Risk/ يحوي risk_dept_fin.php و risk_dept_gov.php فقط. وسايدبار دور ٢٦ يعرض بدلًا منها «مساحة مخاطر الإدارة» (Risk/dept_risk_space.php) داخل مجموعة «خارج الوثيقة — بانتظار قرار المالك».</t>
  </si>
  <si>
    <t xml:space="preserve">مخاطرُ التمويل (تعثرُ السداد · فقدُ ملكية · مخالفةُ شرطٍ تعاقديّ) بلا سجلٍّ باسم الإدارة ونطاقها؛ فينكسر الخطُّ الأولُ عند أخطر إدارةٍ ماليًّا بعد الخزينة.</t>
  </si>
  <si>
    <t xml:space="preserve">لم تُولَّد شاشةُ مخاطر الإدارة من قائمة الشاشات واكتُفي بمكوّنٍ عامّ.</t>
  </si>
  <si>
    <t xml:space="preserve">Risk/ (لا risk_dept_cap.php); database/schema/seed_reference.sql (nav_items للدور 26 · مجموعة stage_no=99)</t>
  </si>
  <si>
    <t xml:space="preserve">١) ادخل بدور ٢٦. ٢) ابحث عن «مخاطر التمويل والملكية» → غير موجودة. ٣) جرّب Risk/risk_dept_cap.php → 404.</t>
  </si>
  <si>
    <t xml:space="preserve">أنشئ Risk/risk_dept_cap.php على غرار Risk/risk_dept_fin.php بنطاق التمويل والملكية وسجّله في modules و nav_items لدور ٢٦ في مجموعة «مخاطرُ الإدارة».</t>
  </si>
  <si>
    <t xml:space="preserve">بدور ٢٦ تُفتح شاشةُ مخاطر التمويل وتعرض مخاطرَ الإدارة وحدَها بأعمدتها.</t>
  </si>
  <si>
    <t xml:space="preserve">لا ملفَّ Risk/risk_dept_cap.php في المستودع (المجلدُ يحوي risk_dept_fin.php وrisk_dept_gov.php فقط)، وسايدبارُ الدور 26 يعرض «مساحة مخاطر الإدارة» → Risk/dept_risk_space.php داخل مجموعة «خارج الوثيقة».</t>
  </si>
  <si>
    <t xml:space="preserve">INJ-0209</t>
  </si>
  <si>
    <t xml:space="preserve">§٧-٣ · §٨ — منتقي الأعمدة والمناظر والتصدير في الشاشات الطويلة</t>
  </si>
  <si>
    <t xml:space="preserve">شبكات التمويل</t>
  </si>
  <si>
    <t xml:space="preserve">«الشاشاتُ الطويلةُ (٢٠+ عمودًا) تحتاج مناظرَ وزرَّ إظهارِ الكلِّ إلزامًا»، و«التصديرُ يدعم العرضَ الحاليَّ وجميعَ الأعمدةِ المسموحةِ معًا».</t>
  </si>
  <si>
    <t xml:space="preserve">إحدى عشرةَ شبكةً في مجلد Financing بلا أي أداةِ إظهارِ أعمدةٍ ولا منتقي مناظرَ ولا تصدير: installments.php · deviations.php · owners_registry.php · cost_allocation.php · financing_board.php · financiers_registry.php · fin_models.php · fin_changes.php · ownership_links.php · operation_profile.php · asset_disposal.php. وجداولُها موسومةٌ data-no-dt (deviations.php:85 · owners_registry.php:60) أي بلا فرزٍ ولا بحثٍ ولا ترقيمِ صفحاتٍ أصلًا.</t>
  </si>
  <si>
    <t xml:space="preserve">شاشاتُ إدارةٍ كاملةٍ بجداولَ ساكنةٍ محدودةٍ بـLIMIT ثابت (100 في deviations · 200 في installments) بلا بحثٍ ولا فرزٍ ولا ترقيمٍ ولا تصدير؛ فلا يمكن العملُ عليها عمليًّا حين تكبر البيانات.</t>
  </si>
  <si>
    <t xml:space="preserve">بُنيت شاشاتُ التمويل بجداول HTML خام مع data-no-dt لتفادي مشكلات التصيير، فسقطت معها كلُّ خدمات الجدول.</t>
  </si>
  <si>
    <t xml:space="preserve">Financing/deviations.php:85; Financing/owners_registry.php:60; Financing/installments.php:54; Financing/deviations.php:62; includes/u13_screen_kit.php:319</t>
  </si>
  <si>
    <t xml:space="preserve">١) بدور ٢٦ افتح «الأقساط ومواعيد السداد». ٢) ابحث عن مربع بحثٍ أو فرزٍ أو ترقيمِ صفحات → لا شيء. ٣) لاحظ توقفَ القائمة عند ٢٠٠ صفٍّ بلا إشارة.</t>
  </si>
  <si>
    <t xml:space="preserve">فعّل مكوّنَ الجدول الموحّد (CM-08) على شبكات Financing بإزالة data-no-dt وربطها بمعالجةٍ خادمية، وأضِف منتقي الأعمدة CM-10 بالنص الموحّد وزرَّ تصديرٍ عبر excel.php بخيارين.</t>
  </si>
  <si>
    <t xml:space="preserve">كلُّ شبكةٍ في Financing تدعم البحثَ والفرزَ والترقيم، وتعرض زرَّ «إظهار كل الأعمدة» وزرَّ تصديرٍ بخيارين.</t>
  </si>
  <si>
    <t xml:space="preserve">إحدى عشرةَ شبكةً في Financing بلا زرِّ أعمدةٍ ولا منتقي مناظرَ ولا تصدير، وستٌّ منها موسومةٌ data-no-dt (بينها deviations:85 و owners_registry:60).</t>
  </si>
  <si>
    <t xml:space="preserve">INJ-0210</t>
  </si>
  <si>
    <t xml:space="preserve">شرط-٤ · ربطُ الأفعالِ مكتمل — «الورقةُ ٠٧: صفرُ رمزٍ بحالة معلَّق»</t>
  </si>
  <si>
    <t xml:space="preserve">خدمة التمويل — دوالُّ بلا واجهة</t>
  </si>
  <si>
    <t xml:space="preserve">لكل فعلٍ عقدٌ سداسيٌّ مربوطٌ بشاشته ومساره ومعالجه؛ و«ربطُ الأفعالِ مكتمل» شرطُ إطلاق.</t>
  </si>
  <si>
    <t xml:space="preserve">الدوالُّ مغطاةٌ باختباراتٍ (لا «ميتة» تمامًا)، والأثرُ العمليُّ ازدواجُ منطقٍ في الشاشات لا فقدُ وظيفة. — [مُصحَّح بعد التحقق] الصياغة الأولى: app/Services/Financing/FinancingService.php يعرّف عشرَ دوالَّ عامة، ثمانٍ منها بلا أي مستدعٍ في المستودع: applyShares (السطر 47) · correctShare (144) · publishInstallmentDue (235) · payInstallment (26</t>
  </si>
  <si>
    <t xml:space="preserve">ثمانيةُ أفعالٍ محوريةٍ في الإدارة مكتوبةٌ بحرّاسها ولا تُنفَّذ أبدًا، وأربعةٌ منها منفَّذةٌ مرةً ثانيةً في الشاشات بلا حرّاس؛ فلا يمكن إثباتُ ربطِ الأفعال ولا معرفةُ أي تنفيذٍ هو المعتمَد.</t>
  </si>
  <si>
    <t xml:space="preserve">بُنيت طبقةُ الخدمة قبل الشاشات ثم بُنيت الشاشاتُ بمنطقٍ مستقلٍّ بلا ربطٍ ولا حذفٍ للأخرى.</t>
  </si>
  <si>
    <t xml:space="preserve">app/Services/Financing/FinancingService.php:26; :47; :144; :235; :267; :298; :343; :379; tests/n15_financing_ownership_test.php:76</t>
  </si>
  <si>
    <t xml:space="preserve">١) ابحث عن FinancingService:: في المستودع → استدعاءان فقط. ٢) قارن دوالَّ الخدمة العشرَ بما يُستدعى → ثمانٍ بلا مستدعٍ. ٣) قارن installments.php:37 بـpayInstallment → منطقان مختلفان.</t>
  </si>
  <si>
    <t xml:space="preserve">اربط شاشاتِ الإدارة بالخدمة: installments.php→payInstallment، deviations.php→deviationSweep/closeDeviation، asset_disposal.php→applyShares، وأنشئ شاشةَ الحصص لـapplyShares/correctShare، ومهمةً دوريةً لـrevalueOutstanding و publishInstallmentDue؛ ثم احذف المنطقَ المكرر من الشاشات.</t>
  </si>
  <si>
    <t xml:space="preserve">كلُّ دالةٍ عامةٍ في FinancingService لها مستدعٍ إنتاجيٌّ واحدٌ على الأقل، وصفرُ شاشةٍ تنفّذ منطقَ الحصص أو السداد بـSQL خام.</t>
  </si>
  <si>
    <t xml:space="preserve">ثمانيةُ دوالَّ عامةٍ في FinancingService (sharesAt · applyShares · correctShare · publishInstallmentDue · payInstallment · revalueOutstanding · deviationSweep · closeDeviation) مستدعاةٌ من tests/ حصرًا ولا مستدعيَ إنتاجيًّا لأيٍّ منها، والمستدعيان الحيّان createOperation وgenerateInstallments فقط؛ وشرطُ الإطلاق الرابع في DELIVERY (سطر 144) «ربطُ الأفعالِ مكتمل».</t>
  </si>
  <si>
    <t xml:space="preserve">INJ-0211</t>
  </si>
  <si>
    <t xml:space="preserve">GOV-0358-أ · GOV-0363-أ · ▐ ١١-١٢ الصلاحياتُ والنطاق</t>
  </si>
  <si>
    <t xml:space="preserve">حوكمة التمويل والملكية (gov_dept_cap.php)</t>
  </si>
  <si>
    <t xml:space="preserve">«يُضاف لكل إدارةٍ مكوّنٌ نطاقيٌّ واحدٌ باسم «حوكمة إدارتي»… تعرض تعارضاتُ الواجبات — الحساباتُ الجامعةُ بين واجبين متعارضين»، وتعلن FRD §١٠-٤ شاشةَ gov_dept_cap.php.</t>
  </si>
  <si>
    <t xml:space="preserve">لا وجودَ لملف gov_dept_cap.php ولا رابطَ حوكمةٍ في سايدبار دور ٢٦. وزوجُ فصل الواجبات الخاصُّ بالإدارة (sod_ownership_move: ownership.share.create × ownership.transfer.approve) مصنَّفٌ absent في includes/sod_guard.php:69 فيُتخطى بـcontinue ولا يُقاس أصلًا.</t>
  </si>
  <si>
    <t xml:space="preserve">إدارةٌ تتعامل بأشدِّ الحقول سريةً بلا مساحةِ حوكمةٍ ترى فيها مِنحَ فريقها وتعارضاتِ واجباته؛ وزوجُ الواجبات الخاصُّ بها غيرُ مقيسٍ في النظام كلِّه، فلا يُرصد حسابٌ يجمع إنشاءَ الحصة واعتمادَ نقلها.</t>
  </si>
  <si>
    <t xml:space="preserve">لم تُنفَّذ شاشةُ حوكمة الإدارة، والزوجُ absent متروكٌ بلا قياسٍ في حارس فصل الواجبات.</t>
  </si>
  <si>
    <t xml:space="preserve">includes/sod_guard.php:69; Governance/gov_dept_gov.php:1; Finance/gov_dept_fin.php:1; Risk/gov_dept_rsk.php:1</t>
  </si>
  <si>
    <t xml:space="preserve">١) ادخل بدور ٢٦ وابحث عن «حوكمة إدارتي» → غير موجودة. ٢) امنح حسابًا واحدًا دورَي إنشاء الحصة واعتماد النقل من شاشة الصلاحيات → يُقبل بلا إنذار. ٣) افحص سجلَّ التحذيرات → لا سطر.</t>
  </si>
  <si>
    <t xml:space="preserve">أنشئ منظرَ «حوكمة إدارتي» معمَّمًا (Governance/gov_dept.php) واربطه لدور ٢٦، وعرّف الزوجَ sod_ownership_move بدرجة exact في includes/sod_guard.php ليمنع المنحَ ويظهر في تقرير المخالفات.</t>
  </si>
  <si>
    <t xml:space="preserve">منحُ حسابٍ واحدٍ دورَي إنشاء الحصة واعتماد نقلها يُرفض؛ ومساحةُ حوكمة التمويل تعرض المخالفةَ إن وُجدت تاريخيًّا.</t>
  </si>
  <si>
    <t xml:space="preserve">تحقّقت: لا ملفَّ gov_dept_cap.php في المستودع (الموجودُ ثلاثةٌ: Governance/gov_dept_gov.php · Finance/gov_dept_fin.php · Risk/gov_dept_rsk.php)، ولا رابطَ حوكمةٍ في سايدبار الدور 26، وسطرُ `if ($grade === 'absent') { continue; }` مطابقٌ للسطر 69.</t>
  </si>
  <si>
    <t xml:space="preserve">INJ-0212</t>
  </si>
  <si>
    <t xml:space="preserve">▐ ١١-٩ · سجلاتُ الاطّلاع — القناةُ الموحَّدةُ sensitive_read_log</t>
  </si>
  <si>
    <t xml:space="preserve">الملكية والملّاك</t>
  </si>
  <si>
    <t xml:space="preserve">«كلُّ قراءةٍ تُسجَّل في sensitive_read_log — والمنع يُسجَّل أيضًا» (عقدُ حارس المجال المقيَّد)، والقناةُ موحَّدةٌ ليقرأها تقريرُ الاطّلاع.</t>
  </si>
  <si>
    <t xml:space="preserve">قناتان مختلفتان لتسجيل الاطّلاع على المجال نفسِه: Financing/owners_registry.php:25 و Financing/asset_disposal.php:62 تكتبان في action_execution_log، بينما Financing/financing_board.php:42 و OwnershipDomainGuard::logRead:136 تكتبان في sensitive_read_log. فتقريرُ الاطّلاع الحساس لا يرى نصفَ القراءات.</t>
  </si>
  <si>
    <t xml:space="preserve">لا يمكن الإجابةُ عن سؤال المراجعة «من اطّلع على أسماء الملّاك ومتى» من مصدرٍ واحد؛ ونصفُ الاطّلاعات مخبوءٌ في سجل تنفيذ الأفعال لا في سجل الاطّلاع.</t>
  </si>
  <si>
    <t xml:space="preserve">كُتب التسجيلُ محليًّا في كل شاشةٍ بدل المرور بالحارس المركزي الذي يملك القناة الصحيحة.</t>
  </si>
  <si>
    <t xml:space="preserve">Financing/owners_registry.php:24-25; Financing/asset_disposal.php:62; Financing/financing_board.php:42; app/Core/OwnershipDomainGuard.php:136; includes/sensitive_read_log.php:32</t>
  </si>
  <si>
    <t xml:space="preserve">١) افتح «الملكية والملّاك». ٢) ابحث في sensitive_read_log عن سطرٍ لهذا الفتح → لا يوجد. ٣) ابحث في action_execution_log → السطرُ هناك.</t>
  </si>
  <si>
    <t xml:space="preserve">استبدل الكتابةَ في action_execution_log في owners_registry.php:25 و asset_disposal.php:62 بنداءٍ لـOwnershipDomainGuard (أو ems_log_sensitive_read) لتصبّ كلُّ القراءات في sensitive_read_log.</t>
  </si>
  <si>
    <t xml:space="preserve">كلُّ فتحٍ لشاشةٍ من المجال المقيَّد ينشئ سطرًا واحدًا في sensitive_read_log بالكود المقروء واسمِ المستخدم والوقت؛ وصفرُ سطرِ اطّلاعٍ في قناةٍ أخرى.</t>
  </si>
  <si>
    <t xml:space="preserve">قناتان مختلفتان مؤكَّدتان: owners_registry.php:24-25 وasset_disposal.php:62 تكتبان action_execution_log، وfinancing_board.php:42 وOwnershipDomainGuard::logRead:136 تكتبان sensitive_read_log — بل ثالثةٌ في includes/sensitive_read_log.php:32 عبر log_security_event.</t>
  </si>
  <si>
    <t xml:space="preserve">INJ-0213</t>
  </si>
  <si>
    <t xml:space="preserve">PR-06 · لا رجعيةَ في المعتمَد (٤-١ المبادئُ الاثنا عشرَ الحاكمة)</t>
  </si>
  <si>
    <t xml:space="preserve">عقود الموظفين — أفعال دورة العقد</t>
  </si>
  <si>
    <t xml:space="preserve">«المستندُ المعتمدُ لا يُعدَّل ولا يُحذف. والتصحيحُ حركةٌ جديدةٌ تشير إلى الأصل… وسجلُّ التدقيق يحفظ الأصلَ والتصحيحَ معًا»؛ والاختبارُ: «تحقق أن جدولَ المستند لا يقبل UPDATE بعد approved_at».</t>
  </si>
  <si>
    <t xml:space="preserve">تعديلٌ في المكان على جدولٍ موروثٍ بلا حالةِ اعتماد، مع أثرٍ نصيٍّ في driver_contract_notes؛ وجدولُ الملاحق وخدمتُه يخصّان employee_contracts الجديد لا drivercontracts. — [مُصحَّح بعد التحقق] الصياغة الأولى: سبعةُ أفعالٍ في معالجٍ واحدٍ تعدّل عقدَ الموظف في مكانه عبر UPDATE drivercontracts: التجديد (السطر 87) والتسوية (136) والإيقاف (178) والاستئناف (204) والإنهاء (254) والدمج (288) والإكمال (365) — كلُّه</t>
  </si>
  <si>
    <t xml:space="preserve">عقدُ عملٍ — مستندٌ قانونيٌّ نافذ — تُغيَّر ساعاتُه ومدتُه وحالتُه بلا نسخةٍ سابقةٍ محفوظةٍ وبلا ملحقٍ معتمد؛ فيستحيل إثباتُ ما كان عليه العقدُ وقتَ العمل، وتنهار قيمةُ الملف الوظيفيِّ كدليلٍ في نزاعٍ عماليّ.</t>
  </si>
  <si>
    <t xml:space="preserve">بُني المعالجُ على جدول drivercontracts القديم قبل إنشاء نظام الملاحق، ولم يُهاجَر إليه بعد بنائه.</t>
  </si>
  <si>
    <t xml:space="preserve">Employees/employee_contract_actions_handler.php:40-48,87,136,178,204,254,288,365; database/schema/schema.sql:2120-2165; app/Services/Contract/EmployeeContractAmendmentService.php:286-290</t>
  </si>
  <si>
    <t xml:space="preserve">١) افتح عقدَ موظفٍ نافذًا. ٢) نفّذ «تسوية» بزيادة ٥٠ ساعة. ٣) افحص الصفَّ → forecasted_contracted_hours تغيّرت في مكانها. ٤) ابحث عن نسخةٍ سابقةٍ أو ملحقٍ في employee_contract_amendments → لا شيء.</t>
  </si>
  <si>
    <t xml:space="preserve">أعِد توجيه أفعال Employees/employee_contract_actions_handler.php إلى app/Services/Contract/EmployeeContractAmendmentService::create/approve فيُنشأ ملحقٌ بقيم قبل/بعد يُعتمد ثم يُطبَّق، ومنعُ UPDATE المباشر على drivercontracts بعد الاعتماد بحارسٍ في dca_update.</t>
  </si>
  <si>
    <t xml:space="preserve">أيُّ تغييرٍ على عقدٍ نافذٍ ينشئ ملحقًا بحالة pending ولا يغيّر العقدَ حتى الاعتماد؛ والصفُّ الأصليُّ يبقى بقيمه ويظهر الاثنان في سجل التدقيق.</t>
  </si>
  <si>
    <t xml:space="preserve">الأفعالُ السبعةُ تعدّل drivercontracts في مكانها عبر dca_update (:40-48) كما ذُكر، لكن جدولَ drivercontracts (schema.sql:2120-2165) لا يحمل approved_at ولا حالةَ اعتمادٍ أصلًا — فلا «مستندَ معتمدًا» يُنتهك، وكلُّ فعلٍ يكتب ملاحظةً بالقيمة السابقة في driver_contract_notes. وخدمةُ الملاحق تعمل على جدولٍ آخرَ تمامًا (employee_contracts — contractOf() :286-290) لا على هذا.</t>
  </si>
  <si>
    <t xml:space="preserve">INJ-0214</t>
  </si>
  <si>
    <t xml:space="preserve">عقود الموظفين</t>
  </si>
  <si>
    <t xml:space="preserve">http://localhost/ems/Employees/employee_contracts.php</t>
  </si>
  <si>
    <t xml:space="preserve">«لكل بيانٍ موضعٌ واحدٌ يُنشأ فيه ويُعدَّل، وكلُّ عرضٍ آخرَ له قراءةٌ لا نسخة»؛ و«◆ ما تملكه الموارد البشرية: عقدَ العمل · الملفَّ الوظيفي».</t>
  </si>
  <si>
    <t xml:space="preserve">نظامان متوازيان في طورِ هجرةٍ معلنة: القديمُ يبقى كاتبًا والموحَّدُ يعرضه «مرحَّلًا قراءةً» بـsource_table/source_id؛ والنقصُ الفعليُّ أن رابطَ السجل الموحَّد في سايدبار الدور 4 معطَّلٌ رغم امتلاكه الصلاحية. — [مُصحَّح بعد التحقق] الصياغة الأولى: نظامان متوازيان لعقد الموظف: (أ) drivercontracts — يكتبه Employees/employee_contracts.php (الإدراج في السطر 824 والتعديل في 819) ومعالجُه، بلا اعتمادٍ ولا ملاحقَ ولا تدقيق؛ (ب) employee_contracts + em</t>
  </si>
  <si>
    <t xml:space="preserve">مالكُ عقد العمل نصًّا (الموارد البشرية) يعمل على النظام غير المحوكَم، والنظامُ المحوكَمُ يراه غيرُه؛ فبياناتُ العقد موزَّعةٌ على جدولين لا يُوفَّق بينهما، والمسيّرُ والتصفيةُ يقرآن أحدَهما بينما يُدخَل العقدُ في الآخر.</t>
  </si>
  <si>
    <t xml:space="preserve">هجرةُ العقود إلى النموذج المحوكَم نُفِّذت في طبقة الخدمة وشاشةِ السجل الموحَّد ولم تُنقل إليها شاشةُ الإدارة المالكة.</t>
  </si>
  <si>
    <t xml:space="preserve">Employees/employee_contracts.php:819,824; Workforce/contract_registry.php:73-77; database/schema/schema.sql:2275-2276; database/schema/seed_reference.sql:3834 (nav_items 595 active=0)</t>
  </si>
  <si>
    <t xml:space="preserve">١) بدور ٤ افتح «عقود الموظفين» وأنشئ عقدًا → يُكتب في drivercontracts. ٢) افتح Workforce/contract_registry.php (بدور ٩) → العقدُ غيرُ ظاهر. ٣) قارن الجدولين → مجموعتا عقودٍ منفصلتان.</t>
  </si>
  <si>
    <t xml:space="preserve">وحّد المصدر: اجعل Employees/employee_contracts.php يكتب في employee_contracts عبر EmployeeContractAmendmentService، وحوّل drivercontracts إلى منظرِ قراءةٍ تاريخيٍّ أو هاجِر بياناتِه؛ وأضِف Workforce/contract_registry.php إلى سايدبار دور ٤ بزاويةِ المالك.</t>
  </si>
  <si>
    <t xml:space="preserve">عقدٌ يُنشأ من شاشة الموارد البشرية يظهر فورًا في سجل العقود الموحَّد وفي المسيّر؛ وصفرُ صفٍّ جديدٍ في drivercontracts.</t>
  </si>
  <si>
    <t xml:space="preserve">الازدواجُ قائمٌ (drivercontracts تُكتب في employee_contracts.php:819,824 · وemployee_contracts عبر الخدمة)، وصفُّ التنقل للدور 4 نحو contract_registry معطَّلٌ (nav_items 595 · active=0). لكن الادعاءَ «(ب) يظهر لدور 9 فقط» باطل: الدور 4 يملك can_view/add/edit على الموديول 151، والجدولان موفَّقان بنيويًّا بعمودَي employee_contracts.source_table/source_id (schema.sql:2275-2276) بنمط «مرحَّلٌ قراءةً» N-04.</t>
  </si>
  <si>
    <t xml:space="preserve">INJ-0215</t>
  </si>
  <si>
    <t xml:space="preserve">AR-04 · مفتاحُ منع التكرار في كل أثر</t>
  </si>
  <si>
    <t xml:space="preserve">«كلُّ فعلٍ ذي أثرٍ يحمل مفتاحًا مركَّبًا لا يتكرر. وإعادةُ النداء ترجع مرجعَ الأثر الأول ولا تولّد ثانيًا».</t>
  </si>
  <si>
    <t xml:space="preserve">أثرُ «مضاعفة الأجر في المسيّر» غيرُ مسنَد: خدماتُ Workforce (المسيّر) لا تشير إلى drivercontracts إطلاقًا — فالأثرُ ازدواجُ سجلٍّ تعاقديٍّ لا صرفٌ مضاعف. — [مُصحَّح بعد التحقق] الصياغة الأولى: إدراجُ العقد في Employees/employee_contracts.php:824 بلا مفتاحِ عطالةٍ وبلا فهرسٍ فريدٍ على (الموظف × الفترة)، والمعالجُ يعيد التوجيهَ بـwindow.location.href في السطر 888 بعد الحفظ (لا بإعادة توجيهٍ خ</t>
  </si>
  <si>
    <t xml:space="preserve">عقدان متطابقان للموظف الواحد في الفترة نفسِها يُدخلان الموظفَ مرتين في مسيّر الرواتب ويضاعفان أجرَه؛ وهو أثرٌ ماليٌّ مباشرٌ يصعب اكتشافُه بعد الصرف.</t>
  </si>
  <si>
    <t xml:space="preserve">لم تُنفَّذ العطالةُ في طبقة الطلب لأي معالجٍ في المستودع، ولا فهرسَ فريدًا يمنع التداخل.</t>
  </si>
  <si>
    <t xml:space="preserve">Employees/employee_contracts.php:824; Employees/employee_contracts.php:888; app/Core/ProcessedOperations.php:1; Workforce/payroll_runs.php:94</t>
  </si>
  <si>
    <t xml:space="preserve">١) بدور ٤ أنشئ عقدًا لموظف. ٢) اضغط زرَّ الرجوع ثم أعِد الإرسال. ٣) اعدّ عقودَ الموظف → عقدان بالفترة نفسِها. ٤) اربط لقطاتِ المسيّر → الموظفُ بسطرين.</t>
  </si>
  <si>
    <t xml:space="preserve">أضِف فهرسًا فريدًا على (company_id, employee_id, actual_start) في drivercontracts وفحصَ تداخلٍ زمنيٍّ قبل الإدراج في Employees/employee_contracts.php:824، واستبدل إعادةَ التوجيه في السطر 888 بإعادةِ توجيهٍ خادميةٍ بعد POST.</t>
  </si>
  <si>
    <t xml:space="preserve">إعادةُ إرسال نموذج العقد لا تنشئ عقدًا ثانيًا؛ وعقدٌ يتداخل زمنيًّا مع عقدٍ قائمٍ للموظف نفسِه يُرفض 422.</t>
  </si>
  <si>
    <t xml:space="preserve">السطران 824 و888 يطابقان: إدراجٌ بلا مفتاح عطالة ثم إعادةُ توجيهٍ بجافاسكربت لا 303، ولا فهرسَ فريدًا على drivercontracts (المفاتيحُ كلُّها KEY عادية).</t>
  </si>
  <si>
    <t xml:space="preserve">INJ-0216</t>
  </si>
  <si>
    <t xml:space="preserve">INJAZ-FRD-01 §١١-٥ · الأثرُ العابرُ للإدارات — «حدثٌ منشورٌ يستهلكه من يعنيه»</t>
  </si>
  <si>
    <t xml:space="preserve">«الإداراتُ المتأثرةُ بأفعالها: المالية والخزينة · القوى التشغيلية · إدارة الموقع · إدارة التشغيل · الحوكمة والالتزام…» و«الأثرُ ينتقل بالأحداث».</t>
  </si>
  <si>
    <t xml:space="preserve">أثرُ «بقاء الموظف في المسيّر» غيرُ مسنَد: خدماتُ Workforce لا تقرأ drivercontracts؛ والأثرُ الفعليُّ غيابُ إبلاغٍ آليٍّ للإدارات المتأثرة. — [مُصحَّح بعد التحقق] الصياغة الأولى: أفعالُ العقد السبعةُ تكتب في drivercontracts و driver_contract_notes فقط ولا تنشر حدثًا واحدًا (بحثُ EventPublisher/publish في الملف = صفر). فإنهاءُ عقدٍ لا يبلغ المسيّرَ ولا الخزينةَ ولا القوى التشغي</t>
  </si>
  <si>
    <t xml:space="preserve">موظفٌ أُنهي عقدُه يبقى في مسيّر الرواتب وفي تكليفات الموقع وفي حسابات النظام حتى يتذكر أحدٌ إبلاغَ كل إدارةٍ يدويًّا؛ وهو مصدرٌ مباشرٌ لصرفِ أجرٍ بعد انتهاء الخدمة.</t>
  </si>
  <si>
    <t xml:space="preserve">المعالجُ يكتب مباشرةً في جداوله ولم يُلحَق بناقل الأحداث.</t>
  </si>
  <si>
    <t xml:space="preserve">Employees/employee_contract_actions_handler.php:44; Employees/employee_contract_actions_handler.php:275; app/Core/EventPublisher.php:1; Workforce/payroll_runs.php:94</t>
  </si>
  <si>
    <t xml:space="preserve">١) أنهِ عقدَ موظفٍ من الشاشة. ٢) افتح مسيّرَ الرواتب للفترة التالية واربط اللقطات → الموظفُ ما زال ضمن المؤهلين. ٣) ابحث عن حدثٍ منشورٍ لهذا الإنهاء → لا شيء.</t>
  </si>
  <si>
    <t xml:space="preserve">انشر من المعالج أحداثًا بعقدها: hr.contract.terminated · hr.contract.renewed · hr.contract.settled بمفاتيح عطالةٍ (contract × action × date)، وسجّل مستهلكين في المسيّر والقوى التشغيلية والخزينة.</t>
  </si>
  <si>
    <t xml:space="preserve">إنهاءُ عقدٍ ينشر حدثًا واحدًا؛ وربطُ لقطات المسيّر بعده يستبعد الموظفَ تلقائيًّا بسببٍ ظاهر.</t>
  </si>
  <si>
    <t xml:space="preserve">صفرُ نداءٍ لـEventPublisher في المعالج (385 سطرًا) — أفعالُ العقد تكتب drivercontracts وdriver_contract_notes بلا نشرِ حدث.</t>
  </si>
  <si>
    <t xml:space="preserve">INJ-0217</t>
  </si>
  <si>
    <t xml:space="preserve">INJAZ-FRD-01 §١١-٤ · شاشاتُها — «مخاطر الموارد البشرية (risk_dept_hrm.php)»</t>
  </si>
  <si>
    <t xml:space="preserve">مخاطر الموارد البشرية (risk_dept_hrm.php)</t>
  </si>
  <si>
    <t xml:space="preserve">تعلن الوثيقةُ ضمن شاشات الإدارة الثلاثَ عشرةَ شاشةَ «مخاطر الموارد البشرية» رمزُها risk_dept_hrm.php بـ٢٢ عمودًا و٣ أفعالٍ في مرحلة «مخاطرُ الإدارة».</t>
  </si>
  <si>
    <t xml:space="preserve">لا وجودَ لملف risk_dept_hrm.php؛ مجلد Risk/ يحوي risk_dept_fin.php و risk_dept_gov.php فقط. وسايدبار دور ٤ يعرض بدلًا منها «مساحة مخاطر الإدارة» (Risk/dept_risk_space.php) داخل مجموعة «خارج الوثيقة — بانتظار قرار المالك».</t>
  </si>
  <si>
    <t xml:space="preserve">مخاطرُ الموارد البشرية (تسربُ الكفاءات · مخالفةُ عقدٍ · إصابةُ عملٍ · عجزُ مسيّر) بلا سجلٍّ باسم الإدارة ونطاقها؛ فينكسر الخطُّ الأولُ في نموذج الخطوط الثلاثة عند إدارةٍ تحمل مخاطرَ قانونيةً عالية.</t>
  </si>
  <si>
    <t xml:space="preserve">Risk/risk_dept_fin.php:1; Risk/risk_dept_gov.php:1; database/schema/seed_reference.sql:4998 (نظيرُه للدور 4)</t>
  </si>
  <si>
    <t xml:space="preserve">١) ادخل بدور ٤. ٢) ابحث عن «مخاطر الموارد البشرية» → غير موجودة. ٣) جرّب Risk/risk_dept_hrm.php → 404.</t>
  </si>
  <si>
    <t xml:space="preserve">أنشئ Risk/risk_dept_hrm.php على غرار Risk/risk_dept_fin.php بنطاق الموارد البشرية وسجّله في modules و nav_items لدور ٤ في مجموعة «مخاطرُ الإدارة».</t>
  </si>
  <si>
    <t xml:space="preserve">بدور ٤ تُفتح شاشةُ مخاطر الموارد البشرية وتعرض مخاطرَ الإدارة وحدَها بأعمدتها.</t>
  </si>
  <si>
    <t xml:space="preserve">تحقّقت: مجلد Risk/ لا يحوي risk_dept_hrm.php (الموجودُ risk_dept_fin.php و risk_dept_gov.php فقط)، وسايدبار الدور 4 يعرض «مساحة مخاطر الإدارة» في مجموعة «خارج الوثيقة — بانتظار قرار المالك».</t>
  </si>
  <si>
    <t xml:space="preserve">INJ-0218</t>
  </si>
  <si>
    <t xml:space="preserve">INJAZ-FRD-01 §١١-٣ · المرحلة ٧ «سابعًا: المسيّر والدفع — مسيّر معتمد · أمر دفع | المعتمِد: المالية | شاشتان»</t>
  </si>
  <si>
    <t xml:space="preserve">سابعًا: المسيّر والدفع</t>
  </si>
  <si>
    <t xml:space="preserve">http://localhost/ems/Workforce/payroll_runs.php</t>
  </si>
  <si>
    <t xml:space="preserve">المرحلةُ السابعةُ مستندُها «مسيّر معتمد · أمر دفع» ومعتمِدُها «المالية» وشاشاتُها ٢ — «ولا مرحلةَ بلا مخرَج».</t>
  </si>
  <si>
    <t xml:space="preserve">المرحلةُ السابعةُ للدور 4 فيها صفّان: `payroll_runs` (ظاهر) و`Finance/payments_fin.php` «طلبات الدفع والسداد» (nav#6382 · active=1) لكنه لا يُصيَّر لانعدامِ can_view للدور 4 على المودول 91. — [مُصحَّح بعد التحقق] الصياغة الأولى: مجموعةُ المرحلة السابعة في سايدبار دور ٤ تحوي رابطًا واحدًا هو «مسيّر الرواتب» (Workforce/payroll_runs.php). ولا رابطَ لأمر الدفع ولا لشاشة الصرف؛ وانتقالُ المسيّر إلى Paid يشترط مرجعَ صرفٍ نصيًّا فقط</t>
  </si>
  <si>
    <t xml:space="preserve">المرحلةُ الأخيرةُ في دورة الموارد البشرية بنصف مخرَجها: المسيّرُ يُعتمد ثم يُعلَّم «مدفوعًا» بنصٍّ حرٍّ بلا أمرِ دفعٍ ماليٍّ مقابل؛ فلا تُنقر الأجورُ إلى حركة خزينةٍ ولا يُطابَق المصروفُ بالمدفوع.</t>
  </si>
  <si>
    <t xml:space="preserve">لم تُربط دورةُ المسيّر بمسار الدفع في المالية، واكتُفي بحقلِ مرجعٍ نصيّ.</t>
  </si>
  <si>
    <t xml:space="preserve">app/Services/Payroll/PayrollStateMachine.php:182-187; database/schema/seed_reference.sql:4559-4560</t>
  </si>
  <si>
    <t xml:space="preserve">١) بدور ٤ افتح مجموعة «سابعًا: المسيّر والدفع» → رابطٌ واحد. ٢) انقل مسيّرًا إلى Paid بمرجعٍ نصيٍّ أيًّا كان → ينجح. ٣) ابحث عن حركةِ خزينةٍ مقابلة → لا شيء.</t>
  </si>
  <si>
    <t xml:space="preserve">اشترط في PayrollStateMachine::transition عند Paid وجودَ payment_id في fin_payments بحالة executed ومبلغٍ مطابقٍ لصافي المسيّر بدل النص الحر، وأضِف إلى المرحلة السابعة ظهورًا لشاشة «طلبات الدفع والسداد» بزاويةِ قراءةٍ للموارد البشرية.</t>
  </si>
  <si>
    <t xml:space="preserve">نقلُ مسيّرٍ إلى Paid بلا مستندِ صرفٍ منفَّذٍ يُرفض 422؛ وكلُّ مسيّرٍ مدفوعٍ يفتح حركةَ خزينته بنقرة.</t>
  </si>
  <si>
    <t xml:space="preserve">الانتقالُ إلى Paid يكتفي بـ`payment_ref` نصيًّا (:182-187)، والمرحلةُ السابعةُ لا تُظهر إلا مسيّرَ الرواتب — لكن السببَ منحةٌ ناقصةٌ لا غيابُ صفٍّ.</t>
  </si>
  <si>
    <t xml:space="preserve">INJ-0219</t>
  </si>
  <si>
    <t xml:space="preserve">INJAZ-FRD-01 §١١-٣ · المرحلة ٥ «قرار خصم معتمد | المعتمِد: سلّم الموافقات»</t>
  </si>
  <si>
    <t xml:space="preserve">مستندُ المرحلة الخامسة «قرار خصم معتمد» ومعتمِدُه «سلّم الموافقات» — «ولا مرحلةَ بلا مخرَج».</t>
  </si>
  <si>
    <t xml:space="preserve">الكتابةُ في scr_deductions (سجلُّ عرضٍ) لا في payroll_deductions. — [مُصحَّح بعد التحقق] الصياغة الأولى: شاشةُ الخصومات مولَّدةٌ من قالب CMP-03 وتحفظ الصفَّ بحقل status نصيٍّ عبر cmp03_store_insert (السطر 101) بلا سلسلةِ اعتمادٍ ولا معتمِدٍ مختومٍ ولا سقفٍ ولا منعِ اعتماد الذات ولا فحصٍ خادميٍّ لأي منها؛</t>
  </si>
  <si>
    <t xml:space="preserve">قرارُ الخصم — وهو اقتطاعٌ من أجر شخصٍ — يُسجَّل بحالةٍ نصيةٍ يكتبها من يشاء بلا سلسلةِ موافقاتٍ ولا أثرٍ تدقيقيٍّ ولا ربطٍ بالمقترح؛ وهو أكثرُ قرارات الإدارة إثارةً للنزاع.</t>
  </si>
  <si>
    <t xml:space="preserve">وُلِّدت الشاشةُ كسجلٍّ عامٍّ من قالب CMP-03 ولم تُبنَ لها آلةُ حالاتٍ ولا سلسلةُ اعتماد.</t>
  </si>
  <si>
    <t xml:space="preserve">Workforce/deductions.php:30; Workforce/deductions.php:101; Workforce/proposed_deductions.php:1; includes/self_approval_guard.php:22; app/Core/AuthorityGuard.php:1</t>
  </si>
  <si>
    <t xml:space="preserve">١) بدور ٤ افتح «الخصومات والجزاءات» وسجّل خصمًا بحالة «معتمد» مباشرةً. ٢) لاحظ قبولَ الحفظ بلا أي اعتمادٍ ثانٍ. ٣) افتح «خصومات المشغّلين المقترحة» → لا رابطَ بين المقترح والقرار.</t>
  </si>
  <si>
    <t xml:space="preserve">أنشئ آلةَ حالاتٍ لقرار الخصم (مقترح → مراجعة → معتمد → مطبَّق) في جدول payroll_deductions، وافرض ems_no_self_approval و AuthorityGuard عند الاعتماد، واربط Workforce/proposed_deductions.php بالقرار كمصدرٍ إلزامي.</t>
  </si>
  <si>
    <t xml:space="preserve">خصمٌ لا يصير «معتمدًا» إلا بمرورِه في سلسلة الموافقات بيدين مختلفتين؛ وكلُّ خصمٍ معتمدٍ يشير إلى مقترحه ويظهر في مقاصّات المسيّر.</t>
  </si>
  <si>
    <t xml:space="preserve">الوصفُ صحيح: الشاشةُ قالبُ CMP-03 يحفظ الحالةَ نصًّا عبر cmp03_store_insert (السطر 101) بلا سلسلةِ اعتمادٍ ولا سقفٍ ولا منعِ اعتمادِ ذات. لكنها تكتب في scr_deductions لا في payroll_deductions (التي يكتبها OffsetService من سلفِ العاملين)، فلا اقتطاعَ فعليًّا من أجرٍ من هذه الشاشة ⇒ P2، والإصلاحُ المقترحُ يستهدف جدولًا خاطئًا.</t>
  </si>
  <si>
    <t xml:space="preserve">INJ-0220</t>
  </si>
  <si>
    <t xml:space="preserve">§٧-٣ · §٩-٤ — «زرُّ إظهارِ كلِّ الأعمدة (CM-10) بالاسمِ الموحَّدِ في كل الشاشاتِ»</t>
  </si>
  <si>
    <t xml:space="preserve">سجل الموظفين / سجل المشغّلين</t>
  </si>
  <si>
    <t xml:space="preserve">«الشاشاتُ الطويلةُ (٢٠+ عمودًا) تحتاج مناظرَ وزرَّ إظهارِ الكلِّ إلزامًا — بالاسمِ الموحَّدِ… ولا يُغيَّر نصُّه»؛ والوثيقةُ تعلن لسجل الموظفين ٢٦ عمودًا ولعقود الموظفين ٤٠.</t>
  </si>
  <si>
    <t xml:space="preserve">ثمانِ شبكاتٍ في مجلد Employees بلا أي أداةِ إظهارِ أعمدةٍ إطلاقًا — منها Employees/employees.php و Employees/equipment_operators.php و Employees/job_titles.php و Employees/employee_roles.php. والشاشةُ الوحيدةُ التي تحمل الأداةَ هي Employees/employee_contracts.php:629 وبنصٍّ غيرِ موحَّدٍ («إظهار الكل» من assets/js/column-groups.js:176).</t>
  </si>
  <si>
    <t xml:space="preserve">سجلُّ الموظفين — أكثفُ شاشات الإدارة بيانًا — لا يمكن بلوغُ نموذجه الكامل منه؛ فيلجأ المستخدمُ إلى التصدير أو إلى فتح كل بطاقةٍ على حِدة، والنصُّ غيرُ الموحَّد في الشاشة الوحيدة يعلّم المستخدمَ اسمين لوظيفةٍ واحدة.</t>
  </si>
  <si>
    <t xml:space="preserve">لم يُعمَّم مكوّنُ CM-10 على شبكات الموارد البشرية، ولا فحصَ آليٌّ يفرض النصَّ الموحَّد.</t>
  </si>
  <si>
    <t xml:space="preserve">Employees/employees.php:1039; Employees/equipment_operators.php:1; Employees/job_titles.php:1; Employees/employee_contracts.php:629; assets/js/column-groups.js:176; includes/u13_screen_kit.php:319</t>
  </si>
  <si>
    <t xml:space="preserve">١) افتح «سجل الموظفين» وابحث عن زرِّ «إظهار كل الأعمدة» → لا يوجد. ٢) افتح «عقود الموظفين» → الزرُّ موجودٌ بنصِّ «إظهار الكل».</t>
  </si>
  <si>
    <t xml:space="preserve">أدرِج مكوّنَ column-groups في شبكات Employees الثماني ووحّد نصَّه في assets/js/column-groups.js:176 إلى «إظهار كل الأعمدة»، وأضِف فحصًا في بوابة الشاشة يرفض شاشةً طويلةً بلا منتقٍ.</t>
  </si>
  <si>
    <t xml:space="preserve">فحصٌ آليٌّ: كلُّ شبكةٍ في Employees تحوي عنصرًا نصُّه «إظهار كل الأعمدة»؛ صفرُ شبكةٍ طويلةٍ بلا منتقٍ.</t>
  </si>
  <si>
    <t xml:space="preserve">صفرُ استعمالٍ لمكوّن column-groups في مجلد Employees عدا employee_contracts.php، ونصُّ الزر الافتراضيُّ في column-groups.js:176 «إظهار الكل» لا «إظهار كل الأعمدة».</t>
  </si>
  <si>
    <t xml:space="preserve">INJ-0221</t>
  </si>
  <si>
    <t xml:space="preserve">خارج الوثيقة — بانتظار قرار المالك (دور الموارد البشرية)</t>
  </si>
  <si>
    <t xml:space="preserve">http://localhost/ems/Employees/job_titles.php</t>
  </si>
  <si>
    <t xml:space="preserve">بنيةُ السايدبار خمسُ مناطقَ، و«القائمةُ تُولَّد من مصفوفة العرضِ في NAV-09»، و«◆ المجموعةُ التي فرغت من العناصرِ لا تُعرض أصلًا».</t>
  </si>
  <si>
    <t xml:space="preserve">سايدبار دور ٤ يحوي مجموعةً تاسعةً بعنوان «خارج الوثيقة — بانتظار قرار المالك» فيها تسعةُ روابط: المسميات الوظيفية · الأدوار الوظيفية · فريق الإدارة والتكليفات · ملف العامل التشغيلي · عقود العاملين · تسويات العاملين · الذمم والتحصيل · تسويات الموظفين · مساحة مخاطر الإدارة. ومنها ثلاثةٌ مكررةُ الوظيفة (تسويات العاملين + تسويات الموظفين) واثنان مملوكان لإداراتٍ أخرى.</t>
  </si>
  <si>
    <t xml:space="preserve">خُمسُ قائمة الموارد البشرية مجموعةٌ بعنوانٍ تشغيليٍّ داخليٍّ يخاطب فريقَ التطوير، وفيها شاشاتٌ مكررةٌ وشاشاتٌ لا تملكها الإدارة؛ وهو أول ما يراه العميلُ في عرضٍ خارجي.</t>
  </si>
  <si>
    <t xml:space="preserve">أُبقيت الشاشاتُ غيرُ المصنَّفة في NAV-09 ظاهرةً في مجموعةٍ مؤقتةٍ بدل تصنيفها في مرحلتها أو إيقافها.</t>
  </si>
  <si>
    <t xml:space="preserve">database/schema/seed_reference.sql:2869; :3577-3591; includes/unified_nav.php:207; :222</t>
  </si>
  <si>
    <t xml:space="preserve">١) ادخل بدور ٤. ٢) انزل إلى آخر السايدبار. ٣) اقرأ عنوانَ المجموعة وعدَّ روابطَها = ٩. ٤) لاحظ «تسويات العاملين» و«تسويات الموظفين» معًا.</t>
  </si>
  <si>
    <t xml:space="preserve">صنّف روابطَ المجموعة إلى مراحلها (المسميات والأدوار → السجلات والمراجع · التسويات → المرحلة ٦) ووحّد شاشتَي التسوية، واحذف ما لا تملكه الإدارة، ثم أزِل مجموعةَ stage_no=99 من link_groups.</t>
  </si>
  <si>
    <t xml:space="preserve">صفرُ مجموعةٍ في سايدبار دور ٤ بعنوانٍ يحوي «خارج الوثيقة»؛ وصفرُ شاشتين متكررتي الوظيفة في القائمة.</t>
  </si>
  <si>
    <t xml:space="preserve">link_groups 2087 للدور 4 عنوانُ مرحلتها stage_title='خارج الوثيقة — بانتظار قرار المالك' وis_active=1، وunified_nav.php:207-222 يصيّر stage_title نصًّا ظاهرًا؛ وفيها تسعةُ روابطَ حيةٍ (active=1) منها «تسويات العاملين» و«الذمم والتحصيل» و«فريق الإدارة والتكليفات»، والعلمُ EMS_NAV_UNIFIED_ROLES يشمل كلَّ الأدوار (ROLES_AND_PERMISSIONS_GUIDE_ar.md:339).</t>
  </si>
  <si>
    <t xml:space="preserve">INJ-0222</t>
  </si>
  <si>
    <t xml:space="preserve">§٤-٥ — «صفرُ عنصرٍ مكرر» · «ولا تُكرَّر العناصرُ الشخصيةُ في كل إدارة»</t>
  </si>
  <si>
    <t xml:space="preserve">المراسلات / تسويات العاملين</t>
  </si>
  <si>
    <t xml:space="preserve">http://localhost/ems/chats/index.php</t>
  </si>
  <si>
    <t xml:space="preserve">«صفرُ عنصرٍ مكرر · وصفرُ عنصرٍ لا يملكه المستخدم» (UXR-0036)، و«لا تُكرَّر العناصرُ الشخصيةُ في كل إدارة».</t>
  </si>
  <si>
    <t xml:space="preserve">سايدبار دور ٤ يعرض «المراسلات» مرتين في المجموعة صفر: مرةً مثبَّتةً في المصيّر (includes/unified_nav.php:235) ومرةً مبذورةً في nav_items. ويعرض في مجموعة «خارج الوثيقة» شاشتَي تسويةٍ متوازيتين: Workforce/worker_settlement.php «تسويات العاملين» و Workforce/employee_settlements.php «تسويات الموظفين» — إضافةً إلى Workforce/final_settlement.php «تصفية إنهاء خدمة موظف» في المرحلة السادسة.</t>
  </si>
  <si>
    <t xml:space="preserve">ثلاثُ شاشاتِ تسويةٍ لغرضٍ واحدٍ في قائمةٍ واحدة؛ فلا يعرف المستخدمُ أيَّها المعتمد، ويُدخَل البيانُ في اثنتين فينشأ رقمان لا يُوفَّق بينهما — وهو نصُّ ما يمنعه PR-01.</t>
  </si>
  <si>
    <t xml:space="preserve">أُبقيت الشاشاتُ التاريخيةُ ظاهرةً بعد بناء الشاشة الموحَّدة، ورابطُ المراسلات مثبَّتٌ ومبذورٌ معًا.</t>
  </si>
  <si>
    <t xml:space="preserve">includes/unified_nav.php:235; database/schema/seed_reference.sql:4137; Workforce/worker_settlement.php:1; Workforce/employee_settlements.php:1; Workforce/final_settlement.php:1</t>
  </si>
  <si>
    <t xml:space="preserve">١) ادخل بدور ٤. ٢) اقرأ المجموعةَ صفر → «المراسلات» مرتين. ٣) اقرأ مجموعة «خارج الوثيقة» → «تسويات العاملين» و«تسويات الموظفين». ٤) قارنها بـ«تصفية إنهاء خدمة موظف» في المرحلة ٦.</t>
  </si>
  <si>
    <t xml:space="preserve">احذف بذرةَ «المراسلات» من nav_items (فهي مثبَّتةٌ في المصيّر)، وأوقف شاشتَي التسوية التاريخيتين (active=0) بعد ترحيل بياناتهما إلى Workforce/final_settlement.php، وأضِف فحصًا يرفض تكرارَ route لنفس الدور.</t>
  </si>
  <si>
    <t xml:space="preserve">استعلامٌ على nav_items لدور 4: صفرُ مسارٍ يتكرر؛ وشاشةُ تسويةٍ واحدةٌ في القائمة.</t>
  </si>
  <si>
    <t xml:space="preserve">«المراسلات» مبذورةٌ في nav_items (6361) فوق الرابط الثابت في المصيّر، وشاشتا تسويةٍ متوازيتان فعّالتان في مجموعة stage 99 إضافةً إلى تصفية إنهاء الخدمة في المرحلة السادسة.</t>
  </si>
  <si>
    <t xml:space="preserve">INJ-0223</t>
  </si>
  <si>
    <t xml:space="preserve">SCN-130-أ · SCN-130-ب · ▐ ١١-٣ مصفوفةُ الظهورِ حسبَ الإدارة</t>
  </si>
  <si>
    <t xml:space="preserve">ما ينتظر اعتمادي</t>
  </si>
  <si>
    <t xml:space="preserve">متابعة الموارد</t>
  </si>
  <si>
    <t xml:space="preserve">«يجب أن تُعرض شاشةُ «صندوق ما ينتظر اعتمادي» لـالموارد البشرية بنطاق نطاقُه وسقفُه · بأفعالٍ مسموحةٍ هي اعتماد · رفضٌ بسبب · إعادة، ومحجوبٍ عنه: اعتمادُ ما أنشأتُه».</t>
  </si>
  <si>
    <t xml:space="preserve">Finance/approvals_inbox.php له صفٌّ فعّالٌ للدور 4 لكنه لا يُعرض لغياب can_view — لا «غيابُ صفّ». — [مُصحَّح بعد التحقق] الصياغة الأولى: سايدبار دور ٤ لا يحوي صندوقَ اعتمادٍ موحَّدًا: العنصرُ المسمّى «ما ينتظر اعتمادي» يشير إلى Approvals/hours_approval.php — وهي شاشةُ اعتماد ساعات التايم شيت المملوكةُ لدورة التشغيل لا صندوقًا لاعتمادات</t>
  </si>
  <si>
    <t xml:space="preserve">مديرُ الموارد البشرية لا يجد في نظامه صندوقًا يجمع ما ينتظر قرارَه (عقودٌ · إجازاتٌ · خصوماتٌ · تصفياتٌ · مسيّر)؛ فيتفرق القرارُ على الشاشات ويتأخر، ولا يمكن قياسُ زمن الدورة ولا تطبيق حجب «اعتماد ما أنشأتُه».</t>
  </si>
  <si>
    <t xml:space="preserve">أُعيد استعمالُ شاشة اعتماد الساعات كصندوقٍ عامٍّ بدل ربط الدور بصندوق الاعتمادات الموحَّد.</t>
  </si>
  <si>
    <t xml:space="preserve">database/schema/seed_reference.sql:3592 (nav_items id 72); :4564 (id 6386); :3498 (link_groups «— بقرار المالك»)</t>
  </si>
  <si>
    <t xml:space="preserve">١) ادخل بدور ٤. ٢) اقرأ مجموعة «متابعة الموارد» → «ما ينتظر اعتمادي — بقرار المالك». ٣) افتحها → شاشةُ اعتماد ساعات التايم شيت لا صندوق اعتمادات الموارد.</t>
  </si>
  <si>
    <t xml:space="preserve">استبدل هدفَ العنصر في nav_items لدور ٤ بصندوق الاعتمادات الموحَّد (Portal/approvals_inbox.php أو Finance/approvals_inbox.php بنطاق الموارد)، ومرّر نطاقَ الدور وسقفَه واستبعادَ ما أنشأه الفاتح.</t>
  </si>
  <si>
    <t xml:space="preserve">بدور ٤ يفتح «صندوق ما ينتظر اعتمادي» صندوقًا يجمع عقودَ الموارد وإجازاتِها وخصوماتِها ومسيّرَها في نطاق الدور، ولا يعرض ما أنشأه الفاتحُ نفسُه.</t>
  </si>
  <si>
    <t xml:space="preserve">صفُّ الدور 4 «ما ينتظر اعتمادي» يشير فعلًا إلى Approvals/hours_approval.php داخل مجموعةٍ اسمُها «— بقرار المالك»، وصندوقُ Finance/approvals_inbox.php له صفٌّ فعّالٌ لكنه محجوبٌ لغياب can_view على الموديول 192، ولا صفَّ لـPortal/approvals_inbox.php لأي دور.</t>
  </si>
  <si>
    <t xml:space="preserve">INJ-0224</t>
  </si>
  <si>
    <t xml:space="preserve">حوكمة الموارد البشرية (gov_dept_hrm.php)</t>
  </si>
  <si>
    <t xml:space="preserve">«يُضاف لكل إدارةٍ مكوّنٌ نطاقيٌّ واحدٌ باسم «حوكمة إدارتي»… تعرض تعارضاتُ الواجبات — الحساباتُ الجامعةُ بين واجبين متعارضين · وحقُّ المستخدمِ فيه ◆ قراءةٌ — والفصلُ إلزاميّ»، وتعلن FRD §١١-٤ شاشةَ gov_dept_hrm.php.</t>
  </si>
  <si>
    <t xml:space="preserve">لا وجودَ لملف gov_dept_hrm.php ولا رابطَ حوكمةٍ في سايدبار دور ٤. وزوجُ فصل الواجبات الخاصُّ بالإدارة (sod_payroll_cycle: employee.create+payroll.salary.update × payroll.run) مصنَّفٌ approx في includes/sod_guard.php فيُسجَّل تحذيرًا ويمرّ المنحُ (Settings/role_permissions.php:68-76).</t>
  </si>
  <si>
    <t xml:space="preserve">حسابٌ واحدٌ يجمع إنشاءَ الموظف وتحديثَ راتبه وتشغيلَ المسيّر يُمنح بتحذيرٍ لا برفض — وهو الزوجُ السابعُ في مصفوفة الواجبات المتعارضة («إعدادُ المسيّر × اعتمادُ المسيّر — حمايةٌ من التلاعب في الأجور»)؛ ولا مساحةَ حوكمةٍ يرى فيها مديرُ الموارد المخالفةَ ليصلحها.</t>
  </si>
  <si>
    <t xml:space="preserve">الزوجُ مصنَّفٌ approx في حارس فصل الواجبات فلا يمنع، وشاشةُ حوكمة الإدارة لم تُنفَّذ للموارد البشرية.</t>
  </si>
  <si>
    <t xml:space="preserve">includes/sod_guard.php:69; includes/sod_guard.php:77; Settings/role_permissions.php:52; Finance/gov_dept_fin.php:1; database/schema/seed_reference.sql:4137</t>
  </si>
  <si>
    <t xml:space="preserve">١) من شاشة الصلاحيات امنح دورًا واحدًا صلاحياتِ إنشاء الموظف وتحديث الراتب وتشغيل المسيّر. ٢) لاحظ قبولَ المنح مع تحذير SOD_GRANT_WARN فقط. ٣) ابحث في سايدبار دور ٤ عن «حوكمة إدارتي» → غير موجودة.</t>
  </si>
  <si>
    <t xml:space="preserve">ارفع درجةَ الزوج sod_payroll_cycle في includes/sod_guard.php إلى exact ليمنع المنحَ، وأنشئ منظرَ «حوكمة إدارتي» معمَّمًا واربطه لدور ٤ ليعرض التعارضاتِ والتفويضاتِ قراءةً.</t>
  </si>
  <si>
    <t xml:space="preserve">منحُ حسابٍ واحدٍ الأدوارَ الثلاثةَ يُرفض برسالةٍ تسمّي الزوج؛ ومساحةُ حوكمة الموارد تعرض أي حسابٍ جامعٍ تاريخيًّا.</t>
  </si>
  <si>
    <t xml:space="preserve">لا ملفَ gov_dept_hrm.php (الموجودُ gov_dept_fin وgov_dept_gov وgov_dept_rsk فقط) ولا رابطَ حوكمةٍ في سايدبار الدور 4، وزوجُ sod_payroll_cycle درجتُه approx فيمرّ المنحُ بتحذير — وهو قرارُ مالكٍ موثَّق (DEC-SEC-K).</t>
  </si>
  <si>
    <t xml:space="preserve">INJ-0225</t>
  </si>
  <si>
    <t xml:space="preserve">§٢٧ · الحقلُ الحساس — «قراءةٌ مسجَّلة» · SCN-872 سياساتُ الحقول الحساسة</t>
  </si>
  <si>
    <t xml:space="preserve">مسيّر الرواتب</t>
  </si>
  <si>
    <t xml:space="preserve">«يجب أن تُعرض شاشةُ «سياسات الحقول الحساسة» لـالموارد البشرية بنطاق حقول الموظفين · بأفعالٍ مسموحةٍ هي قراءةٌ مسجَّلة»؛ والحقلُ الحساس «لا يُعرض… إلا بمنحٍ فردي».</t>
  </si>
  <si>
    <t xml:space="preserve">شاشةُ المسيّر تسجّل الاطّلاعَ (ems_log_sensitive_read في السطر 172) لكنها لا تحجب ولا تُقنّع أي قيمة: أسطرُ المسيّر بمبالغها تُعرض كاملةً لكل من يملك can_view على الوحدة (السطران 55 و61)، بلا منحةٍ فرديةٍ وبلا تقنيعٍ جزئي. و app/Services/Security/SensitiveFieldGuard::maskPartial موجودةٌ بلا أي مستدعٍ إنتاجي.</t>
  </si>
  <si>
    <t xml:space="preserve">رواتبُ كل العاملين مكشوفةٌ لكل حاملِ صلاحيةِ عرض المسيّر؛ والتسجيلُ يوثّق الاطّلاعَ بعد وقوعه ولا يمنعه، فيتحول الضابطُ من منعٍ إلى محضرِ تسريب.</t>
  </si>
  <si>
    <t xml:space="preserve">طُبِّق شقُّ «قراءةٌ مسجَّلة» من الحكم دون شقِّ «بمنحٍ فردي»، ولم يُستدعَ مقنّعُ الحقول الحساسة.</t>
  </si>
  <si>
    <t xml:space="preserve">Workforce/payroll_runs.php:47-59; :171; :172; app/Services/Security/SensitiveFieldGuard.php:73</t>
  </si>
  <si>
    <t xml:space="preserve">١) امنح حسابًا can_view على وحدة المسيّر بلا أي منحةٍ فردية. ٢) افتح مسيّرًا → كلُّ الأسطر بمبالغها ظاهرة. ٣) لاحظ سطرَ الاطّلاع في السجل رغم ذلك.</t>
  </si>
  <si>
    <t xml:space="preserve">في Workforce/payroll_runs.php اشترط منحةً فرديةً لعرض المبالغ (VisibilityGuard/SensitiveFieldGuard) وقنّع المبالغَ لغير المخوَّل قبل التصيير، وأبقِ العدّاداتِ الإجماليةَ ظاهرةً.</t>
  </si>
  <si>
    <t xml:space="preserve">حسابٌ بلا منحةِ الأجور يرى العدّاداتِ ولا يرى مبلغَ أي سطرٍ في جسم الاستجابة؛ ومن يملكها يراها ويُسجَّل اطّلاعُه.</t>
  </si>
  <si>
    <t xml:space="preserve">الاطّلاعُ يُسجَّل ولا تُقنَّع المبالغُ ولا تُشترط منحةٌ فردية، وSensitiveFieldGuard بلا مستدعٍ إنتاجي — لكنَّ maskPartial في السطر 73 لا 103.</t>
  </si>
  <si>
    <t xml:space="preserve">INJ-0226</t>
  </si>
  <si>
    <t xml:space="preserve">PR-05 · الحارسُ في الخادم — رمزُ الحماية · ▐ ١١-٩ سجلاتُ التدقيق</t>
  </si>
  <si>
    <t xml:space="preserve">المسميات الوظيفية / الأدوار الوظيفية / سجل المشغّلين</t>
  </si>
  <si>
    <t xml:space="preserve">كلُّ فعلِ كتابةٍ يمرّ برمزِ حمايةٍ خادميٍّ ويترك سطرًا في سجل التدقيق.</t>
  </si>
  <si>
    <t xml:space="preserve">ثلاثُ شاشاتٍ كاتبةٍ في مجلد Employees بلا رمزِ حمايةٍ وبلا سطرِ تدقيق: Employees/job_titles.php (٩ حقولِ POST · إدراجٌ وتحديث) و Employees/employee_roles.php (٨ · إدراجٌ وتحديث) و Employees/equipment_operators.php (٥ · إدراجٌ وتحديثان). بحثُ verify_csrf_token و ems_audit_change في كلٍّ منها = صفر.</t>
  </si>
  <si>
    <t xml:space="preserve">تعريفُ المسميات والأدوار الوظيفية — وهي مرجعُ العقود والصلاحيات — يمكن تغييرُه بطلبٍ مزوَّرٍ من موقعٍ خارجي، ولا يُعرف من غيّره ولا ما كانت القيمةُ قبل.</t>
  </si>
  <si>
    <t xml:space="preserve">لم تُلحَق شاشاتُ السجلات المرجعية بطبقتَي الحماية والتدقيق الموحَّدتين.</t>
  </si>
  <si>
    <t xml:space="preserve">Employees/job_titles.php:33; Employees/employee_roles.php:33; Employees/equipment_operators.php:63; includes/security.php:233</t>
  </si>
  <si>
    <t xml:space="preserve">١) ادخل بدور ٤. ٢) أرسل POST من صفحةٍ خارجيةٍ إلى Employees/job_titles.php بحمولةٍ صحيحة. ٣) لاحظ الحفظَ بلا رفض. ٤) ابحث عن سطر تدقيق → لا يوجد.</t>
  </si>
  <si>
    <t xml:space="preserve">أضِف verify_csrf_token في رأس معالجات POST في الملفات الثلاثة وحقلَ csrf_token في نماذجها، واستدعِ ems_audit_change بعد كل insert/update بقيم قبل/بعد.</t>
  </si>
  <si>
    <t xml:space="preserve">POST بلا رمزٍ صالحٍ إلى أيٍّ من الشاشات الثلاث يُرفض 403؛ وكلُّ كتابةٍ ناجحةٍ تترك سطرَ تدقيق.</t>
  </si>
  <si>
    <t xml:space="preserve">الملفاتُ الثلاثةُ فيها صفرُ مطابقةٍ لـcsrf وصفرُ ems_audit_change، ومسارُ /Employees/ خارج CSRF_ENFORCE_PATHS الحيّة. معالجاتُ POST تبدأ في السطر 33 (job_titles وemployee_roles) و63 (equipment_operators) لا في الأسطر المذكورة.</t>
  </si>
  <si>
    <t xml:space="preserve">INJ-0227</t>
  </si>
  <si>
    <t xml:space="preserve">SCN-877-أ · SCN-877-ب · ▐ ١١-٦ الأفعالُ وعقودُها</t>
  </si>
  <si>
    <t xml:space="preserve">«يجب أن يقبل فعلُ (منحُ صلاحية طوارئ) عكسًا: إنهاءٌ فوريٌّ وتقريرُ مراجعةٍ إلزامي».</t>
  </si>
  <si>
    <t xml:space="preserve">لا زرَّ إنهاءٍ ولا تعديلَ ولا حذفَ في الشاشة إطلاقًا: شريطُ الرأس يحمل زرًّا واحدًا هو «إضافة» ($header_actions فيه عنصرٌ واحد)، والجدولُ خلايا نصٍّ بلا عمود إجراءات. «تقرير المراجعة» و«نتيجة المراجعة» حقلا نصٍّ في نموذج الإضافة نفسه لا في مسارٍ لاحق.</t>
  </si>
  <si>
    <t xml:space="preserve">صلاحيةُ طوارئٍ مُنحت خطأً لا يمكن إنهاؤها من الشاشة، وتقريرُ المراجعة الإلزامي يُكتب سلفًا مع الطلب فيفقد معناه الرقابيّ كليًّا.</t>
  </si>
  <si>
    <t xml:space="preserve">مولّد CMP-03 ينتج شاشةَ إضافةٍ وعرضٍ فقط (add + list) بلا أفعالِ دورةِ حياة.</t>
  </si>
  <si>
    <t xml:space="preserve">Governance/break_glass.php:128-129; :190-211; :47; :49; app/Services/Security/BreakGlassService.php:22</t>
  </si>
  <si>
    <t xml:space="preserve">١) افتح Governance/break_glass.php بدور 15. ٢) أضف صفًّا. ٣) ابحث في الصف عن زر «إنهاء» أو «تعديل» أو «إلغاء» — لا يوجد أيّ زرٍّ في أيِّ صف.</t>
  </si>
  <si>
    <t xml:space="preserve">إضافة فعل reverse في Governance/break_glass.php: عمود إجراءات بزر «إنهاء فوري» يستدعي BreakGlassService (دالة revoke تُضاف) فيضع permission_exceptions.state='revoked' ويعيد بناء المشتق، مع نموذجٍ إلزاميٍّ لتقرير المراجعة قبل قبول الإنهاء.</t>
  </si>
  <si>
    <t xml:space="preserve">الضغط على «إنهاء فوري» لمنحةٍ نافذة يُسقط صلاحية المستخدم خلال ثانية ويطلب تقريرَ مراجعةٍ قبل الإغلاق، ولا يُقبل الإنهاء بتقريرٍ فارغ.</t>
  </si>
  <si>
    <t xml:space="preserve">تحقّقت: `$header_actions` عنصرٌ واحدٌ «إضافة» (:128-129) والجدولُ ثمانيةَ عشرَ عمودَ نصٍّ بلا عمود إجراءات، و«تقرير/نتيجة المراجعة» حقلا إدخالٍ في نموذج الإضافة. خفّضتُ الخطورة لأن الشاشةَ سجلُّ CMP-03 لا آلةُ المنح: المنحُ الحقيقيُّ في BreakGlassService وله كنسٌ تلقائيٌّ (Governance/cron_permissions.php:24).</t>
  </si>
  <si>
    <t xml:space="preserve">INJ-0228</t>
  </si>
  <si>
    <t xml:space="preserve">الأثرُ العابرُ للإدارات · «عقدُ كلِّ فعل: … وفعلُ العكس»</t>
  </si>
  <si>
    <t xml:space="preserve">خدمة العكس (ReverseService)</t>
  </si>
  <si>
    <t xml:space="preserve">«عقدُ كلِّ فعل: سداسيٌّ: الرمزُ والفاعلُ وما يُكتب والحدثُ والمستهلكُ **وفعلُ العكس**» — ولكلِّ فعلٍ عكسُه المعرَّف؛ و«لا عكسَ بحذف».</t>
  </si>
  <si>
    <t xml:space="preserve">`app/Services/Actions/ReverseService.php` مبنيٌّ (ACT-01 v6 §8-⑤) وله **صفرُ نداءات**: الإشارةُ الوحيدةُ إليه خارجَ ملفِّه تعليقٌ في `app/Services/Actions/ActionContractService.php:85` («ولا عكسَ بحذف (ReverseService §8-⑤)»). فلا فعلَ في النظامِ يُعكس عبر الخدمةِ الموحَّدة، وكلُّ إدارةٍ تعكس بطريقتها أو لا تعكس (انظر `risk_acceptances.withdrawn_by` غيرَ المكتوب، و`achievement_records.reversed_at` المكتوبَ من محرّكٍ واحد).</t>
  </si>
  <si>
    <t xml:space="preserve">لا آليةَ عكسٍ موحَّدةً في نظامٍ يقوم عقدُ أفعالِه على وجودِها: أفعالٌ لا تُعكس أصلًا، وأخرى تُعكس بمنطقٍ محليٍّ مختلفٍ لكلِّ إدارة — فيستحيل ضمانُ «بقاءُ الإنجازِ بعد العكس» أو «يُعكس إن عُكس أصلُه» عبر النظام.</t>
  </si>
  <si>
    <t xml:space="preserve">بُنيت الخدمةُ الموحَّدةُ ولم تُوصَل بعقودِ الأفعالِ في `nav09_action_map`.</t>
  </si>
  <si>
    <t xml:space="preserve">app/Services/Actions/ReverseService.php:3; :13; app/Services/Actions/ActionContractService.php:85; app/Services/Work/AchievementService.php:109; Risk/risk_acceptance.php:33</t>
  </si>
  <si>
    <t xml:space="preserve">١) `grep -rn 'ReverseService' /tmp/ems --include=*.php` → ملفُّ التعريفِ وسطرُ تعليقٍ واحد.
٢) اختر أيَّ فعلٍ في قاموسِ الأفعالِ وابحث عن مسلكِ عكسِه: يدويٌّ أو غيرُ موجود.</t>
  </si>
  <si>
    <t xml:space="preserve">اربِط `ReverseService` بقاموسِ الأفعال: خزِّن لكلِّ رمزِ فعلٍ في `nav09_action_map` رمزَ فعلِ عكسِه ومنفِّذَه، ونادِ `ReverseService::reverse($actionCode,$ref,$reason,$actor)` من مسلكٍ واحدٍ يستدعي المنفِّذَ المسجَّل؛ وأضِف فحصًا في بوابةِ القبولِ يرسب على فعلٍ بلا فعلِ عكسٍ مسجَّلٍ ومنفَّذ.</t>
  </si>
  <si>
    <t xml:space="preserve">لكلِّ رمزِ فعلٍ في `nav09_action_map` فعلُ عكسٍ مسجَّلٌ وقابلٌ للتنفيذِ من مسلكٍ واحد؛ ويُختبر بعكسِ خمسةِ أفعالٍ من خمسِ إدارات.</t>
  </si>
  <si>
    <t xml:space="preserve">ReverseService بلا أيِّ نداءٍ في المستودع كلِّه عدا تعليقٍ في ActionContractService:85 — وهي نفسُ جوهر الملاحظة 307، وأثرُها غيابُ قدرةِ عكسٍ موحَّدةٍ لا فسادُ بيانات.</t>
  </si>
  <si>
    <t xml:space="preserve">INJ-0229</t>
  </si>
  <si>
    <t xml:space="preserve">§٤-٥ قواعدُ السايدبار الثلاثةَ عشرَ · «الشاشةُ الجديدةُ لا تظهر قبل اجتياز بوابةِ الشاشةِ كاملةً»</t>
  </si>
  <si>
    <t xml:space="preserve">صلاحيات الأدوار</t>
  </si>
  <si>
    <t xml:space="preserve">http://localhost/ems/Settings/role_permissions.php</t>
  </si>
  <si>
    <t xml:space="preserve">لكل شاشةٍ حاكمةٍ منفذٌ في سايدبار مالكها؛ ومنحُ الصلاحيات فعلٌ من أفعال الحوكمة المعلنة (المرحلة الثالثة: الحسابات والأدوار — «حساب · قالب صلاحيات» بمعتمِدٍ هو الحوكمة).</t>
  </si>
  <si>
    <t xml:space="preserve">منفذُ سايدبارٍ مفقودٌ فقط: لا صفَّ nav_items للشاشة لأيِّ دور، بينما المنحةُ والتسجيلُ قائمان للدور 15؛ وبطاقةُ الإعدادات مقصورةٌ على السوبر أدمن فلا يراها الدورُ 11 ولا 15. — [مُصحَّح بعد التحقق] الصياغة الأولى: Settings/role_permissions.php — الشاشة التي تُمنح منها كلُّ صلاحيات النظام — غائبةٌ عن كل السايدبارات التسعة والعشرين. المنفذُ الوحيد إليها من Settings/settings.php:304 (بطاقةٌ في صفحة الإعدادات)، وSe</t>
  </si>
  <si>
    <t xml:space="preserve">مديرُ الصلاحيات لا يجد شاشةَ منحِ الصلاحيات في قائمته؛ يصل إليها بحفظ الرابط أو لا يصل. وفي المقابل يراها دورُ مشغّل الأسطول ضمن صفحة الإعدادات — وهو انعكاسٌ كاملٌ للملكية.</t>
  </si>
  <si>
    <t xml:space="preserve">لم يُنشَأ صفُّ nav_items للشاشة عند نقل الحوكمة إلى وضع المراحل، وبقيت موروثةً في بطاقات Settings/settings.php.</t>
  </si>
  <si>
    <t xml:space="preserve">database/schema/seed_reference.sql:175,1033,3673; Settings/settings.php:22,297,304</t>
  </si>
  <si>
    <t xml:space="preserve">١) ادخل بدور 15. ٢) افتح كلَّ مجموعات السايدبار التسع ⇐ لا رابطَ لصلاحيات الأدوار. ٣) ادخل بدور 11 ⇐ «الإعدادات» ظاهرةٌ في مجموعة «الإعدادات والتدقيق» وتقود إلى بطاقة صلاحيات الأدوار.</t>
  </si>
  <si>
    <t xml:space="preserve">إضافةُ صفِّ nav_items للدور 15 بمسار Settings/role_permissions.php وlabel «صلاحيات الأدوار» في المجموعة «ثالثًا: الحسابات والأدوار» مع permission_code مطابق، وحذفُ Settings/settings.php من سايدبار الدور 11 أو إخفاءُ بطاقة الصلاحيات فيها لغير الدور 15.</t>
  </si>
  <si>
    <t xml:space="preserve">فريق الفرونت-إند — وحدة الحوكمة</t>
  </si>
  <si>
    <t xml:space="preserve">الدور 15 يرى «صلاحيات الأدوار» في مجموعة «ثالثًا: الحسابات والأدوار» ويفتحها بضغطة؛ والدور 11 لا يجد لها أثرًا.</t>
  </si>
  <si>
    <t xml:space="preserve">الجوهرُ صحيح: 'Settings/role_permissions.php' يرد مرةً واحدةً في seed_reference.sql وهي صفُّ modules رقم 123 (السطر 175) — فلا صفَّ nav_items لأيِّ دور. لكن السردَ المساندَ خاطئ: Settings/settings.php في سايدبار أدوارٍ كثيرةٍ منها الدور 15 (nav_items id=193)، وبطاقةُ الصلاحيات فيها محجوبةٌ خلف $settings_is_admin = ($settings_role === '-1') أي للسوبر وحدَه — فالدورُ 11 لا يراها. والشاشةُ مسجَّلةٌ وممنوحةٌ للدور 15 (749,15,123,1,1,1,1).</t>
  </si>
  <si>
    <t xml:space="preserve">INJ-0230</t>
  </si>
  <si>
    <t xml:space="preserve">§٤-٥ قواعدُ السايدبار · «◆ القائمةُ تُولَّد من مصفوفة العرضِ في NAV-09» · «لكلٍّ وجهةٌ حيةٌ موجودة»</t>
  </si>
  <si>
    <t xml:space="preserve">حوكمة إدارة الحوكمة</t>
  </si>
  <si>
    <t xml:space="preserve">http://localhost/ems/Governance/gov_dept_gov.php</t>
  </si>
  <si>
    <t xml:space="preserve">«حوكمة إدارتي» مساحةٌ لكل إدارةٍ تعرض الحقولَ الحساسةَ وسجلَّ الاطّلاع — من اطّلع على ماذا ومتى في إدارته (GOV-0366-أ).</t>
  </si>
  <si>
    <t xml:space="preserve">الملف موجودٌ على القرص وقابلٌ للفتح بالرابط المباشر، لكن لا صفَّ nav_items يشير إليه في أيٍّ من السايدبارات التسعة والعشرين، ولا رابطَ واردٌ من أيِّ شاشةٍ أخرى.</t>
  </si>
  <si>
    <t xml:space="preserve">الحوكمة لا ترى مساحةَ حوكمتها هي، فالمرحلةُ التاسعة «متابعة وتقارير الحوكمة» ناقصةٌ عنصرَها الحاكم.</t>
  </si>
  <si>
    <t xml:space="preserve">الشاشة بُنيت في موجةِ تطويرٍ ولم يُنشَأ لها صفُّ nav_items مقابل؛ ولا فاحصَ يكشف ملفَّ شاشةٍ بلا منفذِ تنقل.</t>
  </si>
  <si>
    <t xml:space="preserve">Governance/gov_dept_gov.php:1; database/schema/seed_reference.sql (لا صفَّ nav_items بمسار Governance/gov_dept_gov.php)</t>
  </si>
  <si>
    <t xml:space="preserve">١) ادخل بدور 15 (وبأيِّ دورٍ آخر). ٢) افتح كلَّ مجموعات السايدبار ⇐ لا رابطَ لهذه الشاشة. ٣) اكتب http://localhost/ems/Governance/gov_dept_gov.php في المتصفح ⇐ تُفتح.</t>
  </si>
  <si>
    <t xml:space="preserve">إضافةُ صفِّ nav_items للدور 15 بمسار Governance/gov_dept_gov.php وlabel «حوكمة إدارة الحوكمة» في المجموعة «متابعة وتقارير الحوكمة».</t>
  </si>
  <si>
    <t xml:space="preserve">الشاشة تظهر في مجموعةٍ واحدةٍ في سايدبار مالكها وتُفتح بضغطةٍ واحدة، أو تُحذف من القرص إن قرّر المالك إلغاءها — ولا تبقى ملفًّا بلا منفذ.</t>
  </si>
  <si>
    <t xml:space="preserve">بحثٌ في كل صفوف nav_items لا يُظهر أيَّ صفٍّ لمسار Governance/gov_dept_gov.php (الصفوفُ الوحيدةُ لشاشات gov_dept هي Risk/gov_dept_rsk.php للأدوار 28·29·30)، والشاشةُ مسجَّلةٌ في modules (344 مالكُها الدور 15).</t>
  </si>
  <si>
    <t xml:space="preserve">INJ-0231</t>
  </si>
  <si>
    <t xml:space="preserve">تقارير الحوكمة</t>
  </si>
  <si>
    <t xml:space="preserve">http://localhost/ems/Governance/gov_reports.php</t>
  </si>
  <si>
    <t xml:space="preserve">المرحلة التاسعة «متابعة وتقارير الحوكمة» معلنةٌ بستِّ شاشاتٍ في TABLE 21، وتقاريرُ الحوكمة أحدُها؛ وهي الشاشة الوحيدة التي تعرض نتيجةَ مسحِ فصل الواجبات.</t>
  </si>
  <si>
    <t xml:space="preserve">نتيجةُ مسح SoD (المصدر الوحيد لعرض الأزواج المتعارضة القائمة) لا يراها أحد؛ والمرحلة التاسعة في سايدبار الدور 15 تعرض خمسةَ روابطَ ثلاثةٌ منها ليست حوكمية (بلاغات · ميزانية · إنجاز).</t>
  </si>
  <si>
    <t xml:space="preserve">database/schema/seed_reference.sql (لا صفَّ nav_items بمسار Governance/gov_reports.php); Operations/cron_wfm_engine.php:187</t>
  </si>
  <si>
    <t xml:space="preserve">١) ادخل بدور 15 (وبأيِّ دورٍ آخر). ٢) افتح كلَّ مجموعات السايدبار ⇐ لا رابطَ لهذه الشاشة. ٣) اكتب http://localhost/ems/Governance/gov_reports.php في المتصفح ⇐ تُفتح.</t>
  </si>
  <si>
    <t xml:space="preserve">إضافةُ صفِّ nav_items للدور 15 بمسار Governance/gov_reports.php وlabel «تقارير الحوكمة» في المجموعة «متابعة وتقارير الحوكمة»، وترتيبُه أولَ المجموعة.</t>
  </si>
  <si>
    <t xml:space="preserve">لا صفَّ nav_items بمسار Governance/gov_reports.php في أيِّ دور، ولا رابطَ وارد من شاشةٍ أخرى (الإشارةُ الوحيدةُ سلسلةُ source_screen في Operations/cron_wfm_engine.php:187) — فالشاشةُ الوحيدةُ لنتيجة مسح فصل الواجبات بلا منفذ.</t>
  </si>
  <si>
    <t xml:space="preserve">INJ-0232</t>
  </si>
  <si>
    <t xml:space="preserve">§٤-٥ · «مساحةُ عملي فوق الإداراتِ دائمًا» · placement_rules ①</t>
  </si>
  <si>
    <t xml:space="preserve">«مساحةُ عملي فوق الإداراتِ دائمًا — المنطقةُ ① أعلى السايدبار» و«◆ ثابتةٌ حرفيًّا — نفسُ الترتيبِ والأسماءِ والأيقونات بين كل الإدارات · محتواها: مهامي · طلباتي · موافقاتي · بلاغاتي · إنجازي · التنبيهات».</t>
  </si>
  <si>
    <t xml:space="preserve">مساحةُ عملي ليست في السايدبار إطلاقًا: منفذُها أيقونةُ حقيبةٍ في الشريط العلوي (includes/topbar.php:186 و:203). وبديلُها في السايدبار عنوانٌ فرعيٌّ غيرُ قابلٍ للنقر «مساحتي الشخصية» داخل المجموعة الأولى، ومحتواه أربعةُ عناصرَ (مهامي · إنجازي · بوابتي · طلباتي) لا ستة: «موافقاتي» و«التنبيهات» غائبتان، و«بلاغاتي» غيرُ موجودةٍ باسمها.</t>
  </si>
  <si>
    <t xml:space="preserve">المنطقةُ ① — المدخلُ اليوميُّ الثابتُ الذي يوحّد التجربةَ بين الإدارات — ليست في موضعها المنصوص عليه، ومحتواها ناقصٌ عنصرين من ستة. الموظفُ بصفتين لا يجد نقطةَ ثباتٍ عند التبديل، وهي الفائدةُ المقيسة التي بُنيت عليها القاعدة.</t>
  </si>
  <si>
    <t xml:space="preserve">قرارُ تصميمٍ نُفّذ في الشريط العلوي (بتعليقٍ صريحٍ في topbar.php:184 يعتبره «بابًا فوق الإدارات لا رابطًا داخل كل قائمة») يخالف نصَّ §٤-٥ الذي يضع المساحةَ أعلى السايدبار.</t>
  </si>
  <si>
    <t xml:space="preserve">includes/topbar.php:186; :203; database/schema/seed_reference.sql: nav_items 5841-5844 (group 3253)</t>
  </si>
  <si>
    <t xml:space="preserve">١) ادخل بدور 15. ٢) افحص أعلى السايدبار ⇐ «الرئيسية» ثم «المراسلات» ثم عنوانٌ فرعيٌّ «مساحتي الشخصية». ٣) لا عنصرَ باسم «مساحة عملي» ولا «موافقاتي» ولا «التنبيهات».</t>
  </si>
  <si>
    <t xml:space="preserve">إنشاءُ مجموعةِ link_groups باسم «مساحة عملي» بـstage_no = -1 (قبل الصفر) لكل دور، وإضافةُ ستةِ صفوفِ nav_items بالأسماء المنصوصة (مهامي · طلباتي · موافقاتي · بلاغاتي · إنجازي · التنبيهات) بمسارٍ ثابتٍ لكل منها، وإبقاءُ أيقونة الشريط العلوي اختصارًا لا منفذًا وحيدًا.</t>
  </si>
  <si>
    <t xml:space="preserve">سايدبارُ كلِّ دورٍ يبدأ بمجموعة «مساحة عملي» بستةِ عناصرَ بالأسماء والترتيب نفسِه في كل الأدوار، ويليها «لوحة الإدارة».</t>
  </si>
  <si>
    <t xml:space="preserve">المنفذُ الوحيدُ أيقونةُ الشريط العلوي، والمجموعةُ الأولى «مساحتي الشخصية» عنوانٌ فرعيٌّ بأربعة عناصر (مهامي · إنجازي · بوابتي · طلباتي) لا ستة — «موافقاتي» و«التنبيهات» و«بلاغاتي» غائبة.</t>
  </si>
  <si>
    <t xml:space="preserve">INJ-0233</t>
  </si>
  <si>
    <t xml:space="preserve">▐ ١١-٣ (ownership_links.php · ownership_grants) · ownership_rules «لكل شاشةٍ مالكٌ واحد»</t>
  </si>
  <si>
    <t xml:space="preserve">علاقات الملكية بين الكيانات / منح الاطّلاع على الملكية</t>
  </si>
  <si>
    <t xml:space="preserve">http://localhost/ems/Financing/ownership_links.php</t>
  </si>
  <si>
    <t xml:space="preserve">أولًا: الكيانات والملكية</t>
  </si>
  <si>
    <t xml:space="preserve">«علاقات الملكية بين الكيانات» (ownership_links.php) شاشةُ حوكمةٍ بـ٢٧ عمودًا وعارضٍ واحد، ومالكُها الحوكمة والالتزام.</t>
  </si>
  <si>
    <t xml:space="preserve">سايدبار الدور 15 يشير إلى Financing/ownership_links.php — ملفٌّ في مجلد التمويل والملكية لا في مجلد الحوكمة. وشاشةُ منحِ الاطّلاع على الملكية Governance/ownership_grants.php (وهي في مجلد الحوكمة فعلًا) موضوعةٌ في سايدبار الدور 19 (مدير الإدارة المالية) داخل مجموعة «خارج الوثيقة — بانتظار قرار المالك»، وحارسُها أرقامُ أدوارٍ ثابتة (1 · 19 · السوبر) لا تشمل الدور 15.</t>
  </si>
  <si>
    <t xml:space="preserve">ملكيةُ الكيانات — أخطرُ بيانٍ حساسٍ في النظام — موزَّعةٌ بين مجلدين ودورين، والحوكمةُ لا تملك منحَ الاطّلاع عليها بينما يملكه مديرُ الإدارة المالية. مخالفةُ «لكل شاشةٍ مالكٌ واحدٌ يملك مضمونَها».</t>
  </si>
  <si>
    <t xml:space="preserve">الشاشتان بُنيتا في مسار FIN/LEG وأُسندتا لأدوارٍ ماليةٍ ولم تُراجَع الملكيةُ بعد إقرار M-14.</t>
  </si>
  <si>
    <t xml:space="preserve">Governance/ownership_grants.php:27 (حارس الأدوار الصلب) · nav_items 3828/2099</t>
  </si>
  <si>
    <t xml:space="preserve">١) ادخل بدور 15 ⇐ «علاقات الملكية بين الكيانات» تقود إلى Financing/ownership_links.php. ٢) اكتب http://localhost/ems/Governance/ownership_grants.php بدور 15 ⇐ إعادةُ توجيهٍ لأن الحارس يقبل 1 و19 والسوبر فقط. ٣) ادخل بدور 19 ⇐ الشاشة في مجموعة «خارج الوثيقة».</t>
  </si>
  <si>
    <t xml:space="preserve">نقلُ Governance/ownership_grants.php إلى سايدبار الدور 15 في «أولًا: الكيانات والملكية»، واستبدالُ الحارس المرمَّز في Governance/ownership_grants.php:11 بـcheck_page_permissions، ونقلُ ملكية Financing/ownership_links.php إلى الحوكمة أو استبدالُ الرابط بشاشةٍ تحت Governance/.</t>
  </si>
  <si>
    <t xml:space="preserve">الدور 15 يفتح «منح الاطّلاع على الملكية» ويمنح ويسحب؛ والدور 19 يفتحها عرضًا فقط ويُرفض POST منه.</t>
  </si>
  <si>
    <t xml:space="preserve">الصفوفُ مؤكَّدة: nav_items للدور 15 يشير إلى Financing/ownership_links.php (المجموعة 3828 · المرحلة 1)، و Governance/ownership_grants.php في مجموعة الدور 19 رقم 2099 ذاتِ stage_no=99 «خارج الوثيقة»، وحارسُها أرقامٌ صلبة 1·19·السوبر (السطر 27). والوثيقة frd_readable.md:1002 تُثبتها شاشةَ حوكمة.</t>
  </si>
  <si>
    <t xml:space="preserve">INJ-0234</t>
  </si>
  <si>
    <t xml:space="preserve">▐ ١١-٣ (activation.php) · §٥-٢ TABLE 21</t>
  </si>
  <si>
    <t xml:space="preserve">أنماط تفعيل المزايا</t>
  </si>
  <si>
    <t xml:space="preserve">http://localhost/ems/Governance/activation_patterns.php</t>
  </si>
  <si>
    <t xml:space="preserve">خارج الوثيقة — بانتظار قرار المالك (سايدبار الدور 19)</t>
  </si>
  <si>
    <t xml:space="preserve">«أنماط تفعيل المزايا» (activation.php) شاشةٌ من شاشات الحوكمة الأربع عشرة بـ١٨ عمودًا، ومالكُها الحوكمة والالتزام.</t>
  </si>
  <si>
    <t xml:space="preserve">لا نداءَ check_page_permissions لكن حارسًا صلبًا بالأدوار (1,19,-1) يسبق الكتابة — ومفارقتُه أنه يمنع مالكَ الشاشة المعلَن (الدور 15) نفسَه. — [مُصحَّح بعد التحقق] الصياغة الأولى: الشاشة غائبةٌ عن سايدبار الدور 15 وموضوعةٌ في سايدبار الدور 19 (مدير الإدارة المالية) داخل مجموعة «خارج الوثيقة — بانتظار قرار المالك». وهي بلا نداءِ check_page_permissions إطلاقًا رغم أنها تكتب (INSE</t>
  </si>
  <si>
    <t xml:space="preserve">قلبُ أعلامِ المزايا — الفعلُ act.upgrade الذي ينقل ميزةً من الرصد إلى الإنفاذ — بيد الإدارة المالية لا الحوكمة، وبلا فحصِ صلاحيةٍ على الكتابة.</t>
  </si>
  <si>
    <t xml:space="preserve">تصنيفٌ آليٌّ خاطئ في بذرة nav_items، وشاشةٌ وُلدت خارج نمط الحماية المتبع في المجلد.</t>
  </si>
  <si>
    <t xml:space="preserve">Governance/activation_patterns.php:19-21; :47-49; :72; database/schema/seed_reference.sql (nav_items role 15 و19 على route=Governance/activation_patterns.php)</t>
  </si>
  <si>
    <t xml:space="preserve">١) ادخل بدور 15 ⇐ لا رابطَ لأنماط تفعيل المزايا. ٢) ادخل بأيِّ دورٍ له company_id واكتب الرابط المباشر ⇐ تُفتح ويمكن الحفظ.</t>
  </si>
  <si>
    <t xml:space="preserve">نقلُ صفِّ nav_items إلى الدور 15 في مجموعةٍ جديدةٍ ضمن «خامسًا: المنع والاستثناء»، وإضافةُ كتلة check_page_permissions المتبعة في Governance/access_review.php:34-45 إلى رأس Governance/activation_patterns.php.</t>
  </si>
  <si>
    <t xml:space="preserve">الدور 15 يرى «أنماط تفعيل المزايا» في سايدباره؛ وأيُّ دورٍ آخر بلا منحةٍ يُرفض 403 على الرابط المباشر.</t>
  </si>
  <si>
    <t xml:space="preserve">صحيحٌ أنّ الشاشةَ لا تُبلَغ من سايدبار الدور 15 (صفُّها قائمٌ لكن can_view غائبٌ على الموديول 209) وأنها تظهر للدور 19 في مجموعة «خارج الوثيقة»، لكنّ ادعاءَ «تكتب بلا حارس» ناقص: الملفُّ يحمل حارسَ أدوارٍ صلبًا يمنع غير 1 و19 و-1 قبل الكتابة في السطر 47.</t>
  </si>
  <si>
    <t xml:space="preserve">INJ-0235</t>
  </si>
  <si>
    <t xml:space="preserve">CM-10 «إظهار كل الأعمدة» · CM-09 المناظر · ▐ ٦-٢ الشاشاتُ الطويلةُ ومناظرُها</t>
  </si>
  <si>
    <t xml:space="preserve">شاشات الحوكمة العشرون</t>
  </si>
  <si>
    <t xml:space="preserve">http://localhost/ems/Governance/</t>
  </si>
  <si>
    <t xml:space="preserve">«إظهار كل الأعمدة» زرٌّ «بالاسمِ الموحَّدِ في كل الشاشاتِ — ولا يُغيَّر نصُّه» (CM-10)، والشاشاتُ الطويلةُ لها مناظرُها المحددةُ بثمانيةِ محدِّدات (الدور · المرحلة · القرار · نوع المهمة · زاوية الإدارة · الحقول الأكثر استخدامًا · الحقول الحساسة · حقول المراجعة التفصيلية).</t>
  </si>
  <si>
    <t xml:space="preserve">سبعَ عشرةَ شبكةً في مجلد Governance/ بلا أيِّ زرِّ «إظهار كل الأعمدة» ولا أيِّ منظر: entities_registry · doc_types · perm_explain · state_machines · portal_users · signing_authority · exceptions · access_review · activation_patterns · gov_reports · ownership_grants · sensitive_fields · licenses_guarantees · break_glass · canonical_names · guard_denials · guards. النصُّ الموحَّد يظهر في موضعٍ واحدٍ في المستودع كلِّه (includes/u13_screen_kit.php:319) ولا تستعمله شاشاتُ الحوكمة. وشاشةُ كسر الزجاج وحدَها ثمانيةَ عشرَ عمودًا معروضةً دفعةً واحدة.</t>
  </si>
  <si>
    <t xml:space="preserve">أطولُ شاشاتِ النظام (١٨-٢٧ عمودًا) تُعرض بلا أداةِ تحكّمٍ في الأعمدة ولا منظر؛ يضطرّ المستخدمُ للتمرير الأفقي في كل صفٍّ ويُفقد التركيزَ على حقول القرار. ولا يتحقق أيٌّ من محدِّدات المناظر الثمانية في أيِّ شاشةِ حوكمة.</t>
  </si>
  <si>
    <t xml:space="preserve">طقمُ الشاشات u13 (الذي يحمل الزرَّ والمناظر) يُشغَّل شرطيًّا عند تصنيف حقول الشاشة في مجموعتَي بياناتٍ على الأقل، وشاشاتُ CMP-03 غيرُ مصنَّفةٍ في gov_field_class فلا يُصيَّر الزرُّ فيها.</t>
  </si>
  <si>
    <t xml:space="preserve">includes/u13_screen_kit.php:317-321; Governance/break_glass.php:190-191; Governance/exceptions.php:1</t>
  </si>
  <si>
    <t xml:space="preserve">١) افتح Governance/break_glass.php بدور 15. ٢) ابحث في شريط الجدول عن زرِّ «إظهار كل الأعمدة» أو أيِّ منتقي مناظر ⇐ لا يوجد. ٣) الجدولُ يعرض ١٨ عمودًا دفعةً واحدة.</t>
  </si>
  <si>
    <t xml:space="preserve">تضمينُ includes/u13_screen_kit.php في شاشات مجلد Governance/ وتصنيفُ حقولها في gov_field_class إلى مجموعتين على الأقل ليُصيَّر زرُّ «إظهار كل الأعمدة» بنصِّه الموحَّد ومنتقي المناظر، وتعريفُ منظرين افتراضيين لكل شاشة: «قرار» و«مراجعة تفصيلية».</t>
  </si>
  <si>
    <t xml:space="preserve">كلُّ شبكةٍ في Governance/ تعرض زرًّا نصُّه حرفيًّا «إظهار كل الأعمدة» ومنتقيَ مناظرَ بمنظرين على الأقل، والحالةُ محفوظةٌ بين الزيارات.</t>
  </si>
  <si>
    <t xml:space="preserve">النصُّ الموحَّد «إظهار كل الأعمدة» يَرِد في موضعٍ واحدٍ في المستودع (includes/u13_screen_kit.php:319) وصفرُ ملفٍّ في Governance/ يضمّن العُدّةَ أو يستعمل column-groups.js — فالشبكاتُ السبعَ عشرةَ بلا زرٍّ ولا منتقي منظر.</t>
  </si>
  <si>
    <t xml:space="preserve">INJ-0236</t>
  </si>
  <si>
    <t xml:space="preserve">§١ قشرةُ التطبيق · AS-01..AS-08 · CM-00</t>
  </si>
  <si>
    <t xml:space="preserve">قشرة التطبيق (كل الشاشات)</t>
  </si>
  <si>
    <t xml:space="preserve">قشرةٌ حاكمةٌ واحدةٌ (CM-00) بمكوّناتها الثمانية AS-01..AS-08 — «البنيةُ واحدةٌ في كل المساحات، وما يختلف هو المحتوى لا الشكل».</t>
  </si>
  <si>
    <t xml:space="preserve">سبعةُ مساراتٍ مستقلةٍ تُصدر `&lt;html&gt;` و`&lt;head&gt;` وهيكلَها الخاص: (أ) القشرةُ الرئيسة `inheader.php`/`insidebar.php`/`includes/topbar.php` (٣٤٦ شاشة)، (ب) قشرةُ الإدارةِ العليا `admin/includes/layout_head.php` بمجموعةِ رموزٍ خاصةٍ تمامًا (`:56-79`: `--gold:#d6a700` · `--sb-w:260px` · خطُّ Cairo لا IBM Plex)، (ج) بوابةُ الشركةِ المستأجرة `company/*`، (د) صفحاتُ التقاريرِ والطباعة، (هـ) محرّكُ `emsreports`، (و) الصفحاتُ العامةُ والدخول، (ز) صفحاتُ الحجبِ والخطأ في `includes/security.php` و`SupplierPortalGuard`.</t>
  </si>
  <si>
    <t xml:space="preserve">سبعةُ أنظمةٍ بصريةٍ في منتجٍ واحد؛ وأخطرُها قشرةُ (ز) — وهي **ما يراه المستخدَمُ المحجوب** — مبنيةٌ بتسلسلِ نصوصٍ داخلَ `body` ولا تستعمل مكوّنَ الحجبِ UI-14، وأربعٌ من صفحاتها بلا `viewport`. والعرضُ الخارجيُّ يكشف الفارقَ فورًا.</t>
  </si>
  <si>
    <t xml:space="preserve">نمت القشراتُ مع موجاتِ البناءِ المتتاليةِ بلا هجرةٍ إلى القشرةِ الحاكمةِ ولا فاحصٍ يمنع إصدارَ `&lt;html&gt;` خارجَها.</t>
  </si>
  <si>
    <t xml:space="preserve">admin/includes/layout_head.php:46-47; :56-79</t>
  </si>
  <si>
    <t xml:space="preserve">١) افتح شاشةً رئيسةً ثم `admin/` ثم صفحةَ حجبٍ (بمحاولةِ فتحِ شاشةٍ بلا صلاحية): ثلاثةُ مظاهرَ مختلفة.
٢) `grep -rl '&lt;!DOCTYPE' --include=*.php /tmp/ems | grep -v vendor` → أكثرُ من مدخلِ قشرةٍ واحد.
٣) افحص `admin/includes/layout_head.php:57-79`: مجموعةُ رموزٍ مستقلة.</t>
  </si>
  <si>
    <t xml:space="preserve">① وحِّد الرموزَ: احذف كتلةَ `:root` في `admin/includes/layout_head.php:56-79` واستورِد `assets/css/design-tokens.css`. ② حوِّل صفحاتِ الحجبِ في `includes/security.php:471,714,755,811` و`SupplierPortalGuard.php:75,235` إلى مكوّنِ UI-14 الموحَّدِ مع `viewport`. ③ أضِف فاحصًا يرسب على أيِّ ملفٍّ يُصدر `&lt;!DOCTYPE` خارجَ مداخلِ القشرةِ المعتمدة.</t>
  </si>
  <si>
    <t xml:space="preserve">فريق الواجهة — نظام التصميم</t>
  </si>
  <si>
    <t xml:space="preserve">عددُ الملفاتِ التي تُصدر `&lt;!DOCTYPE` خارجَ مداخلِ القشرةِ المعتمدة = 0؛ وصفحةُ الحجبِ تعرض المكوّنَ الموحَّدَ نفسَه في كلِّ المسارات.</t>
  </si>
  <si>
    <t xml:space="preserve">٣٩ ملفًّا خارج tests/ وtools/ تُصدر `&lt;html&gt;`، و`admin/includes/layout_head.php` يحمل كتلةَ `:root` خاصةً تمامًا — فتعددُ القشور واقعٌ مقيس.</t>
  </si>
  <si>
    <t xml:space="preserve">INJ-0237</t>
  </si>
  <si>
    <t xml:space="preserve">§٢ الرموزُ · CM-00 · «الأنماطُ من الرموزِ لا من السمة»</t>
  </si>
  <si>
    <t xml:space="preserve">نظام التصميم (كل الشاشات)</t>
  </si>
  <si>
    <t xml:space="preserve">المكوّنُ يحمل نمطَه من صنفِه ورموزِه — ولا تُكتب الأنماطُ في سمةِ `style` الموضعية.</t>
  </si>
  <si>
    <t xml:space="preserve">٤٥٨٨ سمةَ `style=` موضعيةً في ٣٩٦ ملفًّا، و١٠٩ كتلَ `&lt;style&gt;` داخلَ الصفحاتِ في ١٠٢ ملفًّا (= ١٢٤١٨ سطرَ CSS موضعيّ)، و١٩٩ حجمَ خطٍّ متمايزًا مقابل ١١ تُلزم بها المواصفة. حتى الحاويةُ الحاكمةُ `main/my_workspace.php:90-99` تبني شبكةَ البلاطاتِ بـ`style="display:grid;grid-template-columns:repeat(4,1fr)"` وألوانٍ صلبةٍ (`#b8860b`, `#ddd`, `#666`).</t>
  </si>
  <si>
    <t xml:space="preserve">لا يمكن ضبطُ الاتساقِ ولا الاستجابةِ ولا الوصولية: أربعُ بلاطاتٍ ثابتةٌ في كلِّ العروضِ تكسر على الجوال، و١٩٩ حجمَ خطٍّ تُنتج تراتبيةً بصريةً عشوائيةً في كلِّ شاشة.</t>
  </si>
  <si>
    <t xml:space="preserve">غيابُ مكتبةِ مكوّناتٍ مُتبنّاةٍ (٣٫٨٪ فقط) دفع كلَّ شاشةٍ إلى بناءِ أنماطها موضعيًّا.</t>
  </si>
  <si>
    <t xml:space="preserve">main/my_workspace.php:90; :93; :95; :97; :99; assets/css/design-tokens.css:1; assets/js/ems-components.js:40</t>
  </si>
  <si>
    <t xml:space="preserve">١) `grep -rohE 'style="[^"]+"' --include=*.php . | wc -l` → آلاف.
٢) افتح `main/my_workspace.php` على عرضِ جوال: الشبكةُ الرباعيةُ الثابتةُ تكسر.
٣) عُدَّ أحجامَ الخطِّ المتمايزةَ في الملفات.</t>
  </si>
  <si>
    <t xml:space="preserve">ابدأ بالشاشاتِ التمثيليةِ الثمانِ: انقل الأنماطَ الموضعيةَ إلى أصنافٍ في `assets/css/ems-shell.css` تستعمل الرموزَ؛ وفي `main/my_workspace.php:90` استبدِل الشبكةَ الموضعيةَ بصنفِ `.ems-grid` (`ems-shell.css:163`) الذي يستجيب؛ وأضِف فاحصًا يرسب على أيِّ `style=` جديدةٍ في الملفاتِ المهاجَرة.</t>
  </si>
  <si>
    <t xml:space="preserve">الشاشاتُ التمثيليةُ الثمانُ بصفرِ سمةِ `style=`، وتعرض بشكلٍ صحيحٍ على عرضِ ٣٦٠px.</t>
  </si>
  <si>
    <t xml:space="preserve">الأعدادُ تكاد تطابق القياسَ المستقل: 4592 سمةَ style في 395 ملفًّا و109 كتلةَ &lt;style&gt; في 102 ملفًّا؛ وmy_workspace.php:90 يبني الشبكةَ بأنماطٍ موضعيةٍ وألوانٍ صلبة.</t>
  </si>
  <si>
    <t xml:space="preserve">INJ-0238</t>
  </si>
  <si>
    <t xml:space="preserve">§٥ الحالاتُ الخمس · حالةُ الفراغ · G5-B بوابةُ التبنّي</t>
  </si>
  <si>
    <t xml:space="preserve">مكوّن الحالة الفارغة المشترك</t>
  </si>
  <si>
    <t xml:space="preserve">G5-B (بوابةُ التبنّي): «أتستدعي الشاشاتُ المكوناتَ فعلًا؟ — ◆ وهي البوابةُ الحقيقية»؛ وحالةُ الفراغِ إحدى الحالاتِ الخمسِ الإلزاميةِ لكلِّ شاشة.</t>
  </si>
  <si>
    <t xml:space="preserve">الأعدادُ المقيسةُ 13 و20 ملفًّا لا 10 و13. — [مُصحَّح بعد التحقق] الصياغة الأولى: المكوّنُ المشتركُ موجودٌ ويعمل: `EmsUI.emptyState` في `assets/js/ems-components.js:40`. لكنَّ متبنّيه **١٠ من ٣٤٦ شاشة** (٢٫٩٪)، وتبنّي أيِّ مكوّنٍ من `EmsUI` **١٣ من ٣٤٦** (٣٫٨٪). والباقي يطبع نصًّا </t>
  </si>
  <si>
    <t xml:space="preserve">٣٣٦ شاشةً تعرض الفراغَ نصًّا رماديًّا بلا سببٍ ولا مسارِ خروج — فلا يعرف المستخدمُ أَفارغةٌ هي أم محجوبةٌ أم مُرشَّحةٌ خطأً. وبوابةُ التبنّي G5-B عند ٣٫٨٪ فلا يجوز إعلانُ بوابةِ القبولِ البصريِّ خضراء.</t>
  </si>
  <si>
    <t xml:space="preserve">بُنيت المكتبةُ ولم تُنفَّذ موجةُ هجرةٍ للشاشات — G5-A تمرُّ وG5-B لا.</t>
  </si>
  <si>
    <t xml:space="preserve">assets/js/ems-components.js:40; :131; Risk/risk_register.php:110; :112; Risk/dept_risk_space.php:65; :78; :95; :109</t>
  </si>
  <si>
    <t xml:space="preserve">١) `grep -rl 'EmsUI.emptyState' --include=*.php . | wc -l` → ١٣ ملفًّا فقط.
٢) افتح `Risk/dept_risk_space.php` بحسابٍ بلا مخاطر: نصٌّ رماديٌّ في خليةٍ بلا زرِّ خروج.
٣) قارِنه بـ`Risk/risk_register.php:112` الذي يستعمل المكوّن.</t>
  </si>
  <si>
    <t xml:space="preserve">هاجِر الشاشاتِ على موجاتٍ مقيسة: استبدِل كلَّ `'&lt;tr&gt;&lt;td colspan=... class="text-muted"&gt;'` بنداءِ `EmsUI.emptyState({reason, createHref, createLabel})` كما في `Risk/risk_register.php:112-115`؛ وابدأ بالشاشاتِ التمثيليةِ الثمانِ ثم الشاشاتِ الحاكمة؛ وأضِف عدَّادَ تبنٍّ في بوابةِ القبولِ يُبلَّغ في كلِّ إصدار.</t>
  </si>
  <si>
    <t xml:space="preserve">نسبةُ تبنّي `EmsUI.emptyState` تتجاوز ٨٠٪ من الشاشاتِ ذاتِ الجداول؛ وكلُّ حالةِ فراغٍ تحمل سببًا ومسارَ خروج.</t>
  </si>
  <si>
    <t xml:space="preserve">التبنّي منخفضٌ فعلًا: 13 ملفًّا يستدعي EmsUI.emptyState و20 ملفًّا يستدعي أيَّ مكوّنٍ من EmsUI من مئات الشاشات، والشاهدُ المقتبَسُ من Risk/dept_risk_space.php:65 مطابقٌ حرفيًّا.</t>
  </si>
  <si>
    <t xml:space="preserve">INJ-0239</t>
  </si>
  <si>
    <t xml:space="preserve">▐ ٤ الدليلُ والتتبع — لا حكمَ بلا شاهدِ تنفيذ</t>
  </si>
  <si>
    <t xml:space="preserve">كلُّ حكمٍ في الوثيقة له شاهدُ تنفيذٍ حيٌّ في الكود يُفحص — والخدمةُ التي لا يناديها منتَجٌ ليست تنفيذًا.</t>
  </si>
  <si>
    <t xml:space="preserve">BreakGlassService::grant() بلا أيِّ نداءٍ إنتاجيّ. الفحص الشامل يُظهر ثلاثةَ نداءاتٍ فقط: Governance/cron_permissions.php:24 (يستدعي sweepUnreviewed لا grant) وثلاثة ملفات اختبار (tests/uat_break_test.php · tests/sec_guards_test.php · tests/sec_full_belt.php). صفر شاشةٍ وصفر معالجٍ ينادي grant.</t>
  </si>
  <si>
    <t xml:space="preserve">٢٤٠ سطرًا من منطقِ الحوكمة (حارسُ المنح الذاتي · قراءةُ سياسة never · حدُّ ٢٤ ساعة · فتحُ بلاغ حوكمةٍ آليّ · الكنسُ بعد ٤٨ ساعة) شيفرةٌ ميتة تُوهم المراجعَ بأن الضابط قائم.</t>
  </si>
  <si>
    <t xml:space="preserve">بُنيت الخدمةُ في مسار SEC-01 وبُنيت الشاشةُ لاحقًا في مسار CMP-03 دون ربطٍ بينهما، ولا فاحصَ CI يمنع دمجَ خدمةِ حوكمةٍ بلا نداءٍ إنتاجي.</t>
  </si>
  <si>
    <t xml:space="preserve">app/Services/Security/BreakGlassService.php:22; Governance/cron_permissions.php:24; tests/sec_guards_test.php:21; tests/uat_break_test.php:19</t>
  </si>
  <si>
    <t xml:space="preserve">١) نفّذ في جذر المستودع: grep -rn "BreakGlassService::grant" --include=*.php . ٢) لاحظ صفر نتيجة خارج tests/. ٣) افتح Governance/break_glass.php وابحث عن BreakGlassService — لا وجود لها.</t>
  </si>
  <si>
    <t xml:space="preserve">ربط الشاشة بالخدمة (انظر الملاحظة السابقة)، وإضافة فحصٍ في tools/ يفشل البناءَ إن وُجد صنفُ خدمةٍ تحت app/Services/Security بلا نداءٍ إنتاجيٍّ واحد على الأقل.</t>
  </si>
  <si>
    <t xml:space="preserve">grep على grant( في المستودع يُرجع نداءً إنتاجيًّا واحدًا على الأقل من Governance/break_glass.php، ويجتاز tests/sec_guards_test.php عبر المسار الحيّ لا عبر النداء المباشر.</t>
  </si>
  <si>
    <t xml:space="preserve">مسحُ المستودع كلِّه يؤكد: BreakGlassService::grant بلا نداءٍ إنتاجيٍّ واحد؛ وGovernance/break_glass.php لا يستدعي الخدمةَ بل cmp03_store_insert (السطر 82)، والنداءُ الوحيدُ خارجَ الاختبارات sweepUnreviewed في cron_permissions.php:24.</t>
  </si>
  <si>
    <t xml:space="preserve">INJ-0240</t>
  </si>
  <si>
    <t xml:space="preserve">▐ ٤ الدليلُ والتتبع · «فعلٌ بلا عكسٍ معرَّفٍ لا يُقبل»</t>
  </si>
  <si>
    <t xml:space="preserve">بوابة العكس الموحدة</t>
  </si>
  <si>
    <t xml:space="preserve">http://localhost/ems/-</t>
  </si>
  <si>
    <t xml:space="preserve">لكلِّ فعلٍ عقدٌ سداسيٌّ آخرُه «فعلُ العكس»، وM-14 تنصّ على أعكاسٍ محددة: SCN-877 (إنهاءُ كسر الزجاج) · SCN-702 (إلغاءُ الاستثناء مبكرًا) · SCN-840/772 (إنهاءُ التفويض مبكرًا) · SCN-871 (رفعُ تصنيف حقلٍ حساس).</t>
  </si>
  <si>
    <t xml:space="preserve">app/Services/Actions/ReverseService.php — البوابةُ المعلنة للعكس التي تتحقق من reverse_action_code وترفض الحذفَ بدل العكس — بلا أيِّ نداءٍ إنتاجيّ؛ إشارتُها الوحيدة تعليقٌ في app/Services/Actions/ActionContractService.php:85. والأعكاسُ الأربعةُ المذكورة غيرُ منفَّذةٍ في أيِّ شاشةِ حوكمة (لا زرَّ إنهاءٍ في break_glass ولا exceptions ولا signing_authority ولا sensitive_fields). وعمودا «عكس عن» و«معكوس بـ» يُحقنان فارغين من includes/gov_columns.php.</t>
  </si>
  <si>
    <t xml:space="preserve">قاعدةُ عدم الرجعية (TABLE 54) «المستندُ المعتمدُ لا يُعدَّل ولا يُحذف والتصحيحُ حركةٌ جديدة» غيرُ قابلةٍ للتطبيق لأن الحركةَ العاكسة غيرُ موجودة؛ فالتصحيحُ الوحيدُ المتاحُ عمليًّا هو التعديلُ في القاعدة — أي إتلافُ الدليل.</t>
  </si>
  <si>
    <t xml:space="preserve">بُنيت البوابةُ في مسار الأفعال ولم تُوصَل بأيِّ شاشة، وأعمدةُ العكس أُضيفت عرضًا قبل بناء مصدرها.</t>
  </si>
  <si>
    <t xml:space="preserve">app/Services/Actions/ReverseService.php:1; app/Services/Actions/ActionContractService.php:85; includes/gov_columns.php:13; Governance/break_glass.php:128; Governance/exceptions.php:1</t>
  </si>
  <si>
    <t xml:space="preserve">١) نفّذ grep -rn "ReverseService" --include=*.php . ⇐ لا نداءَ إنتاجيّ. ٢) افتح أيَّ شاشةِ حوكمةٍ وابحث عن زرِّ عكسٍ أو إلغاءٍ في أيِّ صف ⇐ لا يوجد. ٣) افحص عمود «عكس عن» ⇐ فارغ.</t>
  </si>
  <si>
    <t xml:space="preserve">توصيلُ ReverseService بأربع نقاطٍ على الأقل: زرُّ «إنهاء فوري» في break_glass، «إلغاءُ استثناءٍ مبكرًا» في exceptions، «إنهاءُ تفويضٍ» في signing_authority، «رفعُ تصنيف» في sensitive_fields — كلٌّ منها ينشئ حركةً جديدةً تشير إلى الأصل ويملأ عمودَي العكس.</t>
  </si>
  <si>
    <t xml:space="preserve">كلُّ فعلِ حوكمةٍ ذي أثرٍ له زرُّ عكسٍ ينتج حركةً جديدةً مرتبطةً بالأصل؛ واستعلامُ المستندات المعتمدة المعدَّلة مباشرةً يُرجع صفرًا.</t>
  </si>
  <si>
    <t xml:space="preserve">ReverseService بلا نداءٍ إنتاجيٍّ في المستودع كلِّه (الإشارةُ الوحيدةُ تعليقٌ في ActionContractService:85)، وbreak_glass وexceptions بفعل «إضافة» وحده بلا إنهاءٍ ولا إلغاءٍ مبكر — فجوةُ قدرةٍ لا خطأُ بيانات.</t>
  </si>
  <si>
    <t xml:space="preserve">INJ-0241</t>
  </si>
  <si>
    <t xml:space="preserve">٤-١ الشروطُ الاثنا عشر · «التوقيعُ إقرارٌ بقراءةِ سجلِّ العيوبِ لا بخلوِّ النظامِ منها»</t>
  </si>
  <si>
    <t xml:space="preserve">بوابة M-10 — معيار القبول AC-05</t>
  </si>
  <si>
    <t xml:space="preserve">AC-05: «صفرُ شاشةٍ طويلةٍ بلا مناظر» — والمنظرُ عنصرُ واجهةٍ يختار أعمدةً (CM-09) وزرُّ «إظهار كلِّ الأعمدة» (CM-10)، لا مجرَّدُ وجودِ جدولٍ في الصفحة.</t>
  </si>
  <si>
    <t xml:space="preserve">شرطُ قبولٍ فاسدٌ في أداةِ البوابة يجعل AC-05 يمرّ لأيِّ شاشةٍ فيها جدولُ HTML — أثرُه دليلُ إطلاقٍ مضلِّلٌ لا خللٌ في سلوك النظام. — [مُصحَّح بعد التحقق] الصياغة الأولى: شرطُ النجاحِ مكتوبٌ حرفيًّا: `if (strpos($src, 'alltables') !== false || strpos($src, 'table') !== false) { $longOk++; }` (`tools/m10_ac_gate.php:192`). والفرعُ الثاني يمرّ لأيِّ ملفٍّ يحوي السلسلةَ `</t>
  </si>
  <si>
    <t xml:space="preserve">معيارُ قبولٍ من معاييرِ الإطلاقِ يُبلّغ ٢٤/٢٤ بينما تدقيقَ الواجهةِ الحيَّ يقيس **صفرَ** شاشةٍ تستعمل «المناظرَ المحفوظة» و١٦٥ جدولًا بعشرين عمودًا فأكثر. دليلُ إطلاقٍ كاذبٌ يخفي عيبًا واسعًا.</t>
  </si>
  <si>
    <t xml:space="preserve">كُتب الشرطُ بفرعٍ احتياطيٍّ فضفاضٍ (`|| strpos($src,'table')`) لتمريرِ حالاتٍ خاصةٍ فأبطل المعيارَ كلَّه.</t>
  </si>
  <si>
    <t xml:space="preserve">tools/m10_ac_gate.php:182-197</t>
  </si>
  <si>
    <t xml:space="preserve">١) شغِّل `php tools/m10_ac_gate.php`: AC-05 يمرُّ `24/24`.
٢) افتح أيًّا من الشاشاتِ الأربعِ والعشرين: لا منتقي منظرٍ ولا زرَّ «إظهار كلِّ الأعمدة».
٣) اقرأ السطرَ 192: الشرطُ يتحقق بوجودِ الكلمة `table`.</t>
  </si>
  <si>
    <t xml:space="preserve">احذف الفرعَ `|| strpos($src, 'table') !== false` من `tools/m10_ac_gate.php:192`، واجعل الشرطَ: وجودُ `data-ems-view` أو نداءِ `risk_col_visible`/`u13_views` أو صنفِ `alltables` **مع** زرِّ CM-10؛ وأضِف تحققًا حيًّا بتصييرِ الشاشةِ وفحصِ ناتجِ HTML كما يفعل `u13_gate` في ⑨-٠٦.</t>
  </si>
  <si>
    <t xml:space="preserve">أنشئ ملفًّا فيه `&lt;table&gt;` وحدَه بلا منتقي منظر: يجب أن يرسب AC-05؛ والعددُ المُبلَّغُ يطابق عددَ الشاشاتِ التي تحمل منتقيًا فعليًّا.</t>
  </si>
  <si>
    <t xml:space="preserve">السطرُ 192 حرفيٌّ كما نُقل: if (strpos($src,'alltables') !== false || strpos($src,'table') !== false) { $longOk++; } — والفرعُ الثاني يمرّ لأيِّ ملفٍّ فيه &lt;table&gt; أو table-responsive، فالمعيارُ AC-05 أخضرُ بلا مضمون. لكنه عيبٌ في أداةِ قياسٍ (tools/) لا في المنتج، وإصلاحُه حذفُ فرعٍ واحد — فلا يستوفي حدَّ حاجبِ الإصدار.</t>
  </si>
  <si>
    <t xml:space="preserve">INJ-0242</t>
  </si>
  <si>
    <t xml:space="preserve">٥-١ البواباتُ الخمس · الشاهد</t>
  </si>
  <si>
    <t xml:space="preserve">بوابة M-10 — معيار القبول AC-06</t>
  </si>
  <si>
    <t xml:space="preserve">AC-06: «صفرُ حقلٍ حساسٍ يُرسَل لغير المخوَّل» — والشاهدُ إثباتُ عدمِ الإرسال، لا عدُّ سياساتٍ مسجَّلة.</t>
  </si>
  <si>
    <t xml:space="preserve">الفحصُ يمرُّ إن كان عددُ صفوفِ السياساتِ ≥ ٢٠ ووُجد جدولُ سجلِّ الاطّلاع: `ac('AC-06', ..., $polCount &gt;= 20 &amp;&amp; $readLog, ...)` (`tools/m10_ac_gate.php:200-207`). لا يفحص شاشةً واحدةً ولا يتحقق من أنَّ الحقلَ يُحجب فعلًا لغيرِ المخوَّل — بينما شاشاتُ المخاطرِ مثلًا تصيّر «مالكَ الخطر» بلا أيِّ حارس.</t>
  </si>
  <si>
    <t xml:space="preserve">أخطرُ معايير الخصوصيةِ يُبلَّغ أخضرَ بوجودِ صفوفِ إعدادٍ فقط — بينما تصييرُ الحقولِ الحساسةِ لغيرِ المخوَّلين قائمٌ فعلًا في شاشاتٍ متعددة.</t>
  </si>
  <si>
    <t xml:space="preserve">قيست البنيةُ (وجودُ السياساتِ والجدول) لا التبنّي (استدعاءُ الحارسِ في الشاشات) — وهو نمطُ MD-04 نفسُه.</t>
  </si>
  <si>
    <t xml:space="preserve">tools/m10_ac_gate.php:199-206; app/Services/Security/SensitiveFieldGuard.php:82; Risk/risk_register.php:124</t>
  </si>
  <si>
    <t xml:space="preserve">١) شغِّل `php tools/m10_ac_gate.php`: AC-06 أخضر.
٢) افتح `Risk/risk_register.php` بدورٍ غيرِ مخوَّلٍ للحقلِ الحساس: الاسمُ ظاهرٌ في مصدرِ الصفحة.
٣) `grep -rn 'SensitiveFieldGuard' /tmp/ems/Risk` → لا شيء.</t>
  </si>
  <si>
    <t xml:space="preserve">بدِّل شرطَ AC-06 في `tools/m10_ac_gate.php:205` إلى فحصِ تبنٍّ: لكلِّ صفٍّ في `scr_sensitive_fields` تحقَّق أنَّ الشاشةَ المالكةَ تستدعي `SensitiveFieldGuard::canRead` أو `ems_log_sensitive_read`؛ وأضِف تصييرًا حيًّا بدورٍ غيرِ مخوَّلٍ وفحصَ غيابِ القيمةِ من HTML.</t>
  </si>
  <si>
    <t xml:space="preserve">AC-06 يرسب ما دام هناك حقلٌ في `scr_sensitive_fields` تصيّره شاشتُه بلا نداءِ حارس؛ ويمرُّ بعد ربطِ كلِّ الحقولِ المسجَّلة.</t>
  </si>
  <si>
    <t xml:space="preserve">شرطُ AC-06 في tools/m10_ac_gate.php:204 هو ($polCount &gt;= 20 &amp;&amp; $readLog) — أي عدُّ صفوفِ سياساتٍ ووجودُ جدولٍ، بلا أيِّ تصييرٍ حيٍّ ولا فحصِ حجبٍ في الاستجابة؛ وSensitiveFieldGuard بلا مستدعٍ إنتاجيٍّ يُثبت الحجب.</t>
  </si>
  <si>
    <t xml:space="preserve">INJ-0243</t>
  </si>
  <si>
    <t xml:space="preserve">AR-08 · النشرُ ببصمةٍ وعلَمِ رجوع</t>
  </si>
  <si>
    <t xml:space="preserve">بصمة الإصدار وتقرير النشر</t>
  </si>
  <si>
    <t xml:space="preserve">http://localhost/ems/Portal/release_stamp.php</t>
  </si>
  <si>
    <t xml:space="preserve">«كلُّ إصدارٍ يحمل بصمتَه: ما تغيّر من شاشاتٍ وأعمدةٍ وأفعالٍ وقواعدَ وهجراتِ بيانات … وعلَمُ رجوعٍ يبقى مفعَّلًا مدةً معلنة» · وكيف يُختبر: «صفحةُ /version في التطبيق تعرض البصمة … وتاريخَ انتهاء علَم الرجوع».</t>
  </si>
  <si>
    <t xml:space="preserve">لا توجد صفحةُ `/version` ولا أيُّ مسلكٍ يشتقُّ البصمةَ آليًّا. الموجودُ `Portal/release_stamp.php` وهو **جدولُ إدخالٍ يدويٍّ** بثمانيةَ عشرَ عمودًا يُكتب في مخزنٍ بينيٍّ `cmp03_screen_rows` (`:8-9`, `:32-70`): «الشاشات المضافة» و«الأعمدة المضافة» و«الهجرات المنفَّذة» و«علَم الرجوع» كلُّها حقولٌ نصيةٌ يملؤها إنسان. ولا آليةَ لعلَمِ رجوعٍ في الكود: بحثٌ عن `rollback` في `app/` و`includes/` يُرجع معاملاتِ قاعدةِ بياناتٍ (`$conn-&gt;rollback()`) فقط.</t>
  </si>
  <si>
    <t xml:space="preserve">النشرُ بلا بصمةٍ مشتقّةٍ ولا علَمِ رجوعٍ فعليّ: عند أيِّ خللٍ بعد النشرِ يصير التشخيصُ تخمينًا ولا خطةَ رجوعٍ قابلةَ للتنفيذ — وهو شرطٌ صريحٌ من الشروطِ الاثني عشر (الشرطُ ١٢: «خطةُ الرجوعِ مختبَرةٌ على نسخةٍ من الإنتاج»).</t>
  </si>
  <si>
    <t xml:space="preserve">نُفِّذ AR-08 كشاشةِ توثيقٍ يدويٍّ بدل آليةِ بصمةٍ مشتقّةٍ من الهجراتِ وسجلِّ الشاشاتِ وعلَمِ ميزةٍ قابلٍ للقلب.</t>
  </si>
  <si>
    <t xml:space="preserve">Portal/release_stamp.php:4; :8-9; :32; :121; app/Services/Security/PermSourceService.php:145-152</t>
  </si>
  <si>
    <t xml:space="preserve">١) افتح `http://localhost/ems/version` أو `/ems/version.php`: غيرُ موجود.
٢) افتح `Portal/release_stamp.php`: نموذجُ إدخالٍ نصيٍّ لكلِّ حقولِ البصمة.
٣) `grep -rn 'rollback_flag' /tmp/ems/app /tmp/ems/includes` → لا آليةَ علَمِ رجوع.</t>
  </si>
  <si>
    <t xml:space="preserve">① أنشئ `version.php` يشتقُّ البصمةَ آليًّا: عدَّ الهجراتِ المنفَّذةِ من جدولِ الهجرات، وفروقَ `modules`/`nav09_action_map`/`information_schema` بين إصدارين، ورمزَ الالتزامِ من ملفِّ بناء. ② أنشئ جدولَ `release_flags(release_no, rollback_until, active)` واقرأه في `version.php`. ③ اجعل `Portal/release_stamp.php` يعرض المشتقَّ ويقبل التوقيعَ فقط لا الإدخال.</t>
  </si>
  <si>
    <t xml:space="preserve">`GET /ems/version` يُرجع JSON فيه: رقمُ الإصدار · بصمتُه · عددُ الشاشاتِ والأعمدةِ والأفعالِ المتغيّرة · الهجراتُ المنفَّذة · تاريخُ انتهاءِ علَمِ الرجوع — كلُّها مشتقّةٌ لا مُدخَلة.</t>
  </si>
  <si>
    <t xml:space="preserve">لا مسلكَ /version ولا اشتقاقَ آليٌّ للبصمة؛ Portal/release_stamp.php شاشةُ CMP-03 بثمانيةَ عشرَ عمودًا نصيًّا تُحفظ في مخزنٍ بينيّ، وعلَمُ الرجوع نصٌّ يكتبه إنسانٌ لا آليةٌ في الكود.</t>
  </si>
  <si>
    <t xml:space="preserve">INJ-0244</t>
  </si>
  <si>
    <t xml:space="preserve">٥-١ البوابةُ ① الوحدة · «اختباراتُ وحدةٍ ناجحةٌ للحرّاس»</t>
  </si>
  <si>
    <t xml:space="preserve">تغطية اختبارات الحرّاس</t>
  </si>
  <si>
    <t xml:space="preserve">«① الوحدة — ما تُثبت: المكوّنُ يعمل منفردًا — الشاهد: اختباراتُ وحدةٍ ناجحةٌ للحرّاس — لا يُنتقل قبلها».</t>
  </si>
  <si>
    <t xml:space="preserve">ينبغي إضافةُ ملاحظةٍ أنّ check_page_permissions صار fail-closed للشاشة غير المسجَّلة (permissions_helper.php:521-531)، و_default_full_permissions يخصّ get_page_permissions_by_url وحدَها. — [مُصحَّح بعد التحقق] الصياغة الأولى: توجد اختباراتٌ في `tests/` (منها `wfm_engine_test.php` و`n06_transaction_bounds_test.php` و`rollback_flag_test.php` و`h19_workspace_test.php`)، لكنَّ حرّاسًا حاكمةً بلا أيِّ اختبار: لا اختبارَ لـ`Risk</t>
  </si>
  <si>
    <t xml:space="preserve">البوابةُ الأولى غيرُ مجتازةٍ فعليًّا: أخطرُ الحرّاسِ بلا اختبارٍ يمنع انكسارَها، والاختباراتُ القائمةُ تثبت وجودَ المكوّنِ لا حمايتَه للنظام — وهو نمطُ MD-05 نفسُه على مستوى الاختبار.</t>
  </si>
  <si>
    <t xml:space="preserve">كُتبت الاختباراتُ للمكوّناتِ الجديدةِ لا للحرّاسِ الحاكمة، ولا مقياسَ تغطيةٍ يربط الحكمَ باختباره.</t>
  </si>
  <si>
    <t xml:space="preserve">tests/ (220 ملفًّا); app/Services/Risk/RiskService.php:571; app/Services/Audit/InternalAuditService.php:49; includes/permissions_helper.php:810</t>
  </si>
  <si>
    <t xml:space="preserve">١) `ls /tmp/ems/tests/` ثم ابحث عن اختبارٍ يستدعي `acceptRisk` أو `assertReadOnly` أو `check_page_permissions`: لا يوجد.
٢) قارِن قائمةَ الحرّاسِ في `app/Services/Security` و`app/Core` بقائمةِ الاختبارات.</t>
  </si>
  <si>
    <t xml:space="preserve">أضِف اختباراتِ وحدةٍ للحرّاسِ الحاكمةِ الأربعةِ على الأقل: (أ) `acceptRisk` بملكيةٍ خاطئةٍ ⇒ رفض، (ب) `assertReadOnly` لجدولٍ محظورٍ ⇒ رفض، (ج) `check_page_permissions` لشاشةٍ غيرِ مسجَّلةٍ ⇒ `can_view=false`، (د) تصديرُ حقلٍ حساسٍ بدورٍ غيرِ مخوَّلٍ ⇒ محجوب؛ واربِط البوابةَ ① بنجاحِها.</t>
  </si>
  <si>
    <t xml:space="preserve">لكلِّ حارسٍ حاكمٍ اختبارُ وحدةٍ إيجابيٌّ وسلبيٌّ في `tests/`، والبوابةُ ① ترسب إن رسب أحدُها.</t>
  </si>
  <si>
    <t xml:space="preserve">لا اختبارَ في tests/ (220 ملفًّا) يذكر acceptRisk ولا assertReadOnly ولا _default_full_permissions — بحثٌ نصيٌّ في المجلد كلِّه بلا نتيجة، فالحرّاسُ الحاكمةُ بلا تغطيةٍ مباشرة.</t>
  </si>
  <si>
    <t xml:space="preserve">INJ-0245</t>
  </si>
  <si>
    <t xml:space="preserve">SCN-874-أ · ▐ ١١-٣ الشاشاتُ والمناظرُ والعرض</t>
  </si>
  <si>
    <t xml:space="preserve">«يجب أن تُتاح شاشةُ صلاحية الطوارئ اللحظية (كسر الزجاج) لـالحوكمة والالتزام بنطاق الكل» — وباقي الإدارات «بأفعالٍ مسموحةٍ هي طلب · متابعة، ومحجوبٍ عنه: المنح» (SCN-878/879/880/881-ب).</t>
  </si>
  <si>
    <t xml:space="preserve">أيُّ مستخدمٍ مصادَقٍ يستطيع **إدراجَ** صفٍّ في سجلِّ كسر الزجاج (لا فتحَه للعرض)، والصفُّ لا يرفع صلاحيةَ أحدٍ لأن الجدولَ بلا مستهلك. — [مُصحَّح بعد التحقق] الصياغة الأولى: الحارس الوحيد في الشاشة هو `if (!$is_super_admin &amp;&amp; $company_id &lt;= 0)` — أي كلُّ مستخدمٍ مصادَقٍ لديه company_id &gt; 0 يفتحها ويكتب فيها. لا نداءَ لـcheck_page_permissions ولا ems_require_governance_scr</t>
  </si>
  <si>
    <t xml:space="preserve">أيُّ حسابٍ في الشركة — سائقٌ أو محاسبٌ أو مشغّل — يفتح شاشةَ كسر الزجاج ويسجّل صفوفَ «منحٍ» باسمه وباسم موافقين وهميين. تسريبُ نموذجِ الحوكمة الأخطرِ لكل الأدوار، وتلويثُ سجلّ يُفترض أن يكون أنقى سجلات النظام.</t>
  </si>
  <si>
    <t xml:space="preserve">الشاشة لم تُلحق ببوابة الصلاحيات عند توليدها من CMP-03؛ ونمطُ الحماية في المجلد غيرُ موحَّد (١٠ شاشات تفحص و٦ لا تفحص).</t>
  </si>
  <si>
    <t xml:space="preserve">Governance/break_glass.php:24; :82; :121; includes/cmp03_registry.php:394; Governance/access_review.php:34</t>
  </si>
  <si>
    <t xml:space="preserve">١) ادخل بحسابٍ بدورٍ غيرِ حوكميّ (مثلًا 13 إدارة الصيانة) وله company_id صالح. ٢) اكتب في المتصفح http://localhost/ems/Governance/break_glass.php. ٣) تُفتح الشاشة كاملة. ٤) اضغط «إضافة» واحفظ صفًّا — يُحفظ.</t>
  </si>
  <si>
    <t xml:space="preserve">إضافة الكتلة نفسها المستعملة في Governance/access_review.php:34-45 إلى Governance/break_glass.php بعد السطر 27: check_page_permissions($conn,'Governance/break_glass.php') وحجبُ العرض عند غياب can_view وحجبُ POST عند غياب can_add/can_edit، مع تسجيل الرفض عبر log_security_event.</t>
  </si>
  <si>
    <t xml:space="preserve">الدخول بدور 13 إلى Governance/break_glass.php يُعيد توجيهًا برمز GOV-PERM-403 ويكتب صفَّ رفضٍ في سجل الأمن؛ والدخول بدور 15 يفتح الشاشة.</t>
  </si>
  <si>
    <t xml:space="preserve">صحيحٌ أن Governance/break_glass.php بلا `check_page_permissions` خلافًا لأخواتها (access_review.php:34)، وأن الإدراجَ في السطر 82 يسبق insidebar في السطر 121؛ لكنَّ الشاشةَ مسجَّلةٌ موديولًا فالعرضُ محروسٌ بالحارس المركزي، والأخطرُ أن جدولَها `scr_break_glass` بلا أيِّ مستهلكٍ في المستودع — فهي سجلٌّ ورقيٌّ لا يمنح صلاحيةً واحدة (المنحُ الفعليُّ في permission_exceptions.is_break_glass).</t>
  </si>
  <si>
    <t xml:space="preserve">INJ-0246</t>
  </si>
  <si>
    <t xml:space="preserve">TABLE 53 (الحكمُ البنيوي) · ▐ ٩-٤ سجلُّ التدقيقِ وسجلُّ الاطّلاع</t>
  </si>
  <si>
    <t xml:space="preserve">شاشات الحوكمة العشرون (المجلد Governance/)</t>
  </si>
  <si>
    <t xml:space="preserve">خامسًا: المنع والاستثناء · سادسًا: التدقيق والمراجعة</t>
  </si>
  <si>
    <t xml:space="preserve">«سجلُّ التدقيق | الفاعلُ بصفته · الوقتُ · الفعلُ · القيمةُ قبلَ وبعد · رمزُ العملية | كلُّ فعلٍ يكتب في هذه الإدارة» و«◆ لا يُكتب من التطبيق — كلُّ هذه السجلاتِ تُكتب من الطبقة المشتركةِ لا من كودِ الشاشة | بنيويًّا — ولا يُتجاوز».</t>
  </si>
  <si>
    <t xml:space="preserve">شاشاتُ الحوكمة السرديةُ لا تكتب سجلَّ تدقيقٍ بقيم قبل/بعد، بينما منحُ الصلاحيات الفعليُّ في admin/permissions مُدقَّقٌ بقيمِ قبل/بعد. — [مُصحَّح بعد التحقق] الصياغة الأولى: صفرُ شاشةٍ من العشرين في مجلد Governance/ تستدعي ems_audit_change (الموصل الوحيد الذي يكتب old_value/new_value). الوسيط المركزي app/Middleware/ActivityLogMiddleware يسجّل الطلبَ (الفاعل·الوقت·المسار·ا</t>
  </si>
  <si>
    <t xml:space="preserve">أخطرُ أفعال النظام — منحُ صلاحية · قلبُ حارس · تصنيفُ حقلٍ حساس · منحُ استثناء — تقع بلا أثرٍ يبيّن ما تغيّر. لا يمكن للمراجع أن يجيب «من غيّر ماذا ومتى بقيمِ قبل/بعد» داخل الإدارة المكلّفة أصلًا بضمانِ هذا السؤال لبقية الإدارات.</t>
  </si>
  <si>
    <t xml:space="preserve">الموصل ems_audit_change بُني في مسار N-02 وطُبّق على العقود والتسويات والقيود، ولم يُطبَّق على مجلد الحوكمة؛ والطبقة المشتركة المطلوبة (كتابةٌ من طبقة الوصول لا من الشاشة) لم تُبنَ.</t>
  </si>
  <si>
    <t xml:space="preserve">Governance/*.php (صفر ems_audit_change); admin/permissions/role_permissions.php:49,88,121,153; includes/audit_trail.php:8</t>
  </si>
  <si>
    <t xml:space="preserve">١) نفّذ grep -rn "ems_audit_change" Governance/ ⇐ صفر نتيجة. ٢) بدور 15 عدّل صفًّا في أي شاشة حوكمة. ٣) استعلم SELECT COUNT(*) FROM activity_logs WHERE old_value IS NOT NULL ⇐ صفر.</t>
  </si>
  <si>
    <t xml:space="preserve">إضافة نداء ems_audit_change($conn,'governance',&lt;اسم الشاشة&gt;,'insert|update',$id,$old,$new,$ctx) داخل includes/cmp03_local_store.php::cmp03_store_insert (السطر 60 بعد نجاح execute) وداخل معالجات POST في signing_authority.php:63 وownership_grants.php وentities_registry.php وlicenses_guarantees.php وactivation_patterns.php — فتغطّى العشرون شاشة بموضعين اثنين.</t>
  </si>
  <si>
    <t xml:space="preserve">أيُّ حفظٍ في أيِّ شاشةِ حوكمةٍ يُنتج صفًّا في activity_logs يحمل old_value وnew_value ورمزَ العملية واسمَ الفاعل وصفته؛ واستعلامُ الصفوف بلا قيمة «قبل» يُرجع صفرًا للأفعال التعديلية.</t>
  </si>
  <si>
    <t xml:space="preserve">صفرُ نداءٍ لـems_audit_change في العشرين ملفًّا داخل Governance/ — تحقّقتُ منه بالجرد. لكن تسعَ عشرةَ منها شاشاتُ CMP-03 تُدرج صفوفًا سرديةً فقط (لا تعديلَ فلا «قيمةَ قبل» أصلًا) وتحمل created_by/created_by_name، ومحركُ منحِ الصلاحيات الحقيقيُّ admin/permissions/role_permissions.php:49,88,121,153 يكتب التدقيقَ بقيمِ قبل/بعد — فالادعاءُ بأن المراجعَ لا يستطيع تتبعَ منحِ صلاحيةٍ باطل.</t>
  </si>
  <si>
    <t xml:space="preserve">INJ-0247</t>
  </si>
  <si>
    <t xml:space="preserve">TABLE 53 (سجلُّ الاطّلاعِ الحساس) · SCN-723-أ / audit.read</t>
  </si>
  <si>
    <t xml:space="preserve">سجل الاطّلاع على الحقول الحساسة</t>
  </si>
  <si>
    <t xml:space="preserve">«سجلُّ الاطّلاعِ الحساس | المستخدمُ · الوقتُ · الحقلُ · الشاشةُ · سببُ الاطّلاع | كلُّ اطّلاعٍ على حقلٍ حساسٍ في 18 شاشةً» و«كلُّ قراءةٍ لبياناتِ ملكيةٍ أو راتبٍ أو حسابٍ بنكيٍّ تُسجَّل بالمستخدم والوقت والسجل».</t>
  </si>
  <si>
    <t xml:space="preserve">الكتّابُ يشملون أيضًا Financing/financiers_registry.php و Financing/financing_board.php وincludes/sensitive_read_log.php (payroll_runs · final_settlement · employee_card). — [مُصحَّح بعد التحقق] الصياغة الأولى: الجدول sensitive_read_log موجود ويُكتب من أربعة مواضع فقط (SensitiveFieldGuard:103 · Tickets/ConfidentialityGuard:51 · OwnershipDomainGuard:136 · excel.php)، لكن لا شاشةَ في النظام تعرضه. الدور 15 لا </t>
  </si>
  <si>
    <t xml:space="preserve">«التسرّبُ يقع بالاطّلاع لا بالتغيير» (LEG-003-ك) — والنظام يكتب بعضَ الاطّلاع ولا يعرضه لأحد. الحوكمةُ عمياءُ عن القراءات الحساسة، وشرطُ TABLE 6 «سجلُّ اطّلاعٍ لكل حقلٍ حساس» غيرُ مستوفًى عرضًا.</t>
  </si>
  <si>
    <t xml:space="preserve">بُني الجدولُ والحرّاسُ في مسار LEG-01 ولم تُبنَ شاشةُ العرض المقابلة، ولم يُسجَّل عمودُ «سجل الاطّلاع» المطلوب في TABLE 36 في الشاشات الأربع.</t>
  </si>
  <si>
    <t xml:space="preserve">app/Services/Security/SensitiveFieldGuard.php:103; app/Services/Tickets/ConfidentialityGuard.php:51; app/Core/OwnershipDomainGuard.php:136; app/Core/TenantRegistry.php:605</t>
  </si>
  <si>
    <t xml:space="preserve">١) نفّذ grep -rln "sensitive_read_log" على مجلدات الشاشات (Governance/ Portal/ admin/) ⇐ صفر شاشة عرض. ٢) ادخل بدور 15 وابحث في السايدبار عن «سجل الاطّلاع» ⇐ غير موجود.</t>
  </si>
  <si>
    <t xml:space="preserve">إنشاء Governance/read_log.php يعرض sensitive_read_log بأعمدة (المستخدم · الوقت · الحقل · الشاشة · سبب الاطّلاع · النتيجة · مرجع المنح) بنطاق الشركة، وربطُه بمجموعة «سادسًا: التدقيق والمراجعة»، وإضافةُ عمود «سجل الاطّلاع» إلى الشاشات الأربع المذكورة في TABLE 36.</t>
  </si>
  <si>
    <t xml:space="preserve">فتحُ شاشةِ راتبٍ أو حسابٍ بنكيٍّ بدورٍ ممنوحٍ يُنتج صفًّا في sensitive_read_log يظهر خلال ثوانٍ في Governance/read_log.php للدور 15.</t>
  </si>
  <si>
    <t xml:space="preserve">لا شاشةَ تعرض صفوفَ sensitive_read_log (الموجودُ عدّادٌ فقط في includes/dept_gov_space.php:76 وRisk/gov_dept_rsk.php:71) وConfidentialityGuard بلا نداءٍ إنتاجي؛ غير أن الكتّابَ أكثرُ من أربعة.</t>
  </si>
  <si>
    <t xml:space="preserve">INJ-0248</t>
  </si>
  <si>
    <t xml:space="preserve">GOVX-0975-أ · TABLE 53 (سجلُّ التصدير) · ▐ ١١-٨</t>
  </si>
  <si>
    <t xml:space="preserve">سجل التصدير</t>
  </si>
  <si>
    <t xml:space="preserve">«كلُّ ملفٍّ يُصدَّر من الحوكمة والالتزام يسجّل تسعةَ بنودٍ: اسمَ المنظرِ والأعمدةَ المصدَّرةَ والفلاترَ والفترةَ والسجلاتِ المحددةَ والمستخدمَ بصفته ووقتَ التصديرِ ورقمَ العمليةِ والحقولَ المستبعَدةَ بالصلاحية. (اختبارُ اكتمال: صفرُ ملفٍّ من الحوكمة والالتزام ينقصه بندٌ من التسعة)».</t>
  </si>
  <si>
    <t xml:space="preserve">لا جدولَ سجلِّ تصديرٍ عامّ في المخطط: البحثُ عن export_log يُرجع risk_export_log وحدَه، ويُكتب من موضعٍ واحد (RiskService:975) يخصّ المخاطر لا الحوكمة. المُصدِّرُ الموحَّد excel.php لا يكتب سجلَّ تصديرٍ إطلاقًا ولا يستقبل منظرًا ولا فلاترَ ولا قائمةَ أعمدة (يقرأ entity وaction فقط).</t>
  </si>
  <si>
    <t xml:space="preserve">«سجلُّ التدقيق يدقّق من يقرؤه» (SCN-725) غيرُ متحقق: أيُّ تصديرٍ من النظام يخرج بلا أثرٍ يبيّن من صدّره وبأيِّ منظرٍ وأيِّ أعمدة. تسريبُ ملفٍّ لا يمكن تتبّعه.</t>
  </si>
  <si>
    <t xml:space="preserve">بُني إطارُ التصدير الموحَّد على تعريفاتٍ ثابتة (exportColumns) قبل صدور حكمِ البنود التسعة، ولم يُضَف جدولُ export_log ولا تمريرُ سياقِ المنظر إلى ExcelService.</t>
  </si>
  <si>
    <t xml:space="preserve">excel.php:69-70; app/Services/Excel/ExcelService.php:92-96; app/Services/Risk/RiskService.php:971-980; database/schema/schema.sql:8837</t>
  </si>
  <si>
    <t xml:space="preserve">١) صدّر أيَّ كيانٍ عبر excel.php?entity=..&amp;action=export. ٢) استعلم عن أيِّ جدولٍ اسمُه export_log ⇐ لا وجود له إلا risk_export_log. ٣) لا صفَّ أُنشئ بعد التصدير.</t>
  </si>
  <si>
    <t xml:space="preserve">إنشاء جدول export_log بالبنود التسعة وهجرةٍ له، وكتابةُ صفٍّ فيه من app/Services/Excel/ExcelService::export() قبل بثِّ الملف، وتمريرُ منظرِ الشاشة وفلاترِها وأعمدتها من includes/excel_ui.php إلى excel.php بدل النداء العاري، وإنشاءُ Governance/export_log.php لعرضه.</t>
  </si>
  <si>
    <t xml:space="preserve">كلُّ تصديرٍ ينتج صفًّا في export_log فيه البنود التسعة كاملة، واستعلامُ الصفوف الناقصةِ بندًا يُرجع صفرًا.</t>
  </si>
  <si>
    <t xml:space="preserve">لا جدولَ تصديرٍ عامًّا في المخطط سوى `risk_export_log`، و`excel.php` لا يقرأ إلا entity وaction ولا يكتب سطرَ تصديرٍ قبل البثِّ في `ExcelService::export()`.</t>
  </si>
  <si>
    <t xml:space="preserve">INJ-0249</t>
  </si>
  <si>
    <t xml:space="preserve">SCN-699..SCN-702 (طلبات الاستثناء) · ▐ ١١-٦</t>
  </si>
  <si>
    <t xml:space="preserve">طلبات الاستثناء</t>
  </si>
  <si>
    <t xml:space="preserve">http://localhost/ems/Governance/exceptions.php</t>
  </si>
  <si>
    <t xml:space="preserve">الاستثناءُ مسارٌ نافذ: «حمايةٌ تُتجاوز بمسار استثناء موثَّق» (GOV-005) و«الاستثناءُ يمتص الاضطرار» (SCN-697-ب) — أي أن الحارسَ يقرأ الاستثناءَ النافذ فيسمح.</t>
  </si>
  <si>
    <t xml:space="preserve">مسارُ الاستثناء غيرُ موصول: الشاشةُ سجلٌّ نصيٌّ والخدمةُ بلا نداءٍ إنتاجيٍّ ولا حارسَ يستشير permission_exceptions — أثرُه تعطيلُ مرونةٍ لا فتحُ ثغرة. — [مُصحَّح بعد التحقق] الصياغة الأولى: الشاشة نموذجُ CMP-03 يكتب في scr_exceptions عبر cmp03_store_insert. الجداول الحقيقية موجودة (exception_requests · exception_approvals · exception_usages · permission_exceptions) وخدمةُ ExceptionServic</t>
  </si>
  <si>
    <t xml:space="preserve">لا يوجد مسارُ استثناءٍ نافذ في النظام: الشاشةُ تسجّل نصًّا والحرّاسُ لا يقرؤونه. النتيجة أن التصنيف الثلاثي للحمايات (GOV-005) ينهار إلى ثنائيٍّ: إمّا مفتوحٌ فلا يحمي وإمّا مغلقٌ فيعطّل العمل — وهو العطبُ الذي حذّرت منه الوثيقة نصًّا (GOV-004-ب).</t>
  </si>
  <si>
    <t xml:space="preserve">بُنيت الجداولُ والخدمةُ في مسار SEC-01 وبُنيت الشاشةُ في مسار CMP-03، ولم يُضَف نداءٌ للاستثناء في طبقة الحراسة المشتركة (includes/action_guard.php · includes/permissions_helper.php).</t>
  </si>
  <si>
    <t xml:space="preserve">Governance/exceptions.php:95-107; app/Services/Governance/ExceptionService.php:128; includes/permissions_helper.php (لا قراءةَ لـpermission_exceptions); includes/action_guard.php:33-60</t>
  </si>
  <si>
    <t xml:space="preserve">١) سجّل استثناءً في Governance/exceptions.php لمستخدمٍ على شاشةٍ ممنوعة. ٢) ادخل بحساب ذلك المستخدم. ٣) افتح الشاشة ⇐ ما زالت ممنوعة (الاستثناء لا يُقرأ).</t>
  </si>
  <si>
    <t xml:space="preserve">ربطُ Governance/exceptions.php بـExceptionService لإنشاء exception_requests، وإضافةُ استشارةِ permission_exceptions النافذة داخل includes/permissions_helper.php::get_module_permissions قبل إرجاع النتيجة، مع تسجيلِ الاستعمال في exception_usages وعدّاده.</t>
  </si>
  <si>
    <t xml:space="preserve">استثناءٌ نافذٌ بمدةٍ يفتح الشاشةَ الممنوعة للمستخدم فورًا، وينقلب المنعُ عند انتهاء المدة، ويظهر عدّادُ الاستعمال في شاشة الاستثناءات.</t>
  </si>
  <si>
    <t xml:space="preserve">أكّدتُ الوصفَ: exceptions.php:95-107 يكتب scr_exceptions عبر cmp03_store_insert، وExceptionService بلا نداءٍ خارج tests/gov01_guards_test.php، وبحثُ permission_exceptions في includes/permissions_helper.php و includes/action_guard.php = صفر. لكن غيابَ مسارِ الاستثناء لا يُحدث أثرًا غيرَ مأذونٍ ولا يُفقد بيانًا — النظامُ يعمل مغلقًا، والنقصُ مرونةٌ حوكميةٌ لا حاجزُ إصدار.</t>
  </si>
  <si>
    <t xml:space="preserve">INJ-0250</t>
  </si>
  <si>
    <t xml:space="preserve">GOV-021-ب · GOV-022-ب · SCN-695-أ (guards.php)</t>
  </si>
  <si>
    <t xml:space="preserve">تصنيف قواعد المنع</t>
  </si>
  <si>
    <t xml:space="preserve">http://localhost/ems/Governance/guards.php</t>
  </si>
  <si>
    <t xml:space="preserve">«لا حمايةَ بلا صنفٍ معلن · وكلُّ حمايةٍ في النظام تحمل صنفَها في قاموسٍ واحد، ولا يُقلب علَمُ حمايةٍ إلى الإنفاذ قبل تصنيفها» — والوثيقة تسمّي الحمايات القائمة السبع بأصنافها.</t>
  </si>
  <si>
    <t xml:space="preserve">الشاشةُ ليست «بلا أيِّ رابطٍ في النظام كلِّه»: هي مسجَّلةٌ في modules (id=205) بـis_quick=1 فتظهر في بلاطات الوصول السريع في لوحة التحكم — وإن غابت عن السايدبار (is_link=0). — [مُصحَّح بعد التحقق] الصياغة الأولى: Governance/guards.php نموذجُ CMP-03 يكتب صفوفًا نصيةً في scr_guards لا يقرؤها حارس. وتوجد شاشةٌ ثانيةٌ للغرض نفسه Settings/guard_classification.php (تكتب فعليًّا وتستدعي AuthorityGuard::sign) لكنها بل</t>
  </si>
  <si>
    <t xml:space="preserve">«قاموسٌ واحد» مطلبٌ صريح، والنظام يقدّم اثنين متعارضين. مديرُ الصلاحيات يصنّف في شاشةٍ لا أثرَ لها، والشاشةُ ذاتُ الأثر لا يعرف أحدٌ طريقَها — فيُقلب علَمُ حمايةٍ إلى الإنفاذ بلا تصنيفٍ نافذ.</t>
  </si>
  <si>
    <t xml:space="preserve">شاشتان بُنيتا في مسارين (GOV-01 §9-④ ثم CMP-03) بلا قرارِ دمجٍ ولا حذفٍ لإحداهما، وSettings/guard_classification.php لم تُسجَّل في nav_items.</t>
  </si>
  <si>
    <t xml:space="preserve">Governance/guards.php:105; Settings/guard_classification.php:4; :49; Governance/ownership_grants.php:11</t>
  </si>
  <si>
    <t xml:space="preserve">١) نفّذ grep -rn "guard_classification.php" --include=*.php . ⇐ لا رابطَ واردٌ إلا تعليقاتٌ في ملفين. ٢) ادخل بدور 15 ⇐ السايدبار يعرض Governance/guards.php وحدَها. ٣) صنّف حمايةً فيها ⇐ لا تغيّرَ في سلوك أيِّ حارس.</t>
  </si>
  <si>
    <t xml:space="preserve">حسمُ المالك: إبقاءُ Settings/guard_classification.php مصدرَ الحقيقة وتسجيلُها موديولًا بمالكٍ 15 وربطُها بصفِّ nav_items في «خامسًا: المنع والاستثناء»، وتحويلُ Governance/guards.php إلى منظرِ قراءةٍ على الجدول نفسه أو حذفُها من nav_items.</t>
  </si>
  <si>
    <t xml:space="preserve">رابطٌ واحدٌ في السايدبار باسم «تصنيف قواعد المنع» يفتح الشاشةَ ذاتَ الأثر، وتغييرُ صنفِ حمايةٍ فيها يغيّر سلوكَ الحارس المقابل في الطلب التالي.</t>
  </si>
  <si>
    <t xml:space="preserve">الازدواجُ حقيقي: guards.php يكتب صفوفًا نصيةً في scr_guards ولا قارئَ لها، وguard_classification.php يكتب guard_policies وليست في nav_items.</t>
  </si>
  <si>
    <t xml:space="preserve">INJ-0251</t>
  </si>
  <si>
    <t xml:space="preserve">TABLE 52 (فصلُ الواجبات) · ▐ ٩-٣ فصلُ الواجباتِ المتعارضة</t>
  </si>
  <si>
    <t xml:space="preserve">صلاحيات الأدوار / فصل الواجبات المتعارضة</t>
  </si>
  <si>
    <t xml:space="preserve">ثالثًا: الحسابات والأدوار</t>
  </si>
  <si>
    <t xml:space="preserve">فصلُ الواجبات ثمانيةُ أزواجٍ متعارضةٍ لا تجتمع في يدٍ واحدة، ومنها «اعتمادُ الذات» و«permission.create + permission.approve مقابل permission.apply» — والمنعُ مطلقٌ لا تنبيه.</t>
  </si>
  <si>
    <t xml:space="preserve">فصلُ الواجبات يُفحص عند المنح فقط، ويحجب الأزواجَ الدقيقةَ ويكتفي بالتحذير في التقريبية ويتخطّى ما لا شاشةَ له — وهو قرارٌ موثَّقٌ في الكود لا سهوٌ. — [مُصحَّح بعد التحقق] الصياغة الأولى: ems_sod_check_grant تُنفَّذ عند منحِ الصلاحية فقط (Settings/role_permissions.php:52-53 هو موضعُ النداء الإنتاجيِّ الوحيد)، ومن الأزواج الثمانية زوجٌ واحدٌ فقط بدرجة exact يمنع فعلًا (sod_hours_claim)؛</t>
  </si>
  <si>
    <t xml:space="preserve">ستةٌ من ثمانيةِ أزواجٍ متعارضةٍ يمكن جمعُها في دورٍ واحدٍ بضغطة، ومنها زوجُ الصلاحيات نفسِه (ينشئ ويعتمد ويطبّق). و«اعتمادُ الذات» — منعٌ مطلقٌ في GOV-018-د — غيرُ مفحوصٍ في أيِّ نقطةِ اعتماد.</t>
  </si>
  <si>
    <t xml:space="preserve">قرارٌ سابق «تُبلَّغ ولا تُمنع» طُبّق على درجة approx وبقي، والدرجتان absent لم تُربَطا بمفاتيح، وSegregationOfDutiesGuard الأحدث بلا نداءٍ إنتاجيٍّ (اختباراتٌ فقط).</t>
  </si>
  <si>
    <t xml:space="preserve">includes/sod_guard.php:69; :77-79; Settings/role_permissions.php:53-76; includes/sod_map.php:55-70</t>
  </si>
  <si>
    <t xml:space="preserve">١) بدور 15 افتح Settings/role_permissions.php. ٢) امنح دورًا واحدًا permission.create ثم permission.approve ثم permission.apply. ٣) يمضي المنح مع تحذيرٍ SOD_GRANT_WARN في السجل ولا يُمنع. ٤) امنح دورًا ownership.share.create وownership.transfer.approve ⇐ لا تحذيرَ أصلًا.</t>
  </si>
  <si>
    <t xml:space="preserve">رفعُ الأزواج الخمسة approx إلى منعٍ في includes/sod_guard.php:77-78، وربطُ الزوجين absent بمفاتيحهما في includes/sod_map.php ليصيرا قابلين للقياس، ونداءُ SegregationOfDutiesGuard في مسار الاعتماد (Approvals/approval_api.php وأخواتها) لا في مسار المنح وحدَه.</t>
  </si>
  <si>
    <t xml:space="preserve">محاولةُ منحِ زوجٍ متعارضٍ من الأزواج الثمانية تُرفض بالاسم والضابط وتُسجَّل؛ ومحاولةُ اعتمادِ مستندٍ أنشأه المعتمِدُ نفسُه تُرفض 403.</t>
  </si>
  <si>
    <t xml:space="preserve">الوصفُ مطابقٌ للكود: includes/sod_guard.php:69 `if ($grade==='absent'){continue;}` و:77-79 تجعل exact وحدَه حاجبًا وapprox تحذيرًا يمضي، والنداءُ الإنتاجيُّ الوحيدُ في Settings/role_permissions.php:53 وSegregationOfDutiesGuard غيرُ مستعملٍ خارج الاختبارات؛ لكنَّ هذا سلوكٌ مقرَّرٌ ومعلَّلٌ في الكود («تُبلَّغ ولا تُمنع» · وabsent لغياب شاشةٍ تُقاس بها) فهو نقصُ عمقٍ في ضابطٍ لا أثرٌ ماليٌّ غيرُ مأذون.</t>
  </si>
  <si>
    <t xml:space="preserve">INJ-0252</t>
  </si>
  <si>
    <t xml:space="preserve">TABLE 46 (مفتاحُ منع التكرار) · ▐ ٨-٤ · CORE AR-04</t>
  </si>
  <si>
    <t xml:space="preserve">شاشات الحوكمة الاثنتان والأربعون (CMP-03)</t>
  </si>
  <si>
    <t xml:space="preserve">«الحارسُ في الخادمِ + مفتاحُ منع التكرار — لكلِّ فعلٍ من أفعال كتابة المجال (34 فعلًا)» و«كلُّ فعلٍ ذي أثرٍ يحمل مفتاحًا مركَّبًا لا يتكرر … وإعادةُ النداء ترجع مرجعَ الأثر الأول ولا تولّد ثانيًا» (AR-04).</t>
  </si>
  <si>
    <t xml:space="preserve">cmp03_store_insert تبني INSERT مباشرًا بلا أيِّ مفتاحِ منعِ تكرارٍ ولا فحصِ وجودٍ مسبق، فإعادةُ إرسال النموذج (زرُّ التحديث بعد POST أو نافذةٌ ثانية) تُنشئ صفًّا مطابقًا جديدًا في اثنتين وأربعين شاشة منها عشرُ شاشاتِ حوكمة. والعمودُ المعروض «مفتاح منع التكرار» يُشتقّ من المعرّف بعد الإدراج (CMP03-&lt;id&gt;) فهو نتيجةٌ لا مفتاح. ورمزُ CSRF في النظام صالحٌ طوالَ الجلسة ولا يُستهلك فلا يمنع الإعادة.</t>
  </si>
  <si>
    <t xml:space="preserve">سجلاتُ الحوكمة قابلةٌ للتكرار الصامت: منحُ استثناءٍ أو كسرُ زجاجٍ أو تصنيفُ حمايةٍ يظهر مرتين بلا تمييزٍ بين الأصل والمكرر، وتفسدُ العدّاداتُ والتقارير المبنيةُ عليها.</t>
  </si>
  <si>
    <t xml:space="preserve">مولّد CMP-03 لم يُدخل مفهومَ المفتاح المركَّب، والعمودُ المعروض عولج عرضًا لا إنفاذًا (includes/gov_columns.php يعلن أنه يعرض «—» حتى يُربط بمصدر).</t>
  </si>
  <si>
    <t xml:space="preserve">includes/cmp03_local_store.php:31; :55; :60; includes/gov_columns.php:13; :38; includes/security.php:233</t>
  </si>
  <si>
    <t xml:space="preserve">١) افتح أيَّ شاشة CMP-03 حوكمية. ٢) أضف صفًّا واحفظ. ٣) اضغط زرَّ الرجوع ثم أعد الإرسال (أو أرسل نفسَ POST مرتين بأداةٍ خارجية). ٤) يظهر صفّان متطابقان.</t>
  </si>
  <si>
    <t xml:space="preserve">إضافةُ وسيطِ idempotency_key إلى cmp03_store_insert يُحسب من (company_id + canonical + تجزئة payload + user_id + دقيقة) مع فهرسٍ فريدٍ عليه في جداول scr_*، وإرجاعُ معرّف الصف الأول عند التكرار بدل الإدراج، وجعلُ رمز CSRF مستهلَكًا لمرةٍ واحدة في النماذج الكاتبة.</t>
  </si>
  <si>
    <t xml:space="preserve">إرسالُ نفسِ النموذج مرتين يُنتج صفًّا واحدًا ويعيد مرجعَ الأثر الأول؛ واستعلامُ الصفوف المتطابقة في جداول scr_* يُرجع صفرًا.</t>
  </si>
  <si>
    <t xml:space="preserve">تحقّقت: `cmp03_store_insert` يبني INSERT مباشرًا بلا مفتاحِ عطالةٍ ولا فحصِ وجود، و«مفتاح منع التكرار» عمودُ عرضٍ مشتقٌّ بعد الإدراج، و`verify_csrf_token` يطابق رمزًا جلسيًّا لا يُستهلك.</t>
  </si>
  <si>
    <t xml:space="preserve">INJ-0253</t>
  </si>
  <si>
    <t xml:space="preserve">▐ ١١-١١ الوصولُ الرقمي · IAM-018 · «كلُّ فعلٍ يُسجَّل»</t>
  </si>
  <si>
    <t xml:space="preserve">المراسلات — البث الجماعي</t>
  </si>
  <si>
    <t xml:space="preserve">http://localhost/ems/chats/send_broadcast.php</t>
  </si>
  <si>
    <t xml:space="preserve">الفعلُ الحسّاس يُقيَّد في سجل التدقيق بفاعله ووقته ونتيجته (UXP-092-ب)، والحارسُ في الخادم يمنع من لا يملك.</t>
  </si>
  <si>
    <t xml:space="preserve">اسمُ الملف لا يطابق نمطَ `^(get_.*|.*_handler)\.php$` في `config.php:391` فلا يمرّ بحارسِ AJAX ولا بـaction_guard؛ و`/chats/` ليست ضمن `CSRF_ENFORCE_PATHS`. — [مُصحَّح بعد التحقق] الصياغة الأولى: chats/send_broadcast.php يقبل POST من أيِّ مستخدمٍ مصادَقٍ ويرسل رسالةً إلى كلِّ حسابات الشركة النشطة حين لا تُمرَّر قائمةُ مستلمين (الفرع «إرسال للجميع»). لا فحصَ دور، ولا نداءَ check_page_permission</t>
  </si>
  <si>
    <t xml:space="preserve">أيُّ حسابٍ — بما فيه حسابُ مقاولٍ أو مشغّلٍ — يبثّ رسالةً لكلِّ موظفي الشركة باسم النظام. قناةُ تصيّدٍ داخليةٍ مفتوحة، وأداةُ تعطيلٍ بالإغراق، بلا أثرٍ يُحاسَب عليه.</t>
  </si>
  <si>
    <t xml:space="preserve">نقطةُ نهايةٍ بُنيت للوحة الإدارة ولم يُضَف إليها حارسُ دورٍ ولا صلاحية؛ ومجلد chats/ خارج سجل الموديولات.</t>
  </si>
  <si>
    <t xml:space="preserve">chats/send_broadcast.php:10-13; :15-18; :83-100</t>
  </si>
  <si>
    <t xml:space="preserve">١) ادخل بأيِّ حسابٍ عاديّ. ٢) أرسل POST إلى http://localhost/ems/chats/send_broadcast.php بحقل message فقط بلا recipients. ٣) الاستجابة success=true وتصل الرسالةُ إلى كل مستخدمي الشركة.</t>
  </si>
  <si>
    <t xml:space="preserve">إضافةُ فحصِ صلاحيةٍ في رأس chats/send_broadcast.php: حصرُ فرعِ «الإرسال للجميع» في أدوارٍ مالكةٍ بمنحةٍ مسجَّلة (مفتاح chats.broadcast)، وإلزامُ رمز CSRF، وحدُّ معدّلٍ لكل مستخدمٍ في الساعة، ونداءُ ems_audit_change لتسجيل البثِّ بعدد المستلمين.</t>
  </si>
  <si>
    <t xml:space="preserve">حسابٌ بلا مفتاح chats.broadcast يُرفض 403 عند البثِّ للجميع ويُسجَّل الرفض؛ والبثُّ الناجح يُنتج صفًّا في سجل التدقيق فيه عددُ المستلمين.</t>
  </si>
  <si>
    <t xml:space="preserve">الملفُّ يقبل POST من أيِّ مستخدمٍ مصادَقٍ ويبثُّ لكلِّ حسابات الشركة (:84-100) بلا فحصِ دورٍ ولا CSRF ولا تدقيق؛ ولا يلتقطه أيُّ حارسٍ مركزي.</t>
  </si>
  <si>
    <t xml:space="preserve">INJ-0254</t>
  </si>
  <si>
    <t xml:space="preserve">▐ ١١-٣ الشاشاتُ والمناظرُ والعرض · ▐ ٧-٢ أثرُ كلِّ فعلٍ وما يُكتب</t>
  </si>
  <si>
    <t xml:space="preserve">دورة المراجعة الدورية للصلاحيات</t>
  </si>
  <si>
    <t xml:space="preserve">http://localhost/ems/Governance/access_review.php</t>
  </si>
  <si>
    <t xml:space="preserve">سادسًا: التدقيق والمراجعة</t>
  </si>
  <si>
    <t xml:space="preserve">دورةُ المراجعة الدورية تُغلق بقرارٍ («review.close») وأثرُها سحبُ ما لم يُؤكَّد — لا تسجيلُ نصٍّ عنها.</t>
  </si>
  <si>
    <t xml:space="preserve">14 حقلَ نصٍّ + حقلا تاريخٍ + منتقي حالة، والحفظُ في الجدول الأصلي scr_access_review (cmp03_registry:348-350) — والناقصُ هو القرارُ والأثرُ والتدقيق. — [مُصحَّح بعد التحقق] الصياغة الأولى: الشاشة نموذجُ CMP-03 عامّ: نموذجُ إضافةٍ حقولُه كلُّها نصٌّ حرّ (input type=text) يُحفظ صفًّا واحدًا في جدولِ عرضٍ عبر cmp03_store_insert، وجدولُ عرضٍ بخلايا نصٍّ بلا عمود إجراءات. لا تعديلَ ولا حذفَ </t>
  </si>
  <si>
    <t xml:space="preserve">المراجعةُ الدوريةُ للصلاحيات — الضابطُ الذي يكشف الصلاحياتِ المتراكمة — إعلانٌ نصيّ: لا تولّد قائمةَ مراجعةٍ من role_permissions ولا تسحب صلاحيةً غيرَ مؤكَّدة ولا تُغلق دورة.</t>
  </si>
  <si>
    <t xml:space="preserve">الشاشة وُلدت من مولّد CMP-03 لتغطية أعمدة المستند شكلًا (الموجة ٢) بانتظار «مهمة اللحاق» الموثقة في docs/CMP03_FOLLOWUP_SOURCES_ar.md، ولم تُوصَل بمصدرها الحقيقي.</t>
  </si>
  <si>
    <t xml:space="preserve">Governance/access_review.php:101; includes/cmp03_local_store.php:31; :55; docs/CMP03_FOLLOWUP_SOURCES_ar.md</t>
  </si>
  <si>
    <t xml:space="preserve">١) ادخل بدور 15 وافتح الشاشة. ٢) اضغط «إضافة» واملأ الحقول واحفظ. ٣) يظهر الصفُّ في الجدول. ٤) ابحث عن زرِّ تعديلٍ أو حذفٍ أو اعتماد في الصف ⇐ لا يوجد. ٥) تحقّق من أثرِ الصفِّ على سلوك النظام ⇐ صفر.</t>
  </si>
  <si>
    <t xml:space="preserve">ربطُ Governance/access_review.php بـapp/Services/Security/PermissionReviewService (المستعمَلة فعلًا في admin/sec_governance.php) لتوليد دورةِ مراجعةٍ من role_permissions، وإضافةُ فعلَي «تأكيد» و«سحب» لكل سطر، وفعلِ «إغلاق الدورة» الذي يسحب غيرَ المؤكَّد آليًّا.</t>
  </si>
  <si>
    <t xml:space="preserve">الشاشة تكتب في جدولها الحقيقي وتُغيّر سلوكَ الطبقة المعنية فورًا، وتحمل أفعالَ التعديل والاعتماد والعكس، وتُنتج صفَّ تدقيقٍ بقيم قبل/بعد.</t>
  </si>
  <si>
    <t xml:space="preserve">الجوهرُ قائم: لا فعلَ إغلاقِ دورةٍ ولا سحبَ غيرِ المؤكَّد ولا تدقيق (صفر ems_audit_change) وPermissionReviewService غيرُ موصولةٍ بالشاشة. لكن «كلُّ الحقول نصٌّ حرّ» و«جدولُ عرض» غيرُ دقيقين: الشاشةُ تحمل حقلَي تاريخٍ ومنتقيَ حالةٍ وتكتب في جدولٍ حقيقيٍّ scr_access_review عبر خريطةِ أعمدة.</t>
  </si>
  <si>
    <t xml:space="preserve">INJ-0255</t>
  </si>
  <si>
    <t xml:space="preserve">سجل الأسماء المعتمدة</t>
  </si>
  <si>
    <t xml:space="preserve">http://localhost/ems/Governance/canonical_names.php</t>
  </si>
  <si>
    <t xml:space="preserve">فعلُ name.merge يوحّد اسمين لكيانٍ واحدٍ فينعكس على كل السجلات المرتبطة، وينشر حدثَه.</t>
  </si>
  <si>
    <t xml:space="preserve">الشاشة نموذجُ CMP-03 عامّ: نموذجُ إضافةٍ حقولُه كلُّها نصٌّ حرّ (input type=text) يُحفظ صفًّا واحدًا في جدولِ عرضٍ عبر cmp03_store_insert، وجدولُ عرضٍ بخلايا نصٍّ بلا عمود إجراءات. لا تعديلَ ولا حذفَ ولا اعتمادَ ولا حدثَ ولا سجلَّ تدقيق، ولا يقرأ منها أيُّ حارسٍ أو خدمةٍ في النظام. </t>
  </si>
  <si>
    <t xml:space="preserve">الأسماءُ المعتمدة قائمةُ نصوصٍ لا مرجعٌ يُلزم أحدًا: لا دمجَ ولا انعكاسَ على legal_entities ولا حدث، فيبقى تعدّدُ تسميةِ الكيان الواحد قائمًا في بقية النظام.</t>
  </si>
  <si>
    <t xml:space="preserve">Governance/canonical_names.php:95; :134; includes/cmp03_local_store.php:31; :55</t>
  </si>
  <si>
    <t xml:space="preserve">ربطُ الشاشة بجدول legal_entities مصدرًا للحقيقة، وإضافةُ فعلِ «دمج» ينفّذ تحديثًا مرجعيًّا وينشر NameMerged، وتحويلُ حقلِ «الكيان» من نصٍّ حرٍّ إلى قائمةِ اختيارٍ من legal_entities.</t>
  </si>
  <si>
    <t xml:space="preserve">الشاشةُ نموذجُ CMP-03: إدراجُ صفٍّ واحدٍ عبر cmp03_store_insert (السطر 95) بحقولٍ نصيةٍ حرة، بلا تعديلٍ ولا حذفٍ ولا اعتمادٍ ولا حدثٍ ولا سجلِّ تدقيق، ولا يقرأ منها حارسٌ — والكتابةُ تقع قبل include insidebar (السطر 134) فهي بلا حارسِ صلاحيةٍ للفعل.</t>
  </si>
  <si>
    <t xml:space="preserve">INJ-0256</t>
  </si>
  <si>
    <t xml:space="preserve">حسابات بوابة الأطراف الخارجية</t>
  </si>
  <si>
    <t xml:space="preserve">http://localhost/ems/Governance/portal_users.php</t>
  </si>
  <si>
    <t xml:space="preserve">فعلُ prt.create يُنشئ حسابَ طرفٍ خارجيٍّ بنطاقه ومكوّناتِ بوابته، وأثرُه ظهورُ مكوّناتٍ محددةٍ لذلك الطرف.</t>
  </si>
  <si>
    <t xml:space="preserve">حساباتُ الأطراف الخارجية (موردون · عملاء) تُسجَّل نصًّا ولا تُنشئ حسابًا فعليًّا ولا تُقيَّد بمكوّنات بوابة. الشاشةُ لا تخدم غرضَها والحساباتُ تُنشأ فعليًّا من مسارٍ آخر بلا حوكمة.</t>
  </si>
  <si>
    <t xml:space="preserve">Governance/portal_users.php:96; :103; includes/cmp03_local_store.php:31; :55; includes/cmp03_registry.php:658-660</t>
  </si>
  <si>
    <t xml:space="preserve">ربطُ الشاشة بجدول المستخدمين وبـapp/Services/Portal/SupplierPortalGuard لتنشئ حسابًا حقيقيًّا بنطاقٍ ومكوّناتِ بوابةٍ محددة، وإضافةُ فعلَي التعطيل وإعادة التعيين.</t>
  </si>
  <si>
    <t xml:space="preserve">تحقّقت: الشاشةُ نموذجُ CMP-03 بحقولِ نصٍّ حر تُحفظ في `scr_portal_users` عبر cmp03_store_insert بلا تعديلٍ ولا حذفٍ ولا اعتمادٍ ولا حدث، ولا يقرأ الجدولَ أيُّ حارسٍ أو خدمة.</t>
  </si>
  <si>
    <t xml:space="preserve">INJ-0257</t>
  </si>
  <si>
    <t xml:space="preserve">▐ ٨-٤ TABLE 46 · سجلُّ الأفعالِ بالتدقيق الثماني (الورقة ٠٧)</t>
  </si>
  <si>
    <t xml:space="preserve">سجل مفاتيح الصلاحيات</t>
  </si>
  <si>
    <t xml:space="preserve">لكلِّ فعلٍ مفتاحُ صلاحيةٍ مسمّى (glass.break · exception.grant · audit.read · audit.export · role.template · vis.publish · perm.trace · sod.enforce …) يُسجَّل في سجلٍّ واحدٍ ويُفحص قبل التنفيذ.</t>
  </si>
  <si>
    <t xml:space="preserve">طبقةُ المفاتيح المسمّاة مستعملةٌ في خدماتٍ حية (PermissionResolver · SegregationOfDutiesGuard · BreakGlassService · PermissionChangeWorkflow) وإن لم تكن هي المانعةَ في الشاشات؛ والحالُ قرارُ مالكٍ مؤجَّلٌ موثَّقٌ لا سهو. — [مُصحَّح بعد التحقق] الصياغة الأولى: لا سجلَّ مفاتيحَ مسمّاةً في النظام: الصلاحيةُ زوجُ (دور × موديول) بأربع رايات view/add/edit/delete على جدول modules. المفاتيحُ المسمّاة في M-14 إما غائبةٌ كليًّا (٢١ مفتاحًا منها role.template · vis.p</t>
  </si>
  <si>
    <t xml:space="preserve">«الفعل» ليس وحدةَ حراسةٍ في النظام؛ الحراسةُ على مستوى الشاشة كاملةً. فلا يمكن منحُ «قراءةِ سجلِّ التدقيق» دون «تصديره»، ولا منعُ «منحِ استثناء» مع السماح بـ«طلبه» — وهو ما تفترضه M-14 في كل جداولها.</t>
  </si>
  <si>
    <t xml:space="preserve">نموذجان للصلاحيات في المخطط: القديمُ (modules × role_permissions) هو المستعمل، والجديدُ (effective_permissions × actions) مبنيٌّ وغيرُ موصول.</t>
  </si>
  <si>
    <t xml:space="preserve">includes/perm_explain_live.php:9-13; includes/action_guard.php:39; app/Services/Security/PermissionResolver.php:193-195; app/Services/Security/SegregationOfDutiesGuard.php:29</t>
  </si>
  <si>
    <t xml:space="preserve">١) افتح Settings/role_permissions.php ⇐ الشبكةُ أدوارٌ × شاشات بأربع رايات، لا مفاتيحَ مسمّاة. ٢) ابحث في الشبكة عن مفتاح audit.export أو exception.grant ⇐ لا وجود له.</t>
  </si>
  <si>
    <t xml:space="preserve">إمّا تفعيلُ المحرّك الثاني: ملءُ actions.action_code بمفاتيح M-14 الأربعين وربطُ effective_permissions بمسارِ الفحص في includes/action_guard.php، أو تسجيلُ كل فعلٍ حاكمٍ كموديولٍ فرعيٍّ في modules ليقبل منحًا مستقلًّا. القرارُ للمالك، والتنفيذُ في طبقةٍ واحدة.</t>
  </si>
  <si>
    <t xml:space="preserve">منحُ دورٍ مفتاحَ audit.read دون audit.export يجعله يفتح سجلَّ التدقيق ويُرفض تصديرُه 403 مع تسجيل الرفض.</t>
  </si>
  <si>
    <t xml:space="preserve">الإنفاذُ الحيُّ فعلًا على modules × role_permissions لا على مفاتيحَ مسمّاة، وهو مُقرٌّ به في الكود نفسِه (includes/perm_explain_live.php:9-13: «effective_permissions = 3 صفوف … محجوبٌ بـDEC-SEC-K — قرار المالك 2026-08-06»)؛ لكنّ «لا تستعمله أيُّ شاشة» مبالغة.</t>
  </si>
  <si>
    <t xml:space="preserve">INJ-0258</t>
  </si>
  <si>
    <t xml:space="preserve">▐ ٩-٤ TABLE 53 (سجلُّ الرفض) · UXP-092-ج «والرفض يُسجَّل كما القبول»</t>
  </si>
  <si>
    <t xml:space="preserve">المحاولات الممنوعة</t>
  </si>
  <si>
    <t xml:space="preserve">http://localhost/ems/Governance/guard_denials.php</t>
  </si>
  <si>
    <t xml:space="preserve">«سجلُّ الرفض | المستخدمُ · الفعلُ · رمزُ الرفضِ · السبب | كلُّ محاولةٍ يرفضها الحارس» — والرفضُ يُسجَّل كما القبول.</t>
  </si>
  <si>
    <t xml:space="preserve">الشاشة حقيقيةٌ وتقرأ guard_denials وaction_execution_log وتحسب التكرار — لكن مصادرَ الكتابة محدودةٌ في سبعة مواضعَ خدميةٍ فقط (SelfGrantGuard · ExceptionService · GuardResolver · PermitGate · OrgAuthorityResolver · BreakGlassService · config.php). ولا تكتب فيه شاشاتُ الحجب بـems_gov_flash_redirect (وهي أكثرُ مواضع المنع في النظام: Governance/*.php · Maintenance/orders.php · Tickets/admin_close.php · Tickets/intake_classify.php وغيرها) فتُرفض المحاولةُ بإعادةِ توجيهٍ صامتةٍ بلا صفِّ رفض.</t>
  </si>
  <si>
    <t xml:space="preserve">«المحاولات الممنوعة» تعرض شريحةً صغيرةً من المنع الحقيقي، فيبدو النظامُ هادئًا بينما تُرفض محاولاتٌ يوميًّا بلا أثر. مؤشرُ «المنعُ المتكرر ثلاثًا فأكثر» — أداةُ كشفِ محاولةِ التصعيد — أعمى.</t>
  </si>
  <si>
    <t xml:space="preserve">دالةُ إعادة التوجيه ems_gov_flash_redirect بُنيت لعرض الرسالة ولم تُلحق بكتابةِ صفِّ رفض، فصار المسارُ الأكثرُ شيوعًا للمنع هو المسارَ غيرَ المسجَّل.</t>
  </si>
  <si>
    <t xml:space="preserve">Governance/guard_denials.php:30-38; :40-45; app/Services/Security/SelfGrantGuard.php:43; app/Services/Governance/GuardResolver.php:80; includes/permissions_helper.php:138-151</t>
  </si>
  <si>
    <t xml:space="preserve">١) ادخل بدورٍ بلا صلاحيةٍ وافتح Maintenance/orders.php ⇐ إعادةُ توجيهٍ برسالة. ٢) افتح Governance/guard_denials.php بدور 15 ⇐ لا صفَّ للمحاولة.</t>
  </si>
  <si>
    <t xml:space="preserve">تعديلُ ems_gov_flash_redirect (في includes/) لتكتب صفًّا في guard_denials بـ(company_id · guard_code من رمز الرسالة GOV-PERM-403 · person_id · attempted_ref = مسارُ الشاشة · reason_code) قبل إعادة التوجيه — فيغطّى كلُّ منعٍ في النظام بموضعٍ واحد.</t>
  </si>
  <si>
    <t xml:space="preserve">كلُّ إعادةِ توجيهٍ برمز GOV-PERM-403 أو GOV-ACT-403 تُنتج صفًّا في guard_denials يظهر في «المحاولات الممنوعة» خلال ثوانٍ.</t>
  </si>
  <si>
    <t xml:space="preserve">كتّابُ guard_denials محصورون في ستِّ خدماتٍ (SelfGrantGuard:43 · ExceptionService:66 · GuardResolver:80 · PermitGate:293 · OrgAuthorityResolver:159 · BreakGlassService:40)، وems_gov_flash_redirect (أكثرُ مواضع المنع) لا يكتب إلا فلاش الجلسة — فالرفضُ الشاشيُّ غيرُ مسجَّل؛ لكنّ الشاشةَ تعوّض جزئيًّا بقراءة action_execution_log.</t>
  </si>
  <si>
    <t xml:space="preserve">INJ-0259</t>
  </si>
  <si>
    <t xml:space="preserve">GOVX-0994-أ · ▐ ١١-١٢ «العنصرُ المحجوبُ لا يُرسَل في الاستجابةِ أصلًا ولا يُصيَّر»</t>
  </si>
  <si>
    <t xml:space="preserve">شاشات الحوكمة — حجب المحجوب</t>
  </si>
  <si>
    <t xml:space="preserve">«العنصرُ المحجوبُ في شاشاتِ الحوكمة والالتزام لا يُرسَل في الاستجابةِ أصلًا ولا يُصيَّر · والمجموعةُ التي فرغت لا تُعرض» — واختبارُ الحجب: «المحجوبُ لا يُصيَّر ولا يُقبل نداؤه في الخادم».</t>
  </si>
  <si>
    <t xml:space="preserve">`Governance/ownership_grants.php:19-21` يستعمل `OwnershipDomainGuard` (حجبٌ عنصريٌّ بسجلِّ اطّلاع)؛ و`Governance/sensitive_fields.php` نفسُها شاشةُ CMP-03 بلا إنفاذ — فالحجبُ العنصريُّ موجودٌ في مسارِ الملكيةِ وحدَه. — [مُصحَّح بعد التحقق] الصياغة الأولى: الحجبُ في شاشات الحوكمة كلُّه على مستوى الشاشة لا على مستوى العنصر: من يملك can_view يرى كلَّ أعمدة الجدول وكلَّ صفوف الشركة. لا آليةَ حجبِ عمودٍ ولا حجبِ فعلٍ في أيِّ شاشةِ حوكمة؛ ونموذجُ الصلاحيات (</t>
  </si>
  <si>
    <t xml:space="preserve">«الأفعالُ المحجوبة» — أحدُ الأحكام الأربعة لكل ظهورٍ في مصفوفة العرض (النطاق · الزاوية · المسموح · المحجوب) — غيرُ منفَّذٍ في أيِّ شاشة. فالعارضُ الذي يجب أن يرى دون أن يفعل يستطيع الفعلَ بنداءٍ مباشر.</t>
  </si>
  <si>
    <t xml:space="preserve">مصفوفةُ العرض بأحكامها الأربعة لم تُترجَم إلى نموذج بيانات؛ الترجمةُ اقتصرت على راياتٍ أربعٍ لا تعبّر عن الزاوية ولا عن المحجوب.</t>
  </si>
  <si>
    <t xml:space="preserve">database/schema/schema.sql:9050-9060; includes/permissions_helper.php:618-629; Governance/sensitive_fields.php:33-40</t>
  </si>
  <si>
    <t xml:space="preserve">١) امنح دورًا can_view على شاشةِ حوكمةٍ بلا can_edit. ٢) افتحها ⇐ كلُّ الأعمدة ظاهرة. ٣) أرسل POST مباشرًا إلى نفس الشاشة ⇐ في الشاشات التي تفحص can_add يُرفض، وفي الخمس التي لا تفحص يُقبل.</t>
  </si>
  <si>
    <t xml:space="preserve">توسيعُ نموذج الظهور: إضافةُ جدولِ visibility_keys يحمل (دور × شاشة × أعمدةٌ معروضة × أفعالٌ مسموحة × أفعالٌ محجوبة × نطاق × زاوية) وقراءتُه في طبقةٍ مشتركةٍ تُستدعى قبل التصيير لحذفِ الأعمدة المحجوبة من الاستجابة، وقبل قبول أيِّ POST لرفضِ الفعل المحجوب.</t>
  </si>
  <si>
    <t xml:space="preserve">دورٌ عارضٌ لا يجد العمودَ المحجوبَ في مصدر صفحة HTML أصلًا (لا مخفيًّا بـCSS)، ويُرفض نداؤه المباشر للفعل المحجوب برمزٍ ويُسجَّل.</t>
  </si>
  <si>
    <t xml:space="preserve">صحيحٌ أن نموذجَ الصلاحيات (view/add/edit/delete على الشاشة) بلا مفهومِ «المحجوب» وأن شاشاتِ الحوكمة بلا حجبٍ عمودي؛ لكن «لا آليةَ في أيِّ شاشةِ حوكمة» مبالغةٌ.</t>
  </si>
  <si>
    <t xml:space="preserve">INJ-0260</t>
  </si>
  <si>
    <t xml:space="preserve">IAM-018-أ · ▐ ١١-١١ الوصولُ الرقمي · «يراه صاحبه والمدقّق والموارد البشرية»</t>
  </si>
  <si>
    <t xml:space="preserve">حسابات المستخدمين</t>
  </si>
  <si>
    <t xml:space="preserve">http://localhost/ems/main/users.php</t>
  </si>
  <si>
    <t xml:space="preserve">«سجل النشاط: آخر دخول وأجهزته · العمليات والطلبات والاعتمادات والتعديلات · يراه صاحبه والمدقّق والموارد البشرية، ولا يُعدَّل ولا يُحذف» — وشاشةُ الحسابات من شاشات الحوكمة بـ٢٢ عمودًا وفيها عمودُ «سجل الاطّلاع» (TABLE 36).</t>
  </si>
  <si>
    <t xml:space="preserve">الشاشةُ تعرض عمودَ «سجل الاطّلاع» (data-gov="view_log") في السطر 637 وتسجّل ROLE_ESCALATION_BLOCKED في السطر 301؛ الناقصُ فعلًا قيمُ قبل/بعد عند إنشاء الحساب وتغيير دوره. — [مُصحَّح بعد التحقق] الصياغة الأولى: main/users.php من الشاشات التي لا تكتب سجلَّ تدقيقٍ إطلاقًا (لا نداءَ ems_audit_change)، فإنشاءُ حسابٍ أو تغييرُ دورِه أو تعطيلُه يقع بلا قيمِ قبل/بعد. ولا عمودَ «سجل الاطّلاع» في الشاشة ولا منفذَ لسج</t>
  </si>
  <si>
    <t xml:space="preserve">أخطرُ فعلٍ في نموذج الصلاحيات — تغييرُ دورِ حساب — يقع بلا أثرٍ يبيّن الدورَ السابقَ والدورَ الجديد. تصعيدُ امتيازٍ عبر تعديلِ حسابٍ لا يمكن كشفُه بعد وقوعه.</t>
  </si>
  <si>
    <t xml:space="preserve">الشاشة موروثةٌ من قبل بناء موصل التدقيق ولم تُلحق به رغم أنها من أوائل ما يجب تغطيتُه.</t>
  </si>
  <si>
    <t xml:space="preserve">main/users.php:301; :379; :412; :637; includes/audit_trail.php:22</t>
  </si>
  <si>
    <t xml:space="preserve">١) بدور 15 غيّر دورَ حسابٍ من 13 إلى 1. ٢) استعلم activity_logs عن صفٍّ فيه old_value يحوي الدورَ السابق ⇐ لا صفَّ.</t>
  </si>
  <si>
    <t xml:space="preserve">إضافةُ نداءَي ems_audit_change في معالج الحفظ في main/users.php: واحدٌ قبل الكتابة يلتقط الصفَّ القديم وآخرُ بعدها بالقيم الجديدة، بمجالٍ 'permissions' وفعلٍ 'user.update'، مع إضافة عمود «سجل الاطّلاع» ورابطٍ إلى سجل نشاط المستخدم من بطاقته.</t>
  </si>
  <si>
    <t xml:space="preserve">تغييرُ دورِ حسابٍ يُنتج صفًّا في activity_logs فيه الدورُ قبل والدورُ بعد واسمُ الفاعل ووقتُه؛ وشاشةُ الحسابات تعرض عمود «سجل الاطّلاع» لكل صف.</t>
  </si>
  <si>
    <t xml:space="preserve">غيابُ ems_audit_change في main/users.php صحيحٌ (صفرُ نداء)، لكنَّ ادعاءَ «ولا عمودَ سجل الاطّلاع في الشاشة» مكذوبٌ بالسطر 637.</t>
  </si>
  <si>
    <t xml:space="preserve">INJ-0261</t>
  </si>
  <si>
    <t xml:space="preserve">BR-GOV-01 · مطابقةُ الشاشةِ بمسارها</t>
  </si>
  <si>
    <t xml:space="preserve">لكلِّ شاشةٍ رمزُها في سجلِّ الشاشات، والصلاحيةُ تُقرأ برمزِ الشاشةِ نفسِه لا بتشابهِ أسماءِ الملفات.</t>
  </si>
  <si>
    <t xml:space="preserve">النمطُ الفضفاضُ باقٍ في get_page_permissions وحدَها. — [مُصحَّح بعد التحقق] الصياغة الأولى: مطابقةُ الشاشةِ في `includes/permissions_helper.php` تستعمل أنماطَ LIKE فضفاضة: `$pattern_end = '%/' . $basename;` و`$pattern_any = '%' . $basename . '%';` (`:901-904`)، وكذلك `$pattern1 = '%/' . $bas</t>
  </si>
  <si>
    <t xml:space="preserve">صلاحيةُ شاشةٍ قد تُقرأ من مودولِ شاشةٍ أخرى تحمل الاسمَ نفسَه في مجلدٍ مختلف — فيُمنح أو يُمنع المستخدمُ خطأً. والمستودعُ يحوي أسماءً متكررةً فعلًا (`my_requests.php`, `orders.php`, `index.php`).</t>
  </si>
  <si>
    <t xml:space="preserve">بُنيت المطابقةُ لتتسامح مع اختلافِ مسارِ التنفيذِ بين البيئات، فتحوَّلت إلى مطابقةٍ باسمِ الملفِّ وحدَه.</t>
  </si>
  <si>
    <t xml:space="preserve">includes/permissions_helper.php:583-596 (الترتيبُ التام)؛ :901-904 (النمطُ الفضفاضُ الباقي)</t>
  </si>
  <si>
    <t xml:space="preserve">١) استعلم `SELECT id, code FROM modules WHERE code LIKE '%my_requests.php'` → صفّان (115 و249).
٢) افتح `Portal/my_requests.php` بدورٍ ممنوحٍ على 115 فقط: قد تُقرأ صلاحيةُ المودولِ الخاطئ.</t>
  </si>
  <si>
    <t xml:space="preserve">اجعل المطابقةَ بالمسارِ النسبيِّ الكاملِ مساواةً (`m.code = ?`) وأزِل نمطَي `%basename%`؛ وحيث لزم توحيدُ المسارِ استعمِل `includes/portable_paths.php` لاشتقاقِ المسارِ النسبيِّ من جذرِ التطبيقِ قبل المطابقة.</t>
  </si>
  <si>
    <t xml:space="preserve">اختبارٌ يمرُّ على كلِّ زوجٍ من المودولاتِ باسمِ ملفٍّ متكرر: كلُّ شاشةٍ تُرجع `id` مودولِها الصحيحِ حصرًا.</t>
  </si>
  <si>
    <t xml:space="preserve">نصفُ الادعاء ساقط: get_module_id_by_script_path (المستعمَلُ في حارس العرض المركزي) لا يحوي '%basename%' إطلاقًا ويرتّب بـ(code = ?) DESC فيغلب المسارُ التام الذيلَ — وحالةُ my_requests.php المذكورةُ موثقةٌ ومعالَجةٌ في تعليقه. الصحيحُ الباقي أن get_page_permissions (:901-904) ما زالت تستعمل النمطَ الفضفاضَ بلا تفضيلِ المطابقةِ التامة، ولها أربعةُ مستدعين.</t>
  </si>
  <si>
    <t xml:space="preserve">INJ-0262</t>
  </si>
  <si>
    <t xml:space="preserve">TABLE 46 · الحارسُ والتدقيقُ · CORE AR-05</t>
  </si>
  <si>
    <t xml:space="preserve">حارس الحقول الحساسة (SensitiveFieldGuard)</t>
  </si>
  <si>
    <t xml:space="preserve">«سجلُّ تدقيقٍ لكل فعلٍ وسجلُّ اطّلاعٍ لكل حساس» — والحارسُ يُستدعى في كلِّ موضعِ تصييرٍ لحقلٍ حساس.</t>
  </si>
  <si>
    <t xml:space="preserve">سجلُّ الاطّلاعِ مستعملٌ في أربعةِ مساراتٍ إنتاجيةٍ لا في التصدير وحدَه. — [مُصحَّح بعد التحقق] الصياغة الأولى: `app/Services/Security/SensitiveFieldGuard` مبنيٌّ ويكتب `sensitive_read_log` (`:103`)، والقناةُ المختصرةُ `includes/sensitive_read_log.php:17` موجودةٌ أيضًا — والمستدعي الفعليُّ الوحيدُ المحقَّقُ هو </t>
  </si>
  <si>
    <t xml:space="preserve">سجلُّ الاطّلاعِ الحساسِ ناقصٌ بنيويًّا: ما يُصدَّر يُسجَّل وما يُقرأ على الشاشةِ لا يُسجَّل — فالسجلُّ يعطي صورةً جزئيةً مضلِّلةً عن من رأى ماذا.</t>
  </si>
  <si>
    <t xml:space="preserve">تُرك تبنّي الحارسِ لكلِّ شاشةٍ على حدةٍ بلا مسارٍ إلزاميٍّ في طبقةِ التصيير.</t>
  </si>
  <si>
    <t xml:space="preserve">app/Services/Security/SensitiveFieldGuard.php:103; includes/sensitive_read_log.php:17; excel.php:87; :93; Risk/risk_register.php:149; Risk/risk_card.php:89; includes/u13_screen_kit.php:335</t>
  </si>
  <si>
    <t xml:space="preserve">١) `grep -rn 'SensitiveFieldGuard\|ems_log_sensitive_read' --include=*.php . | grep -v 'app/Services/Security\|includes/sensitive_read_log'` → مسارُ التصديرِ فقط.
٢) افتح شاشةً تعرض حقلًا مصنَّفًا حساسًا: القيمةُ تظهر ولا يُكتب صفُّ اطّلاع.</t>
  </si>
  <si>
    <t xml:space="preserve">اجعل الحارسَ إلزاميًّا في طبقةِ التصيير: في `includes/u13_screen_kit.php` (السطر 335 حيث يُعلَم العمودُ الحساس) نادِ `SensitiveFieldGuard::canRead` قبل طباعةِ القيمةِ و`ems_log_sensitive_read` بعدها؛ وأضِف الدالتين إلى أطُرِ الجداولِ الأخرى؛ وأدرِج فحصَ تبنٍّ في بوابةِ القبول (انظر ملاحظةَ AC-06).</t>
  </si>
  <si>
    <t xml:space="preserve">فتحُ أيِّ شاشةٍ تعرض حقلًا مسجَّلًا في `scr_sensitive_fields` يُنتج صفًّا في `sensitive_read_log`؛ وبدورٍ غيرِ مخوَّلٍ تُطبع `●●●` ولا تظهر القيمةُ في مصدرِ الصفحة.</t>
  </si>
  <si>
    <t xml:space="preserve">الجوهرُ صحيح (SensitiveFieldGuard بلا مستدعٍ إنتاجيٍّ وصفرُ نداءاتٍ في Risk/)، لكن ادعاءَ «المستدعي الفعليُّ الوحيدُ هو excel.php» باطل: ems_log_sensitive_read مستدعاةٌ أيضًا في Workforce/payroll_runs.php:172 وWorkforce/final_settlement.php:113 وEmployees/employee_card.php:175.</t>
  </si>
  <si>
    <t xml:space="preserve">INJ-0263</t>
  </si>
  <si>
    <t xml:space="preserve">AR-02 التكاملُ بالأحداث لا بالنداء · §١٤-٥ «لا إدارةَ تكتب في جداول إدارةٍ أخرى»</t>
  </si>
  <si>
    <t xml:space="preserve">مركز البلاغات — الأثر العابر للإدارات</t>
  </si>
  <si>
    <t xml:space="preserve">http://localhost/ems/app/Services/Tickets/TicketRouter.php</t>
  </si>
  <si>
    <t xml:space="preserve">«تتصل الإداراتُ بأحداثٍ منشورةٍ يستهلكها من يعنيه. ولكل حدثٍ عقدٌ خماسيّ: ما يُكتب · ما يُنشر · من يستهلكه · ما يتغير عنده · كيف يُعكس» — والإداراتُ المتأثرةُ بأفعال المركز خمسَ عشرةَ إدارة.</t>
  </si>
  <si>
    <t xml:space="preserve">الجانبُ الإيجابي مُثبت: المركزُ لا يكتب في جداول غيره (كلُّ كتاباته على ticket_* عدا fin_notifications المشتركة وsensitive_read_log). لكنه في المقابل لا ينشر أيَّ حدثٍ أيضًا: صفرُ نداءٍ لـEventPublisher أو publishFact في Tickets/ وapp/Services/Tickets/. فالانتقالُ إلى الإدارات الخمسَ عشرةَ لا يقع لا بالنداء ولا بالحدث — بل لا يقع أصلًا (عدا إشعارٍ في fin_notifications ومهمةِ عملٍ عبر WorkItemService).</t>
  </si>
  <si>
    <t xml:space="preserve">البلاغُ لا يحرّك شيئًا خارج وحدته: لا أمرَ صيانةٍ ولا إسنادَ توقفٍ ولا إشارةَ خطرٍ ولا أثرَ على جاهزية المعدة. «الأثرُ العابر للإدارات» المعلن في §١٤-٥ غيرُ منفَّذٍ لأيٍّ من الخمسَ عشرةَ إدارة.</t>
  </si>
  <si>
    <t xml:space="preserve">بُنيت الوحدةُ مغلقةً على جداولها (وهو صحيحٌ في شقِّه الأول) ولم يُبنَ الشقُّ الثاني: نشرُ الأحداث للمستهلكين.</t>
  </si>
  <si>
    <t xml:space="preserve">app/Services/Tickets/TicketRouter.php:180; :203; :235; app/Services/Tickets/TicketEffectService.php:59</t>
  </si>
  <si>
    <t xml:space="preserve">١) نفّذ grep -rn "EventPublisher\|publishFact" Tickets/ app/Services/Tickets/ ⇐ صفر نتيجة. ٢) افتح بلاغَ عطلٍ على معدة. ٣) افحص fin_financial_events أو أيَّ ناقلِ أحداث ⇐ لا حدثَ للبلاغ.</t>
  </si>
  <si>
    <t xml:space="preserve">نشرُ حدثين على الأقل عبر App\Core\EventPublisher من TicketRouter::create ومن TicketStateService::closeWorkstream: TicketOpened (يحمل tk_id · type · equipment_id · site_id · priority) وTicketClosed، وبناءُ مستهلكين في وحدتَي الصيانة والمخاطر لهما — فتُغلَق الحلقةُ بالأحداث لا بالنداء.</t>
  </si>
  <si>
    <t xml:space="preserve">فتحُ بلاغٍ ينشر حدثَ TicketOpened بمفتاح منعِ تكرارٍ ومعرّفِ ارتباط، ويستهلكه مستهلكٌ واحدٌ على الأقل يُنتج أثرًا مرئيًّا.</t>
  </si>
  <si>
    <t xml:space="preserve">تحقّقت: صفرُ نداءٍ لـEventPublisher/publishFact في Tickets/ وapp/Services/Tickets/. خفّضتُ الخطورة لأن الأثرَ **يقع فعلًا** بالنداء المباشر (TicketRouter.php:180/203/235 عبر fin_notifications وWorkItemService) — فالخللُ في نمط الانتقال لا في انعدام الأثر.</t>
  </si>
  <si>
    <t xml:space="preserve">INJ-0264</t>
  </si>
  <si>
    <t xml:space="preserve">§١٤-١ «ما لا تملكه: الإصلاحَ · اعتمادَ الإصلاح · إغلاقَ بلاغٍ يمسّ مسؤولية»</t>
  </si>
  <si>
    <t xml:space="preserve">الإغلاق الإداري</t>
  </si>
  <si>
    <t xml:space="preserve">http://localhost/ems/Tickets/admin_close.php</t>
  </si>
  <si>
    <t xml:space="preserve">خامسًا: الإغلاق</t>
  </si>
  <si>
    <t xml:space="preserve">«ما لا تملكه: الإصلاحَ · اعتمادَ الإصلاح · إغلاقَ بلاغٍ يمسّ مسؤولية» — ولا عكسَ بلا مرجع، والمستندُ لا يُحذف بل تُنشأ حركةٌ عاكسة.</t>
  </si>
  <si>
    <t xml:space="preserve">الإغلاقُ الإداري يضع كلَّ مسارات البلاغ في 'admin_closed' ويضع الرأسَ في 'cancelled' بفعلٍ واحد؛ ولا فعلَ عكسٍ في الشاشة (لا زرَّ «إعادة فتح» ولا تراجع). البلاغُ المُلغى إداريًّا بالخطأ لا يمكن إرجاعُه من الواجهة. ولا فحصَ يمنع الإغلاقَ الإداريَّ لبلاغٍ من نوعٍ «يمسّ مسؤولية» (شكوى · سلامة) — الفحصُ الوحيد أنه ليس done/closed.</t>
  </si>
  <si>
    <t xml:space="preserve">مركزُ البلاغات يستطيع إلغاءَ بلاغِ شكوى أو سلامةٍ إداريًّا بسببٍ مكتوب — وهو ما تحظره الوثيقةُ صراحةً («إغلاقَ بلاغٍ يمسّ مسؤولية») — ولا سبيلَ لعكس الفعل. طمسُ بلاغٍ يمسّ مسؤوليةً ممكنٌ ونهائيّ.</t>
  </si>
  <si>
    <t xml:space="preserve">الفحصُ اقتصر على مرحلةِ البلاغ ولم يُبنَ على تصنيف النوع (nature/closure_policy) الذي يحمل هذه الدلالة؛ ولم يُبنَ فعلُ العكس.</t>
  </si>
  <si>
    <t xml:space="preserve">Tickets/admin_close.php:4; :35; :37; :38; app/Services/Tickets/TicketStateService.php:90; :112</t>
  </si>
  <si>
    <t xml:space="preserve">١) بدور 24 افتح الإغلاق الإداري. ٢) اختر بلاغًا نوعُه شكوى (closure_policy = committee أو admin_only) وحالتُه غيرُ منجَزة. ٣) أغلقه إداريًّا ⇐ يُقبل. ٤) ابحث عن زرِّ إعادة فتحٍ ⇐ لا يوجد.</t>
  </si>
  <si>
    <t xml:space="preserve">إضافةُ شرطٍ في Tickets/admin_close.php يمنع الإغلاقَ الإداريَّ لأنواعٍ سياستُها committee أو admin_only أو طبيعتُها emergency، وإضافةُ فعلِ «إلغاء الإغلاق الإداري» يستدعي TicketStateService::reopen وينشئ حركةً عاكسةً في ticket_events تشير إلى الأصل.</t>
  </si>
  <si>
    <t xml:space="preserve">محاولةُ إغلاقٍ إداريٍّ لبلاغِ شكوى أو سلامةٍ تُرفض 403 برسالةٍ تسمّي السياسة؛ والإغلاقُ الإداريُّ الخاطئ يُعكَس بزرٍّ ينتج حركةً مرتبطةً بالأصل.</t>
  </si>
  <si>
    <t xml:space="preserve">الفحصُ الوحيدُ في admin_close.php هو استبعادُ done/closed (السطر 34) بلا مراعاةِ closure_policy؛ وTicketStateService::reopen يقبل 'closed','done_pending' فقط فلا يُعاد فتحُ ما أُغلق إداريًّا. غير أن السببَ المكتوبَ إلزاميٌّ ويُقيَّد صفٌّ في ticket_events، فخُفّضت الخطورة.</t>
  </si>
  <si>
    <t xml:space="preserve">INJ-0265</t>
  </si>
  <si>
    <t xml:space="preserve">§١٤-١ «برجُ مراقبةٍ يوجّه آليًّا ويرصد ولا يُصلح» · §١٤-٣ المرحلة ٤</t>
  </si>
  <si>
    <t xml:space="preserve">مهل البلاغات وتصعيدها</t>
  </si>
  <si>
    <t xml:space="preserve">http://localhost/ems/Tickets/ticket_escalation_config.php</t>
  </si>
  <si>
    <t xml:space="preserve">رابعًا: المتابعة والتصعيد</t>
  </si>
  <si>
    <t xml:space="preserve">المرحلةُ الرابعة «المتابعة والتصعيد» مستندُها «تقرير تأخّر» ومعتمِدُها مركز البلاغات، وشاشتُها ticket_escalate.php بستةَ عشرَ عمودًا.</t>
  </si>
  <si>
    <t xml:space="preserve">الرابطُ في المجموعة الرابعة عنوانُه «مهل البلاغات وتصعيدها» ويقود إلى شاشةِ إعداداتِ قواعدِ التصعيد (ticket_escalation_rules) — وهي مرجعُ ضبطٍ لا شاشةُ متابعةٍ للبلاغات المتأخرة. لا شاشةَ في السايدبار تعرض البلاغاتِ المتجاوزةَ مهلتَها ولا تُنتج «تقرير تأخّر»؛ الشاشةُ التي تفعل ذلك هي Tickets/watchtower.php وهي بلا منفذ.</t>
  </si>
  <si>
    <t xml:space="preserve">المرحلةُ الرابعة — جوهرُ الدور الرقابيِّ للمركز — بلا شاشةِ متابعةٍ في السايدبار؛ فمن يفتح «مهل البلاغات وتصعيدها» يجد جدولَ قواعدَ لا قائمةَ متأخرين، ومستندُ المرحلة («تقرير تأخّر») لا يُنتَج من أيِّ مسارٍ متاح.</t>
  </si>
  <si>
    <t xml:space="preserve">خريطةُ البذرة ربطت شاشةَ المرحلة بأقرب ملفٍّ يحوي escalation في اسمه دون تمييزٍ بين شاشة الإعداد وشاشة المتابعة.</t>
  </si>
  <si>
    <t xml:space="preserve">Tickets/ticket_escalation_config.php:20; :133; Tickets/watchtower.php:33-38; database/schema/seed_reference.sql (nav_items role 24: escalation_config فعّال · watchtower active=0)</t>
  </si>
  <si>
    <t xml:space="preserve">١) ادخل بدور 24. ٢) افتح «رابعًا ← مهل البلاغات وتصعيدها» ⇐ جدولُ قواعد تصعيدٍ للتعديل. ٣) ابحث عن قائمةِ البلاغات المتأخرة أو زرِّ إصدار تقرير تأخّر ⇐ لا شيء.</t>
  </si>
  <si>
    <t xml:space="preserve">وضعُ Tickets/watchtower.php في المرحلة الرابعة بعنوان «متابعة المتأخرين وتقرير التأخّر»، ونقلُ ticket_escalation_config.php إلى «إعدادات البلاغات» بعنوان «قواعد التصعيد».</t>
  </si>
  <si>
    <t xml:space="preserve">مجموعةُ «رابعًا: المتابعة والتصعيد» تفتح شاشةً تعرض البلاغاتِ المتجاوزةَ مهلتَها وتُصدر تقريرَ تأخّرٍ موثَّقًا.</t>
  </si>
  <si>
    <t xml:space="preserve">رابطُ المرحلة الرابعة للدور 24 يقود إلى Tickets/ticket_escalation_config.php وهي شاشةُ ضبطِ قواعدِ ticket_escalation_rules (السطر 133)، وTickets/watchtower.php — شاشةُ تقرير التأخر — صفُّها في مجموعة 99 وactive=0 فلا منفذَ لها.</t>
  </si>
  <si>
    <t xml:space="preserve">INJ-0266</t>
  </si>
  <si>
    <t xml:space="preserve">§١٤-٤ (gov_dept_crp.php — حوكمة مركز البلاغات · 15 عمودًا · فعلان)</t>
  </si>
  <si>
    <t xml:space="preserve">حوكمة مركز البلاغات</t>
  </si>
  <si>
    <t xml:space="preserve">«حوكمة مركز البلاغات» (gov_dept_crp.php) شاشةٌ من شاشات الإدارة الثلاث عشرة بخمسةَ عشرَ عمودًا وفعلين، ومساحةُ «حوكمة إدارتي» تعرض الحقولَ الحساسةَ وسجلَّ الاطّلاع في الإدارة (GOV-0366-أ).</t>
  </si>
  <si>
    <t xml:space="preserve">لا ملفَّ لها في مجلد Tickets/ ولا رابطَ في سايدبار الدور 24. المكوّنُ العامُّ المقابل موجودٌ (includes/dept_gov_space.php) وتستعمله إداراتٌ أخرى عبر ملفاتٍ مثل Governance/gov_dept_gov.php وRisk/gov_dept_rsk.php، لكن لم يُنشأ ملفٌّ لمركز البلاغات.</t>
  </si>
  <si>
    <t xml:space="preserve">مركزُ البلاغات — وهو نفسُه إدارةٌ لها حقولٌ حساسةٌ (private_details) وسجلُّ اطّلاعٍ — بلا مساحةِ حوكمةٍ خاصةٍ به؛ فلا يرى من اطّلع على بلاغاته السرية ولا حالةَ ضوابطه.</t>
  </si>
  <si>
    <t xml:space="preserve">الملفُّ لم يُولَّد رغم وجود المكوّن العام الجاهز.</t>
  </si>
  <si>
    <t xml:space="preserve">includes/dept_gov_space.php:1; Governance/gov_dept_gov.php:1; Risk/gov_dept_rsk.php:1</t>
  </si>
  <si>
    <t xml:space="preserve">١) ادخل بدور 24 وابحث في المجموعات العشر عن «حوكمة مركز البلاغات» ⇐ غير موجودة. ٢) نفّذ ls Tickets/ | grep gov ⇐ لا ملفّ.</t>
  </si>
  <si>
    <t xml:space="preserve">إنشاءُ Tickets/gov_dept_crp.php يستدعي المكوّنَ العامَّ includes/dept_gov_space.php بنطاق وحدة البلاغات (على غرار Governance/gov_dept_gov.php)، وربطُه بمجموعة «متابعة وتقارير المركز» بصفِّ nav_items.</t>
  </si>
  <si>
    <t xml:space="preserve">الدور 24 يفتح «حوكمة مركز البلاغات» ويرى حقولَ إدارته الحساسةَ وسجلَّ الاطّلاع عليها.</t>
  </si>
  <si>
    <t xml:space="preserve">تحقّقت: لا ملفَّ gov_dept_crp.php في المستودع، والمكوّنُ العامُّ includes/dept_gov_space.php موجودٌ وتستعمله Governance/gov_dept_gov.php وRisk/gov_dept_rsk.php، ولا رابطَ حوكمةٍ لدور 24.</t>
  </si>
  <si>
    <t xml:space="preserve">INJ-0267</t>
  </si>
  <si>
    <t xml:space="preserve">§١٤-٢ «الترتيبُ من الدورةِ لا من تاريخ البرمجة» · declared_counts (13 شاشة · 19 فعلًا)</t>
  </si>
  <si>
    <t xml:space="preserve">شاشات مركز البلاغات — العدد المعلن</t>
  </si>
  <si>
    <t xml:space="preserve">http://localhost/ems/Tickets/</t>
  </si>
  <si>
    <t xml:space="preserve">الوثيقةُ تعلن لمركز البلاغات «13 شاشة» و«19 فعلًا» و«10 مرحلة»، وتسرد ثلاثَ عشرةَ شاشةً بأعمدتها وأفعالها.</t>
  </si>
  <si>
    <t xml:space="preserve">المسارات المميزةُ الحيةُ تسعةٌ لا ثمانية (admin_close · ticket_contextual_open · ticket_dashboard · ticket_escalation_config · ticket_recurrence · ticket_sla_config · ticket_types_config · ticket_workstreams_board · tickets_list). — [مُصحَّح بعد التحقق] الصياغة الأولى: الموجودُ: تسعةَ عشرَ ملفًّا في Tickets/ منها كرونٌ ومساعدٌ وثلاثةُ نقاطِ ردٍّ داخلي، أي أربعَ عشرةَ شاشة. يظهر في سايدبار الدور 24 اثنا عشر رابطًا لثمانيةِ ملفاتٍ مختلفةٍ فقط (لتكرار ثلاثة ملفاتٍ بمرا</t>
  </si>
  <si>
    <t xml:space="preserve">فجوةٌ عدديةٌ بين ثلاثَ عشرةَ شاشةً معلنةً وثمانيةِ ملفاتٍ مميزةٍ في السايدبار، وبين عشر مراحل وتسع مجموعات إحداها «خارج الوثيقة». لا يمكن إثباتُ اكتمال نطاق الإدارة ولا تتبّعُ المتبقي.</t>
  </si>
  <si>
    <t xml:space="preserve">بذرةُ nav_items بُنيت بمطابقةِ أسماءٍ تقريبيةٍ مع ملفاتٍ قائمة، فسدَّت الفجواتِ بتكرارِ ملفاتٍ بدل الإعلان عن النقص.</t>
  </si>
  <si>
    <t xml:space="preserve">Tickets/ (19 ملفًّا); database/schema/seed_reference.sql (12 صفَّ nav_items حيًّا للدور 24)</t>
  </si>
  <si>
    <t xml:space="preserve">١) عُدّ ملفات Tickets/*.php ⇐ ١٩. ٢) عُدّ روابط سايدبار الدور 24 ⇐ ١٢ في ٩ مجموعات. ٣) استخرج المسارات المميزة ⇐ ٨. ٤) قارن بـ«13 شاشة».</t>
  </si>
  <si>
    <t xml:space="preserve">بناءُ جدولِ مطابقةٍ في ملف التتبع يربط كلَّ شاشةٍ من الثلاث عشرة بملفها الحيِّ أو يعلن غيابَها، وإنشاءُ الشاشتين المفقودتين (ticket_close · gov_dept_crp)، وفكُّ التكرارات الثلاثة بربطها بملفاتٍ مستقلةٍ أو حذفِ الصفوف الزائدة.</t>
  </si>
  <si>
    <t xml:space="preserve">مكتب إدارة المتطلبات — مركز البلاغات</t>
  </si>
  <si>
    <t xml:space="preserve">ملفُّ التتبع يعرض ثلاثةَ عشرَ صفًّا لشاشات المركز، لكلِّ صفٍّ مسارُ ملفٍّ حيٍّ فريدٌ ومنفذُ تنقلٍ واحد، أو حالةُ «غير منفَّذة» بتاريخ استحقاق.</t>
  </si>
  <si>
    <t xml:space="preserve">Tickets/ تسعةَ عشرَ ملفًّا فعلًا، وروابطُ الدور 24 الحيةُ (active=1) اثنا عشرَ صفًّا كما ذُكر، وticket_close.php وgov_dept_crp.php غيرُ موجودَين، وticket_recurrence مكرَّرةٌ بمرساة.</t>
  </si>
  <si>
    <t xml:space="preserve">INJ-0268</t>
  </si>
  <si>
    <t xml:space="preserve">§٤-٥ «لكلٍّ وجهةٌ حيةٌ موجودة» · §١٤-٤ (ticket_kpi.php — عارضوها 14 إدارة)</t>
  </si>
  <si>
    <t xml:space="preserve">برج المراقبة</t>
  </si>
  <si>
    <t xml:space="preserve">http://localhost/ems/Tickets/watchtower.php</t>
  </si>
  <si>
    <t xml:space="preserve">مؤشراتُ البلاغات وتقريرُ المتأخرين من مخرجات المركز المعلنة، ورسالةُ الإدارة نفسُها: «برجُ مراقبةٍ يوجّه آليًّا ويرصد ولا يُصلح».</t>
  </si>
  <si>
    <t xml:space="preserve">صفُّ nav_items رقم 847 للدور 24 قائمٌ لكنه معطَّل (active=0) في المجموعة 2104 «خارج الوثيقة»، والموديولُ 226 بلا مالكٍ وبـis_link=0 — فلا يظهر في المسارين الموحَّد والقديم معًا. — [مُصحَّح بعد التحقق] الصياغة الأولى: Tickets/watchtower.php موجودةٌ وتعمل (حارسُ صلاحيةٍ حقيقيٌّ على modules، وفعلُ «إصدار تقرير دوري» عبر WatchTowerService::issuePeriodicReport) لكن لا صفَّ nav_items يشير إليها في أيٍّ من السايدبارات. و</t>
  </si>
  <si>
    <t xml:space="preserve">الشاشةُ التي تحمل اسمَ رسالة الإدارة («برج المراقبة») وتُصدر تقريرَ المتأخرين الدوريَّ لا يبلغها مديرُ البلاغات. فالفعلُ الوحيدُ الذي يُنتج مستندَ «تقرير تأخّر» (مستندُ المرحلة الرابعة) بلا منفذ.</t>
  </si>
  <si>
    <t xml:space="preserve">بُنيت الشاشةُ في update0004 ولم يُنشأ لها صفُّ nav_items، وسدَّ مكانَها في السايدبار تكرارُ لوحة المؤشرات.</t>
  </si>
  <si>
    <t xml:space="preserve">database/schema/seed_reference.sql:274; :3933; Tickets/watchtower.php:23-33; :35-38</t>
  </si>
  <si>
    <t xml:space="preserve">١) ادخل بدور 24 وافتح كل المجموعات العشر ⇐ لا رابطَ لبرج المراقبة. ٢) اكتب http://localhost/ems/Tickets/watchtower.php ⇐ تُفتح إن كان الدور ممنوحًا can_view عليها.</t>
  </si>
  <si>
    <t xml:space="preserve">إضافةُ صفِّ nav_items للدور 24 بمسار Tickets/watchtower.php وlabel «برج المراقبة — المؤشرات وتقرير المتأخرين» في مجموعة «رابعًا: المتابعة والتصعيد»، وحذفُ التكرار الثاني لـticket_dashboard.php من مجموعة «متابعة وتقارير المركز».</t>
  </si>
  <si>
    <t xml:space="preserve">الدور 24 يفتح «برج المراقبة» من سايدباره ويُصدر تقريرًا دوريًّا؛ ولوحةُ المؤشرات تظهر مرةً واحدةً في السايدبار.</t>
  </si>
  <si>
    <t xml:space="preserve">برجُ المراقبة غيرُ قابلٍ للوصول من أيِّ سايدبار فعلًا، لكن لا لانعدام صفِّ nav_items: الصفُّ 847 موجودٌ للدور 24 بـactive=0 داخل مجموعة «خارج الوثيقة»، والموديولُ 226 بـis_link=0.</t>
  </si>
  <si>
    <t xml:space="preserve">INJ-0269</t>
  </si>
  <si>
    <t xml:space="preserve">§٤-٥ قواعدُ السايدبار · «لكلٍّ وجهةٌ حيةٌ موجودةٌ — وصفرُ شاشةٍ قريبًا»</t>
  </si>
  <si>
    <t xml:space="preserve">استقبال البلاغات وتصنيفها</t>
  </si>
  <si>
    <t xml:space="preserve">http://localhost/ems/Tickets/intake_classify.php</t>
  </si>
  <si>
    <t xml:space="preserve">المرحلة الثانية «التصنيف والتوجيه» — مستندُها «بلاغ مصنَّف محال» ومعتمِدُها مركز البلاغات.</t>
  </si>
  <si>
    <t xml:space="preserve">صفُّ nav_items قائمٌ لكنه غيرُ فعّالٍ وبلا موديول، فلا يظهر في أي قائمة — والنتيجةُ العمليةُ كما وُصفت. — [مُصحَّح بعد التحقق] الصياغة الأولى: الملفُّ موجودٌ على القرص ويُفتح بالرابط المباشر، ولا صفَّ nav_items يشير إليه في أيٍّ من السايدبارات التسعة والعشرين، ولا رابطَ واردٌ من شاشةٍ أخرى.</t>
  </si>
  <si>
    <t xml:space="preserve">الشاشةُ التي تُنفّذ فعلَ المرحلة الثانية فعليًّا (تحدّث category_id وticket_type_id وowner_role_id وتنقل المرحلةَ إلى routed) بلا منفذ؛ فالبلاغُ الجديدُ يبقى عند 'new' ولا مخرجَ له من الواجهة.</t>
  </si>
  <si>
    <t xml:space="preserve">بُنيت الشاشةُ في موجةِ تطويرٍ ولم يُنشأ لها صفُّ nav_items؛ ولا فاحصَ يكشف ملفَّ شاشةٍ بلا منفذِ تنقل.</t>
  </si>
  <si>
    <t xml:space="preserve">Tickets/intake_classify.php:1; database/schema/seed_reference.sql (nav_items role 24 route='Tickets/intake_classify.php' active=0)</t>
  </si>
  <si>
    <t xml:space="preserve">١) ادخل بدور 24 وافتح مجموعات السايدبار العشر ⇐ لا رابطَ للشاشة. ٢) اكتب http://localhost/ems/Tickets/intake_classify.php ⇐ تُفتح.</t>
  </si>
  <si>
    <t xml:space="preserve">إضافةُ صفِّ nav_items للدور 24 بمسار Tickets/intake_classify.php في مجموعة «ثانيًا: التصنيف والتوجيه» بدل صفِّ ticket_types_config.php.</t>
  </si>
  <si>
    <t xml:space="preserve">الشاشة تظهر في مجموعةٍ واحدةٍ في سايدبار الدور 24 وتُفتح بضغطةٍ واحدة، أو تُحذف إن قرّر المالك إلغاءها.</t>
  </si>
  <si>
    <t xml:space="preserve">الشاشةُ موجودةٌ ولا تُبلَغ من أيِّ سايدبار ولا من أيِّ شاشةٍ أخرى — غير أنّ لها صفَّ nav_items للدور 24 لكنه معطَّلٌ (active=0 وmodule_id فارغ)، لا «انعدامُ صفّ».</t>
  </si>
  <si>
    <t xml:space="preserve">INJ-0270</t>
  </si>
  <si>
    <t xml:space="preserve">قائمة البلاغات — الاستيراد</t>
  </si>
  <si>
    <t xml:space="preserve">http://localhost/ems/Tickets/tickets_list.php</t>
  </si>
  <si>
    <t xml:space="preserve">أولًا: الاستقبال</t>
  </si>
  <si>
    <t xml:space="preserve">البيانُ يُدخل مرةً واحدةً في مصدره المعتمد ويمرّ بحرّاسه؛ والبلاغُ يُفتح من موضع المشكلة ويحمل سياقَه ويوجَّه آليًّا (TicketRouter بحرّاسه).</t>
  </si>
  <si>
    <t xml:space="preserve">شاشتا Tickets/tickets_list.php وTickets/ticket_dashboard.php مسجَّلتان في إطار الاستيراد الموحَّد، والمستورِدُ يبني INSERT مباشرًا على جدول الكيان صفًّا صفًّا. فالبلاغُ المستورَد لا يمرّ بـTicketRouter: لا فحصَ سياقٍ (٤٢٢)، ولا رفعَ أولويةٍ لمقعدٍ تعاقديّ، ولا كشفَ تكرار، ولا فتحَ مساراتٍ (ticket_workstreams)، ولا مهلةَ رأسٍ (TicketSla::applyHeader)، ولا مهمةَ معالجةٍ للمكلَّف.</t>
  </si>
  <si>
    <t xml:space="preserve">بلاغاتٌ تُنشأ بالاستيراد تبقى خارج حلقة التذكير والتصعيد كليًّا (الكرون يرشّح على وجود موعدٍ فيتخطاها) وبلا مسارٍ ولا مكلَّف — فهي بلاغاتٌ ميتةٌ في القاعدة تُفسد كلَّ مؤشرات المركز.</t>
  </si>
  <si>
    <t xml:space="preserve">إطارُ الاستيراد عامٌّ يكتب في الجدول مباشرةً ولا يعرف خدماتِ الوحدات، ولا يُستثنى منه كيانٌ ذو دورةِ إنشاءٍ محروسة.</t>
  </si>
  <si>
    <t xml:space="preserve">app/Services/Excel/ExcelRegistry.php:601; app/Services/Excel/Importer.php:129-136; app/Services/Tickets/TicketRouter.php:64</t>
  </si>
  <si>
    <t xml:space="preserve">١) نزّل قالبَ استيراد البلاغات من الشاشة. ٢) استورد صفًّا. ٣) استعلم ticket_workstreams وticket_sla عن البلاغ الجديد ⇐ صفر صفّ. ٤) شغّل الكرون ⇐ البلاغُ لا يُذكَّر ولا يُصعَّد.</t>
  </si>
  <si>
    <t xml:space="preserve">إمّا إلغاءُ تسجيل كيان البلاغات من إطار الاستيراد (app/Services/Excel/ExcelRegistry) لأن دورةَ إنشائه محروسة، وإمّا تعديلُ Importer ليمرّر صفوفَ هذا الكيان إلى TicketRouter::create بدل INSERT المباشر — والقرارُ للمالك، والأسلمُ الأول.</t>
  </si>
  <si>
    <t xml:space="preserve">استيرادُ ملفِّ بلاغاتٍ إمّا يُرفض برسالةٍ تشرح أن البلاغ يُفتح من موضعه، وإمّا يُنتج لكلِّ صفٍّ بلاغًا كاملًا بمساراته ومهلته ومكلَّفه.</t>
  </si>
  <si>
    <t xml:space="preserve">كيانُ tickets مسجَّلٌ في إطار الاستيراد (ExcelRegistry.php:601) وImporter يبني INSERT خامًّا على جدول الكيان (Importer.php:129-134) فلا يمرُّ الصفُّ بـTicketRouter ولا بمهلته ولا بمساراته.</t>
  </si>
  <si>
    <t xml:space="preserve">INJ-0271</t>
  </si>
  <si>
    <t xml:space="preserve">CM-10 «إظهار كل الأعمدة» · CM-09 المناظر · TABLE 36</t>
  </si>
  <si>
    <t xml:space="preserve">شبكات مركز البلاغات</t>
  </si>
  <si>
    <t xml:space="preserve">«إظهار كل الأعمدة» بالاسم الموحَّد في كل الشاشات ولا يُغيَّر نصُّه؛ وللشاشات الطويلة مناظرُها بثمانية محدِّدات؛ وأعمدةُ شاشات المركز تتراوح بين ١٦ و٢٦ عمودًا.</t>
  </si>
  <si>
    <t xml:space="preserve">أربعَ عشرةَ شبكةً في مجلد Tickets/ بلا أيِّ زرِّ «إظهار كل الأعمدة» ولا منتقي مناظر: tickets_list · ticket_dashboard · ticket_form · dept_inbox · watchtower · intake_classify · admin_close · ticket_workstreams_board · ticket_recurrence · ticket_types_config · ticket_categories_config · ticket_sla_config · ticket_escalation_config · inquiry. البديلُ الوحيدُ الموجود أربعةُ تبويباتٍ ثابتةٍ في قائمة البلاغات (مفتوحة · تنتظر اعتمادًا · بلاغاتي · مغلقة) وهي ترشيحُ صفوفٍ لا منظرَ أعمدة.</t>
  </si>
  <si>
    <t xml:space="preserve">المستخدمُ لا يستطيع إظهارَ الأعمدة المخفية ولا حفظَ منظرٍ يناسب دورَه؛ ومحدِّداتُ المناظر الثمانية (الدور · المرحلة · القرار · نوع المهمة · زاوية الإدارة · الأكثرُ استخدامًا · الحساسة · المراجعةُ التفصيلية) صفرٌ في المركز كلِّه.</t>
  </si>
  <si>
    <t xml:space="preserve">طقمُ الشاشات u13 الحامل للزرِّ والمناظر غيرُ مضمَّنٍ في المجلد، وتصنيفُ الحقول في gov_field_class غيرُ منجَزٍ لشاشات البلاغات.</t>
  </si>
  <si>
    <t xml:space="preserve">Tickets/tickets_list.php:52; :53; includes/u13_screen_kit.php:317; :319; :76; assets/js/column-groups.js:176</t>
  </si>
  <si>
    <t xml:space="preserve">١) افتح Tickets/tickets_list.php بدور 24. ٢) ابحث عن زرٍّ نصُّه «إظهار كل الأعمدة» أو منتقي مناظر ⇐ لا يوجد. ٣) كرّر على أيِّ شاشةٍ أخرى في المجلد ⇐ النتيجةُ نفسُها.</t>
  </si>
  <si>
    <t xml:space="preserve">تضمينُ includes/u13_screen_kit.php في شاشات Tickets/ وتصنيفُ حقولها في gov_field_class إلى مجموعتين على الأقل، وتعريفُ منظرين لقائمة البلاغات: «فرز وتوجيه» (للمركز) و«متابعة إدارتي» (للإدارات العارضة) — فيتحقق محدِّدا الدور والمرحلة.</t>
  </si>
  <si>
    <t xml:space="preserve">فريق الفرونت-إند — وحدة مركز البلاغات</t>
  </si>
  <si>
    <t xml:space="preserve">كلُّ شبكةٍ في Tickets/ تعرض زرًّا نصُّه حرفيًّا «إظهار كل الأعمدة» ومنتقيَ مناظرَ بمنظرين على الأقل، والحالةُ محفوظة.</t>
  </si>
  <si>
    <t xml:space="preserve">الشاشاتُ الأربعَ عشرةَ كلُّها موجودةٌ وصفرٌ منها يحوي زرَّ أعمدةٍ أو منتقيَ مناظرَ أو تضمينَ u13_screen_kit — مقيسٌ ملفًّا ملفًّا.</t>
  </si>
  <si>
    <t xml:space="preserve">INJ-0272</t>
  </si>
  <si>
    <t xml:space="preserve">▐ ٤ الدليلُ والتتبع · «الخدمةُ التي لا يناديها منتَجٌ ليست تنفيذًا»</t>
  </si>
  <si>
    <t xml:space="preserve">التفعيل الشرطي للمسارات</t>
  </si>
  <si>
    <t xml:space="preserve">http://localhost/ems/app/Services/Tickets/WorkstreamActivator.php</t>
  </si>
  <si>
    <t xml:space="preserve">المسارُ الشرطيُّ يُفتح بحدثٍ يقع (TKT-08)، ويُتخطّى عند إغلاق الرأس — وهو الفرقُ بين مساراتٍ متوازيةٍ حيةٍ وقائمةٍ ساكنة.</t>
  </si>
  <si>
    <t xml:space="preserve">WorkstreamActivator بلا نداءٍ إنتاجيٍّ لفتح المسارات الشرطية: النداءُ الوحيد خارجَ الاختبارات هو skipUnactivated من TicketStateService::recomputeHead (السطر 155) — أي التخطّي عند الإغلاق فقط. فالمساراتُ التي يُنشئها TicketRouter بحالة activation_state='pending' لا يفتحها شيءٌ أبدًا.</t>
  </si>
  <si>
    <t xml:space="preserve">كلُّ مسارٍ شرطيٍّ في كل بلاغٍ يبقى pending إلى أن يُغلق الرأسُ فيُتخطّى. المساراتُ المتوازيةُ التي بُني عليها نموذجُ المعالجة تعمل بفرعها الفوريِّ وحدَه؛ والمعالجةُ متعددةُ المسارات (صيانة + حركة + سلامة) لا تقع.</t>
  </si>
  <si>
    <t xml:space="preserve">بُني المفعِّلُ بواجهةٍ تنتظر حدثًا، ولم يُبنَ الناشرُ ولا نقطةُ الاستدعاء من أفعال اللوحة.</t>
  </si>
  <si>
    <t xml:space="preserve">app/Services/Tickets/WorkstreamActivator.php:3; :14; app/Services/Tickets/TicketStateService.php:14; :155; app/Services/Tickets/TicketRouter.php:158; :167</t>
  </si>
  <si>
    <t xml:space="preserve">١) نفّذ grep -rn "WorkstreamActivator" --include=*.php . ⇐ النداءُ الإنتاجيُّ الوحيد skipUnactivated. ٢) افتح بلاغًا لنوعٍ له مسارٌ شرطيّ. ٣) استعلم ticket_workstreams ⇐ الصفُّ بحالة activation_state='pending' ولا يتغير أبدًا.</t>
  </si>
  <si>
    <t xml:space="preserve">استدعاءُ WorkstreamActivator من أفعال لوحة المسارات (عند تسجيل أثرٍ أو إنجازِ مسارٍ سابق) ومن مستهلكِ الحدث المقترَح في ملاحظة نشر الأحداث، مع زرٍّ صريحٍ «تفعيل مسارٍ شرطيّ» لمدير البلاغات عند تحقق شرطه.</t>
  </si>
  <si>
    <t xml:space="preserve">بلاغٌ لنوعٍ ذي مسارٍ شرطيٍّ يفتح مسارَه تلقائيًّا عند تحقق شرطه، ويظهر بحالة opened بمكلَّفٍ ومهلة.</t>
  </si>
  <si>
    <t xml:space="preserve">مسحُ المستودع: WorkstreamActivator::onEvent بلا مستدعٍ إطلاقًا؛ والنداءُ الوحيدُ خارج tests/ هو skipUnactivated من TicketStateService.php:155 عند إعادة حساب الرأس — فمساراتُ activation_state='pending' التي يُنشئها TicketRouter.php:167 لا يفتحها شيء.</t>
  </si>
  <si>
    <t xml:space="preserve">INJ-0273</t>
  </si>
  <si>
    <t xml:space="preserve">TKT T17 (سياسةُ الإغلاق) · §٢٦-٣ مصدر ٧ «إغلاقٌ بتأكيدٍ من غير المنفِّذ»</t>
  </si>
  <si>
    <t xml:space="preserve">لوحة المسارات المتوازية — إغلاق المسار</t>
  </si>
  <si>
    <t xml:space="preserve">«معالجةُ بلاغ | شرطُه: إغلاقٌ بتأكيدٍ من غير المنفِّذ» — وسياسةُ الإغلاق لكل نوعِ بلاغٍ (closure_policy) هي ما يحدد من يؤكّد: المبلِّغ أم مالكُ الإدارة أم لجنةٌ أم المركزُ إداريًّا.</t>
  </si>
  <si>
    <t xml:space="preserve">وسيطُ $mode يأتي من $_POST['mode'] مباشرةً بلا تحقّقٍ من مطابقته لسياسة النوع: الفحصُ الوحيد على closure_policy يقع في الفرع mode==='auto' حصرًا. فمن يملك can_edit على اللوحة يغلق أيَّ مسارٍ بتمرير mode=owner_approve حتى لو كانت سياسةُ النوع reporter_confirm — أي بلا تأكيدِ المبلِّغ إطلاقًا. والقيمةُ لا تُفحص أصلًا ضدَّ قائمةٍ مغلقة.</t>
  </si>
  <si>
    <t xml:space="preserve">شرطُ الإنجاز المنصوصُ عليه («إغلاقٌ بتأكيدٍ من غير المنفِّذ» بحسب سياسة النوع) يُتجاوز بتغيير حقلٍ مخفيٍّ في النموذج. بلاغاتُ السلامة والحوادث والشكاوى — التي تمنع سياستُها الإغلاقَ الآليَّ — تُغلق بيدٍ واحدةٍ بمسمّى «اعتماد المالك».</t>
  </si>
  <si>
    <t xml:space="preserve">الفحصُ رُبط بالوضع auto وحدَه ولم يُعمَّم على مطابقة الوضع للسياسة، والوسيطُ يُقرأ من الطلب بلا قائمةِ قيمٍ مسموحة.</t>
  </si>
  <si>
    <t xml:space="preserve">Tickets/ticket_workstreams_board.php:50; app/Services/Tickets/TicketStateService.php:72; :85-93; :101-106</t>
  </si>
  <si>
    <t xml:space="preserve">١) بدور 24 افتح لوحة المسارات لبلاغٍ نوعُه سياسةُ إغلاقه reporter_confirm. ٢) أرسل POST بـws_action=close وmode=owner_approve. ٣) يُغلق المسارُ بلا تأكيدِ المبلِّغ.</t>
  </si>
  <si>
    <t xml:space="preserve">إضافةُ تحقّقٍ في app/Services/Tickets/TicketStateService::closeWorkstream بعد جلب $w: قبولُ $mode فقط إن طابق $w['closure_policy'] (أو كان 'admin' بشروطه)، ورفضُ أيِّ قيمةٍ خارج القائمة ('reporter_confirm','owner_approve','auto','admin') برمز 422، وحصرُ اختيار الوضع في الواجهة بقيمةٍ واحدةٍ مشتقةٍ من السياسة لا بحقلٍ حرّ.</t>
  </si>
  <si>
    <t xml:space="preserve">إغلاقُ مسارٍ بوضعٍ لا يطابق سياسةَ نوعه يُرفض 403 برسالةٍ تسمّي السياسةَ المطلوبة؛ والوضعُ في الواجهة مشتقٌّ لا مُدخَل.</t>
  </si>
  <si>
    <t xml:space="preserve">‏$mode يأتي من $_POST['mode'] بلا قائمةٍ مغلقة (ticket_workstreams_board.php:50)، وفحصُ closure_policy في TicketStateService::closeWorkstream محصورٌ في فرع mode==='auto' (السطر 89) — فمن يملك can_edit يمرّر owner_approve فيتخطى reporter_confirm؛ مع بقاء حارسي «ليس المكلَّف» و«لا إغلاق بلا أثر».</t>
  </si>
  <si>
    <t xml:space="preserve">INJ-0274</t>
  </si>
  <si>
    <t xml:space="preserve">TABLE 53 (سجلُّ التدقيق) · «كلُّ فعلٍ يكتب» · UXP-092-ب</t>
  </si>
  <si>
    <t xml:space="preserve">شاشات مركز البلاغات</t>
  </si>
  <si>
    <t xml:space="preserve">«كل ضغطة إجراء حسّاس تُقيَّد في سجل التدقيق بفاعلها ووقتها ونتيجتها · والرفض يُسجَّل كما القبول»، والسجلُّ يحمل القيمةَ قبل وبعد.</t>
  </si>
  <si>
    <t xml:space="preserve">ticket_events سجلٌّ محليٌّ إدراجيٌّ فقط يحمل الفاعلَ والوقتَ وحقلَي قبل/بعد — فالنقصُ جسرُه إلى السجل المركزي وملءُ القيم لا انعدامُ الأثر. — [مُصحَّح بعد التحقق] الصياغة الأولى: صفرُ ملفٍّ في Tickets/ يستدعي ems_audit_change. أفعالُ البلاغ تُسجَّل في جدولٍ محليٍّ (ticket_events عبر tkt_log_event) بحقلَي old/new اختياريَّين لا يملؤهما أغلبُ النداءات، وهو سجلٌّ خاصٌّ بالوحدة لا</t>
  </si>
  <si>
    <t xml:space="preserve">الحوكمةُ لا ترى أفعالَ مركز البلاغات في سجل التدقيق المركزي؛ وإغلاقُ بلاغٍ يمسّ مسؤوليةً أو تغييرُ إدارته المالكة يقع بلا أثرٍ مركزيٍّ يُراجَع. مخالفةُ الحكم البنيوي «كلُّ فعلٍ يكتب في هذه الإدارة».</t>
  </si>
  <si>
    <t xml:space="preserve">سجلُّ أحداث الوحدة (ticket_events) بُني قبل موصل التدقيق المركزي ولم يُجسَر إليه.</t>
  </si>
  <si>
    <t xml:space="preserve">Tickets/tkt_helpers.php:378-391; Tickets/admin_close.php:39; includes/audit_trail.php:20</t>
  </si>
  <si>
    <t xml:space="preserve">١) نفّذ grep -rn "ems_audit_change" Tickets/ ⇐ صفر. ٢) أغلق بلاغًا إداريًّا بدور 24. ٣) استعلم activity_logs عن صفٍّ لهذا الفعل ⇐ لا شيء.</t>
  </si>
  <si>
    <t xml:space="preserve">إضافةُ نداء ems_audit_change داخل Tickets/tkt_helpers.php::tkt_log_event (السطر 380) ليَجسر كلَّ حدثِ بلاغٍ إلى سجل التدقيق المركزي بقيم old/new ومجالٍ 'tickets' — موضعٌ واحدٌ يغطّي كلَّ أفعال الوحدة.</t>
  </si>
  <si>
    <t xml:space="preserve">كلُّ فعلٍ على بلاغٍ (تصنيف · تحويل · إغلاق · إعادة فتح) يُنتج صفًّا في activity_logs بقيم قبل/بعد يظهر في سجل تدقيق الحوكمة.</t>
  </si>
  <si>
    <t xml:space="preserve">صفرُ استدعاءٍ لـems_audit_change في مجلد Tickets/ كلِّه، وtkt_log_event (tkt_helpers.php:380) يُدرج في ticket_events المحليِّ بحقلَي old/new اختياريَّين لا يمرّرهما أغلبُ النداءات.</t>
  </si>
  <si>
    <t xml:space="preserve">INJ-0275</t>
  </si>
  <si>
    <t xml:space="preserve">PR-05 · «النداءُ المخالفُ يُرفض ولو جاء بمساره مباشرةً»</t>
  </si>
  <si>
    <t xml:space="preserve">الحارسُ يُبنى على صلاحيةٍ مسجَّلةٍ تُمنح وتُسحب من الحوكمة، لا على رقمِ دورٍ مرمَّزٍ في الشيفرة؛ ولكلِّ فعلِ كتابةٍ مفتاحُ منعِ تكرارٍ ورمزُ حمايةٍ من التزوير.</t>
  </si>
  <si>
    <t xml:space="preserve">الحارسُ شرطٌ مرمَّز: `if (intval($ctx['role']) !== 24 &amp;&amp; !$ctx['is_super'])`. لا نداءَ لـcheck_page_permissions، فلا تستطيع الحوكمةُ منحَ الفعلِ لدورٍ آخرَ ولا سحبَه من الدور 24. ولا رمزَ CSRF في النموذج ولا في المعالج. والحقلُ duplicate_of يُقبل رقمًا خامًا يُكتب في duplicate_of_ticket_id بلا التحقّق من وجود البلاغ الأصل ولا من أنه يخصّ الشركةَ نفسَها.</t>
  </si>
  <si>
    <t xml:space="preserve">صلاحيةُ الإغلاق الإداري خارج نموذج الصلاحيات كليًّا فلا تُحكَم ولا تُراجَع؛ وغيابُ رمز الحماية يجعل إلغاءَ بلاغٍ ممكنًا بطلبٍ مزوَّر؛ ومرجعُ الأصل قد يشير إلى بلاغِ شركةٍ أخرى فيُسرِّب وجودَ سجلٍّ خارج الكيان.</t>
  </si>
  <si>
    <t xml:space="preserve">حارسٌ كُتب سريعًا برقم الدور، ونموذجٌ بُني بلا رمز حمايةٍ لأن المجلد كلَّه بلا CSRF (صفر نداءٍ لـcsrf في Tickets/ عدا سطرٍ واحد).</t>
  </si>
  <si>
    <t xml:space="preserve">Tickets/admin_close.php:19; :20; :25; :28; :38-44</t>
  </si>
  <si>
    <t xml:space="preserve">١) بدور 24 افتح الإغلاق الإداري. ٢) أرسل POST بـduplicate_of = رقم بلاغٍ من شركةٍ أخرى ⇐ يُقبل ويُكتب. ٣) أرسل نفسَ POST من صفحةٍ خارجية بلا رمز ⇐ ينفَّذ.</t>
  </si>
  <si>
    <t xml:space="preserve">استبدالُ الشرط المرمَّز في Tickets/admin_close.php:19 بـcheck_page_permissions($conn,'Tickets/admin_close.php') مع اشتراط can_delete، وإلزامُ رمز CSRF في النموذج والمعالج، وإضافةُ تحقّقٍ من أن duplicate_of موجودٌ وينتمي لنفس company_id قبل الكتابة.</t>
  </si>
  <si>
    <t xml:space="preserve">منحُ دورٍ آخرَ صلاحيةَ الإغلاق الإداري من شاشة الصلاحيات يفعّله فورًا؛ وطلبٌ بلا رمز CSRF يُرفض؛ ومرجعُ أصلٍ من شركةٍ أخرى يُرفض 422.</t>
  </si>
  <si>
    <t xml:space="preserve">الحارسُ فعلًا شرطٌ مرمَّز if (intval($ctx['role']) !== 24 &amp;&amp; !$ctx['is_super']) بلا check_page_permissions، ولا رمزَ CSRF في المجلد كلِّه، وduplicate_of يُكتب خامًّا بلا تحققٍ من وجود البلاغ الأصل ولا من كيانِه.</t>
  </si>
  <si>
    <t xml:space="preserve">INJ-0276</t>
  </si>
  <si>
    <t xml:space="preserve">TABLE 53 (سجلُّ الاطّلاعِ الحساس) · §١٤ «مركزٌ رقابيٌّ وخدميٌّ عابرٌ للإدارات»</t>
  </si>
  <si>
    <t xml:space="preserve">حارس سرية البلاغات</t>
  </si>
  <si>
    <t xml:space="preserve">http://localhost/ems/app/Services/Tickets/ConfidentialityGuard.php</t>
  </si>
  <si>
    <t xml:space="preserve">«كلُّ اطّلاعٍ على حقلٍ حساسٍ يُسجَّل بالمستخدم والوقت والسجل، فالتسرّبُ يقع بالاطّلاع لا بالتغيير»؛ والبلاغُ ذو الطبيعة المحمية يُفصل بنيويًّا: ملخّصٌ عامٌّ وتفاصيلُ خاصة.</t>
  </si>
  <si>
    <t xml:space="preserve">الفصلُ البنيويُّ منفَّذٌ عند الإنشاء (TicketRouter ينقل الوصفَ إلى private_details ويضع ملخّصًا عامًّا حين تكون طبيعةُ النوع محميّة)، لكن الحارسَ الذي يقرّر من يرى private_details ويسجّل اطّلاعَه — app/Services/Tickets/ConfidentialityGuard — بلا أيِّ نداءٍ إنتاجيّ في النظام كلِّه. فلا شاشةَ تستشيره ولا صفَّ اطّلاعٍ يُكتب لبلاغ.</t>
  </si>
  <si>
    <t xml:space="preserve">التفاصيلُ الخاصة للبلاغات المحمية (شكاوى · سلامة · مخالفات) تُعرض أو تُحجب بحسب ما تقرّره كلُّ شاشةٍ بنفسها، ولا سجلَّ اطّلاعٍ لأيٍّ منها. الفصلُ البنيويُّ عند الكتابة بلا حارسٍ عند القراءة يساوي صفرًا.</t>
  </si>
  <si>
    <t xml:space="preserve">بُني الحارسُ في موجةٍ لاحقةٍ ولم يُدخَل في مسار القراءة في tickets_list.php وticket_form.php وticket_workstreams_board.php.</t>
  </si>
  <si>
    <t xml:space="preserve">app/Services/Tickets/ConfidentialityGuard.php:42; :51; app/Services/Tickets/TicketRouter.php:95; :106</t>
  </si>
  <si>
    <t xml:space="preserve">١) نفّذ grep -rn "ConfidentialityGuard" --include=*.php . ⇐ الملفُّ نفسُه فقط. ٢) افتح بلاغًا محميًّا بدورٍ ليس طرفًا فيه ⇐ لا صفَّ في sensitive_read_log.</t>
  </si>
  <si>
    <t xml:space="preserve">نداءُ ConfidentialityGuard قبل تصيير private_details في Tickets/ticket_form.php وقبل بناء استعلام Tickets/tickets_list.php وTickets/ticket_workstreams_board.php، بحيث يُحذف الحقلُ من الاستجابة لغير المخوَّل ويُكتب صفُّ اطّلاعٍ للمخوَّل.</t>
  </si>
  <si>
    <t xml:space="preserve">فتحُ بلاغٍ محميٍّ بدورٍ مخوَّلٍ يُنتج صفًّا في sensitive_read_log؛ وبدورٍ غيرِ مخوَّلٍ لا يظهر private_details في مصدر الصفحة أصلًا.</t>
  </si>
  <si>
    <t xml:space="preserve">ConfidentialityGuard بلا أيِّ نداءٍ إنتاجيٍّ (المرجعُ الوحيدُ tests/tkt_state_effect_test.php)، والفصلُ البنيويُّ قائمٌ في TicketRouter — لكنَّ private_details لا يُقرأ في أيِّ شاشة، فلا تسرّبَ واقعٌ بل سجلُّ اطّلاعٍ مفقودٌ وحارسٌ ميت.</t>
  </si>
  <si>
    <t xml:space="preserve">INJ-0277</t>
  </si>
  <si>
    <t xml:space="preserve">TABLE 46 (مفتاحُ منع التكرار) · AR-04 · PR-05</t>
  </si>
  <si>
    <t xml:space="preserve">شاشات إعدادات البلاغات الخمس</t>
  </si>
  <si>
    <t xml:space="preserve">ثانيًا: التصنيف والتوجيه · رابعًا: المتابعة والتصعيد · إعدادات البلاغات</t>
  </si>
  <si>
    <t xml:space="preserve">لكلِّ فعلِ كتابةٍ حارسٌ في الخادم ومفتاحُ منعِ تكرار، وكلُّ فعلٍ حسّاسٍ يُقيَّد في سجل التدقيق بفاعله ووقته ونتيجته.</t>
  </si>
  <si>
    <t xml:space="preserve">الشاشاتُ الخمس (ticket_types_config · ticket_categories_config · ticket_sla_config · ticket_escalation_config · ticket_recurrence) تفحص الصلاحيةَ عبر tkt_page_perms (وهو جيد) لكنها كلَّها بلا رمز CSRF في نماذجها ومعالجاتها، وبلا مفتاحِ منعِ تكرارٍ على الإدراج، وبلا نداءِ ems_audit_change. وهي الشاشاتُ التي تُغيَّر منها المهلُ وسلالمُ التصعيد — أي القواعدُ التي تُقاس بها الالتزاماتُ التعاقدية.</t>
  </si>
  <si>
    <t xml:space="preserve">تغييرُ مهلةِ استجابةٍ أو سلّمِ تصعيدٍ — قرارٌ يغيّر قياسَ الأداء بأثرٍ رجعيٍّ على كل البلاغات المفتوحة — يقع بلا أثرٍ يبيّن القيمةَ قبل وبعد ومن غيّرها، وبلا حمايةٍ من طلبٍ مزوَّر.</t>
  </si>
  <si>
    <t xml:space="preserve">المجلدُ كلُّه بُني بلا طبقة CSRF (فحصٌ نصيٌّ يُرجع صفرَ نداءٍ لدوال الرمز في Tickets/) ولم يُلحق بموصل التدقيق.</t>
  </si>
  <si>
    <t xml:space="preserve">Tickets/ticket_types_config.php:29; Tickets/ticket_sla_config.php:22; Tickets/ticket_escalation_config.php:20; Tickets/ticket_recurrence.php:19; Tickets/ticket_categories_config.php:23; includes/security.php:233; includes/audit_trail.php:20</t>
  </si>
  <si>
    <t xml:space="preserve">١) بدور 24 غيّر مهلةَ استجابةٍ في ticket_sla_config. ٢) استعلم activity_logs عن القيمة قبل ⇐ لا صفّ. ٣) أعد إرسال النموذج نفسِه ⇐ صفٌّ ثانٍ. ٤) أرسل الطلبَ من صفحةٍ خارجيةٍ بلا رمز ⇐ ينفَّذ.</t>
  </si>
  <si>
    <t xml:space="preserve">إضافةُ توليدِ رمز CSRF والتحقّقِ منه في النماذج الخمسة (عبر includes/security.php)، وإضافةُ نداء ems_audit_change بمجالٍ 'tickets_config' قبل/بعد كلِّ حفظ، وفهرسٍ فريدٍ على مفاتيح كلِّ جدولِ إعدادٍ يمنع الصفَّ المكرر.</t>
  </si>
  <si>
    <t xml:space="preserve">تغييرُ أيِّ إعدادِ بلاغاتٍ يُنتج صفَّ تدقيقٍ بقيمة قبل وبعد؛ وإعادةُ إرسال النموذج لا تُنتج صفًّا ثانيًا؛ وطلبٌ بلا رمز يُرفض.</t>
  </si>
  <si>
    <t xml:space="preserve">الشاشاتُ الخمسُ بصفر ذكرٍ لـcsrf وصفر ems_audit_change، ولا مفتاحَ عطالةٍ على الإدراج — وهي التي تُغيَّر منها المهلُ وسلالمُ التصعيد. والحارسُ المركزيُّ للـCSRF متدرِّجٌ بقائمة مسارات (security.php:446-450) لا يشمل Tickets/.</t>
  </si>
  <si>
    <t xml:space="preserve">INJ-0278</t>
  </si>
  <si>
    <t xml:space="preserve">AR-02 · §١٥-٥ «لا إدارةَ تكتب في جداول إدارةٍ أخرى» · §١٥-١ «ما لا تملكه: كرتَ المعدة · قرارَ التخصيص»</t>
  </si>
  <si>
    <t xml:space="preserve">أوامر الصيانة — أثر الحالة</t>
  </si>
  <si>
    <t xml:space="preserve">http://localhost/ems/Maintenance/mnt_helpers.php</t>
  </si>
  <si>
    <t xml:space="preserve">«لا إدارةَ تكتب في جداول إدارةٍ أخرى — والأثرُ ينتقل بالأحداث»، و«ما لا تملكه إدارةُ الصيانة: كرتَ المعدة · قرارَ التخصيص».</t>
  </si>
  <si>
    <t xml:space="preserve">ملفُّ المساعدات يكتب مباشرةً في جدولَي إدارتين أخريين ستَّ مرات: في operations (المرحلة التشغيلية — إدارة التشغيل) عند السطور 65 و86 و130 و140، وفي equipments (كرت المعدة — إدارة الأسطول) عند السطرين 118 و186. والسطرُ 140 يذهب أبعدَ فيضع operations.op_state = 'جاهزة' — أي أن الصيانةَ تعلن وحدةً تشغيليةً جاهزةً في سجلِّ التشغيل. كلُّ ذلك بنداءٍ مباشرٍ داخل معاملة الصيانة، بلا حدثٍ منشورٍ ولا مستهلك.</t>
  </si>
  <si>
    <t xml:space="preserve">ستُّ نقاطِ كتابةٍ عابرةٍ للحدود في ملفٍ واحد. تعطُّلُ منطقِ الصيانة يفسد الحالةَ التشغيلية وكرتَ المعدة معًا، وتعطُّلُ إحدى الإدارتين يوقف الأخرى — وهو ما يمنعه AR-02 صراحةً («يجعل تعطلَ إدارةٍ لا يوقف أخرى»). ومصدرُ الحقيقة لحالة المعدة وللحالة التشغيلية مزدوجٌ بين ثلاث إدارات.</t>
  </si>
  <si>
    <t xml:space="preserve">بُني الأثرُ نداءً مباشرًا قبل توفر ناقل الأحداث في هذه المسارات، ولم يُهاجَر بعد بناء EventPublisher.</t>
  </si>
  <si>
    <t xml:space="preserve">Maintenance/mnt_helpers.php:12; :13; :65; :86; :118; :130; :140; :186</t>
  </si>
  <si>
    <t xml:space="preserve">١) اقرأ Maintenance/mnt_helpers.php:65 و86 و118 و140 و186. ٢) افتح أمرَ صيانةٍ لمعدةٍ في تشغيلٍ ساري ⇐ يتغيّر operations.equipment_health. ٣) أقفله ⇐ يتغيّر equipments.availability_status وoperations.op_state. ٤) ابحث عن حدثٍ منشور ⇐ لا شيء.</t>
  </si>
  <si>
    <t xml:space="preserve">استبدالُ النداءات الستة في Maintenance/mnt_helpers.php بنشرِ حدثين عبر App\Core\EventPublisher: MaintenanceOrderOpened وMaintenanceOrderClosed يحملان equipment_id وorder_id والحالةَ الفنية، وبناءُ مستهلكَين — أحدُهما في وحدة التشغيل يكتب operations والآخرُ في وحدة الأسطول يكتب equipments — فتبقى كلُّ إدارةٍ كاتبةً في جدولها.</t>
  </si>
  <si>
    <t xml:space="preserve">فتحُ أمرِ صيانةٍ وإقفالُه لا يُنتجان أيَّ استعلامِ كتابةٍ من كود الصيانة على operations أو equipments؛ بل حدثين يستهلكهما مستهلكان، والأثرُ يظهر في الجدولين خلال دورةٍ واحدة.</t>
  </si>
  <si>
    <t xml:space="preserve">الأسطرُ المذكورةُ كلُّها مطابقة: update('operations') في 65 و86 و130 و140، و update('equipments') في 118 و186، والسطر 140 يضع op_state='جاهزة' — كتابةٌ مباشرةٌ في جداول إدارتين أخريين بلا حدث. مخالفةٌ معماريةٌ لا تمنع الإطلاق.</t>
  </si>
  <si>
    <t xml:space="preserve">INJ-0279</t>
  </si>
  <si>
    <t xml:space="preserve">§١٥-٤ (readiness.php — جاهزية المعدات للتشغيل · ٢٣ عمودًا · فعلان · 4 إدارة) · §٨-٣ مرحلة ٢</t>
  </si>
  <si>
    <t xml:space="preserve">لوحة الإدارة (الدور 3) · ثانيًا: توزيع الموارد (الدور 1)</t>
  </si>
  <si>
    <t xml:space="preserve">«جاهزية المعدات للتشغيل» (readiness.php) أولُ شاشات إدارة الصيانة الثمانية بثلاثةٍ وعشرين عمودًا وفعلين وأربعِ إداراتٍ عارضة؛ ومستندُ الجاهزية «شهادة جاهزية فنية» معتمِدُها الصيانة (§٨-٣ مرحلة ٢).</t>
  </si>
  <si>
    <t xml:space="preserve">التصحيح: العلاجُ منحُ can_view للدورين لا إضافةُ صفوفٍ، والعرضُ محروسٌ مركزيًّا. — [مُصحَّح بعد التحقق] الصياغة الأولى: الشاشةُ الوحيدة التي تحمل هذا المعنى هي Fleet/readiness_board.php — في مجلد الأسطول ومربوطةٌ بسايدبارَي الدورين 1 (التشغيل) و3 (الأسطول) فقط. الدورانِ 13 و14 (الصيانة) لا يريانها إطلاقًا، ولا شاشةَ جا</t>
  </si>
  <si>
    <t xml:space="preserve">إدارةُ الصيانة — مالكةُ شهادة الجاهزية بنصِّ الوثيقة — لا ترى لوحةَ الجاهزية، بينما تملكها إدارتان أخريان. والحكمُ الفنيُّ على صلاحية المعدة (رسالةُ الإدارة كلِّها) بلا شاشةٍ في قائمة مالكه.</t>
  </si>
  <si>
    <t xml:space="preserve">بُنيت اللوحةُ في مسار M-26 للأسطول قبل إقرار ملكية الشاشة للصيانة، ولم تُراجَع الملكيةُ ولا الظهور.</t>
  </si>
  <si>
    <t xml:space="preserve">database/schema/seed_reference.sql:4167; :4200; :1388-1389; includes/permissions_helper.php:701</t>
  </si>
  <si>
    <t xml:space="preserve">١) ادخل بدور 13 ⇐ لا رابطَ لجاهزية المعدات في أيٍّ من مجموعاته الستّ. ٢) ادخل بدور 3 ⇐ الرابطُ في «لوحة الإدارة» وفي «ثانيًا: الجاهزية والتفعيل» (مرتين). ٣) افتح الشاشة بأيِّ دور ⇐ تُفتح بلا فحصِ صلاحية.</t>
  </si>
  <si>
    <t xml:space="preserve">إضافةُ صفِّ nav_items للدورين 13 و14 بمسار Fleet/readiness_board.php في مجموعةٍ أولى «أولًا: الجاهزية والحكم الفني» (أو نقلُ الملف إلى Maintenance/readiness.php وتحويلُ مسار الأسطول إليه)، وإضافةُ check_page_permissions إلى رأس الشاشة، وإضافةُ فعلَي «إصدار شهادة جاهزية» و«سحبها» بحارسِهما.</t>
  </si>
  <si>
    <t xml:space="preserve">الدور 13 يفتح «جاهزية المعدات للتشغيل» من سايدباره ويصدر منها شهادةَ جاهزية؛ ودورٌ بلا منحةٍ يُرفض 403.</t>
  </si>
  <si>
    <t xml:space="preserve">النتيجةُ صحيحة (الدوران 13 و14 لا يبلغان الشاشة، ولا شاشةَ جاهزيةٍ في Maintenance/) لكن سببَها المذكورَ خاطئ: صفوفُ nav_items للدورين **موجودةٌ ونشطة** (4167 · 4186 · 4200 · 4219) وتسقط لانعدام can_view؛ وادعاءُ «بلا أيِّ فحصِ صلاحية» مردودٌ بالفخ ① (الوحدة 196 مسجَّلة وinsidebar يحجب).</t>
  </si>
  <si>
    <t xml:space="preserve">INJ-0280</t>
  </si>
  <si>
    <t xml:space="preserve">§١٥-٣ المرحلة ٣ (ثالثًا: القطع والمواد — طلب صرف · سند صرف · 5 شاشة)</t>
  </si>
  <si>
    <t xml:space="preserve">القطع والمواد — طلب الصرف وسنده</t>
  </si>
  <si>
    <t xml:space="preserve">المرحلةُ الثالثة «القطع والمواد» مستندُها «طلب صرف · سند صرف» ومعتمِدُها أمينُ المخزن، وشاشاتُها خمس؛ و«لكل مرحلةٍ مستندٌ يُنتَج ومعتمِدٌ يشهد — ولا مرحلةَ بلا مخرَج».</t>
  </si>
  <si>
    <t xml:space="preserve">المرحلةُ ليست غائبةً من البذرة بل محجوبةٌ بالكامل لغياب المنح — والنتيجةُ المرئيةُ واحدة. — [مُصحَّح بعد التحقق] الصياغة الأولى: المرحلةُ الثالثة غائبةٌ كليًّا عن سايدبارَي الدورين 13 و14: المجموعاتُ تقفز من stage 2 «ثانيًا: أمر العمل والتكليف» إلى stage 4 «رابعًا: الوقائية بالساعات». لا رابطَ لطلب صرفٍ ولا لسند صرفٍ ولا لمخزنِ</t>
  </si>
  <si>
    <t xml:space="preserve">مرحلةٌ كاملةٌ من دورة الصيانة (خمسُ شاشاتٍ معلنة) بلا منفذٍ لمالكها؛ فطلبُ القطع يقع خارج النظام أو من شاشات المخازن بلا ربطٍ بأمر العمل، وتكلفةُ القطع في الأمر تُدخَل يدويًّا بلا سندِ صرفٍ يسندها.</t>
  </si>
  <si>
    <t xml:space="preserve">بذرةُ nav_items لم تُنشئ مجموعةً للمرحلة الثالثة لعدم وجود شاشاتٍ صيانيةٍ مقابلةٍ لها، ولم يُعلَن النقصُ في ملف التتبع.</t>
  </si>
  <si>
    <t xml:space="preserve">database/schema/seed_reference.sql (link_groups 3343/3344/3361/3362 · nav_items 6001-6005 و6034-6038 بلا role_permissions)</t>
  </si>
  <si>
    <t xml:space="preserve">١) ادخل بدور 13. ٢) اقرأ عناوين المجموعات ⇐ أولًا · ثانيًا · رابعًا · خامسًا · تقارير · خارج الوثيقة. ٣) لا مجموعةَ «ثالثًا». ٤) افتح أمرَ صيانةٍ وابحث عن زرِّ «طلب صرف قطع» ⇐ لا يوجد.</t>
  </si>
  <si>
    <t xml:space="preserve">إنشاءُ مجموعة link_groups بـstage_no=3 وstage_title «ثالثًا: القطع والمواد» للدورين 13 و14، وربطُ شاشات الصرف القائمة في Procurement/ (طلبُ الصرف وسندُه) بها عرضًا بنطاق أوامر الصيانة، وإضافةُ فعل «طلب صرف قطع» في بطاقة أمر الصيانة يُنشئ الطلبَ مرتبطًا برقم الأمر.</t>
  </si>
  <si>
    <t xml:space="preserve">الدور 13 يرى مجموعة «ثالثًا: القطع والمواد» فيها منفذُ طلبِ الصرف؛ وطلبُ صرفٍ منشأٌ من أمرِ صيانةٍ يحمل رقمَ الأمر ويظهر في سطور قطع الأمر بعد اعتماد أمين المخزن.</t>
  </si>
  <si>
    <t xml:space="preserve">مجموعتا المرحلة الثالثة موجودتان فعلًا للدورين (3343/3344 و3361/3362) بخمسةِ روابطَ لكلٍّ؛ والسببُ الحقيقيُّ غيابُ can_view للدورين 13 و14 على الوحدات 68 و69 و71 و72 و73 فتُرشَّح المرحلةُ كلُّها فتختفي.</t>
  </si>
  <si>
    <t xml:space="preserve">INJ-0281</t>
  </si>
  <si>
    <t xml:space="preserve">§١٥-٤ (risk_dept_mnt.php · gov_dept_mnt.php) · §١٥-٣ المرحلة ٨ (مخاطرُ الإدارة)</t>
  </si>
  <si>
    <t xml:space="preserve">مخاطر الصيانة / حوكمة إدارة الصيانة</t>
  </si>
  <si>
    <t xml:space="preserve">شاشتان من شاشات الصيانة الثمانِ: «مخاطر الصيانة» (risk_dept_mnt.php · ٢٢ عمودًا · ٣ أفعال) و«حوكمة إدارة الصيانة» (gov_dept_mnt.php · ١٥ عمودًا · فعلان)؛ والمرحلةُ الثامنة «مخاطرُ الإدارة» مستندُها «سجلُّ مخاطرٍ مقروءٌ ودليلُ ضوابط».</t>
  </si>
  <si>
    <t xml:space="preserve">«حوكمة إدارة الصيانة» غيرُ موجودةٍ ملفًّا ولا رابطًا (لا gov_dept_mnt.php في المستودع). و«مخاطر الصيانة» ممثَّلةٌ برابطٍ عامٍّ «مساحة مخاطر الإدارة» يقود إلى Risk/dept_risk_space.php، وموضعُه المجموعةُ الأخيرة عنوانُها «خارج الوثيقة — بانتظار قرار المالك» في سايدبار الدور 13 فقط — والدور 14 بلا أيِّ رابطِ مخاطر.</t>
  </si>
  <si>
    <t xml:space="preserve">شاشتان معلنتان من ثمانٍ ناقصتان أو مُساءُ وضعُهما؛ ومرحلةُ المخاطر الثامنة تظهر تحت عنوانٍ يقول للمستخدم إنها «خارج الوثيقة». ومشرفُ الصيانة لا يرى مخاطرَ إدارته إطلاقًا.</t>
  </si>
  <si>
    <t xml:space="preserve">المكوّنُ الموحَّد للمخاطر أُلحق بمجموعة الاحتياط بدل مرحلته المعلنة، وملفُّ حوكمة الإدارة لم يُولَّد رغم وجود المكوّن العام includes/dept_gov_space.php.</t>
  </si>
  <si>
    <t xml:space="preserve">database/schema/seed_reference.sql: nav_items 6839 (group 2093); Risk/dept_risk_space.php:1; includes/dept_gov_space.php:1</t>
  </si>
  <si>
    <t xml:space="preserve">١) ادخل بدور 13 ⇐ المجموعةُ الأخيرة «خارج الوثيقة» فيها «مساحة مخاطر الإدارة». ٢) ادخل بدور 14 ⇐ لا رابطَ مخاطرَ إطلاقًا. ٣) ابحث عن «حوكمة إدارة الصيانة» ⇐ لا شيء.</t>
  </si>
  <si>
    <t xml:space="preserve">إنشاءُ مجموعة link_groups بـstage_no=8 وstage_title «مخاطر الصيانة» للدورين 13 و14 ونقلُ صفِّ Risk/dept_risk_space.php إليها بعنوانٍ خاصٍّ بالإدارة، وإنشاءُ Maintenance/gov_dept_mnt.php باستدعاء includes/dept_gov_space.php وربطُه بمجموعة التقارير.</t>
  </si>
  <si>
    <t xml:space="preserve">الدوران 13 و14 يريان مجموعة «مخاطر الصيانة» بعنصرٍ واحدٍ بعنوانٍ خاصٍّ بالإدارة، ورابطًا لـ«حوكمة إدارة الصيانة» يفتح مساحةَ حوكمة الوحدة.</t>
  </si>
  <si>
    <t xml:space="preserve">لا ملفَّ gov_dept_mnt.php في المستودع، ورابطُ «مساحة مخاطر الإدارة» للدور 13 في مجموعة stage_no=99 «خارج الوثيقة» (nav_items 6839)، والدورُ 14 بلا أيِّ رابطِ مخاطرَ إطلاقًا.</t>
  </si>
  <si>
    <t xml:space="preserve">INJ-0282</t>
  </si>
  <si>
    <t xml:space="preserve">§١٥-٣ المرحلة ٤ (رابعًا: الوقائية بالساعات — خطة وقائية نافذة)</t>
  </si>
  <si>
    <t xml:space="preserve">الوقائية بالساعات</t>
  </si>
  <si>
    <t xml:space="preserve">رابعًا: الوقائية بالساعات</t>
  </si>
  <si>
    <t xml:space="preserve">المرحلةُ الرابعة «الوقائية بالساعات» مستندُها «خطة وقائية نافذة» ومعتمِدُها مديرُ الصيانة، وشاشاتُها ثلاث؛ والوقائيةُ تُقاس بساعات المحرّك.</t>
  </si>
  <si>
    <t xml:space="preserve">المنحُ للدورين 13 و14 على الموديول 308 عرضٌ فقط (1,0,0,0)؛ غير أن Timesheet/timesheet.php لا يفحص أيَّ صلاحيةٍ إطلاقًا — فالكتابةُ متاحةٌ لكل مسجَّلٍ دخوله، وسحبُ المنحة لا يمنعها. — [مُصحَّح بعد التحقق] الصياغة الأولى: المجموعة تحوي رابطين: «خطط الصيانة الوقائية» (Maintenance/preventive_plans.php — صحيح) و«تسجيل التايم شيت والإنتاج» (Timesheet/timesheet.php) بعنوانٍ فرعيٍّ «ساعات المحرّك». والثاني شاشةُ إدخالِ التاي</t>
  </si>
  <si>
    <t xml:space="preserve">دورُ الصيانة يفتح شاشةَ إدخال التايم شيت — وهي مصدرُ الاستحقاق والفوترة — بأفعالها الكاملة، بينما حاجتُه قراءةُ عدّاد الساعات فقط. وشاشتُه المخصصة لذلك معطَّلة. خلطُ نطاقين ذوَي أثرٍ ماليٍّ مختلف.</t>
  </si>
  <si>
    <t xml:space="preserve">بُذر الرابطُ إلى الشاشة العامة لتغطية «ساعات المحرّك» بدل ربط الشاشة الصيانية المخصصة القائمة.</t>
  </si>
  <si>
    <t xml:space="preserve">Timesheet/timesheet.php:229; Maintenance/equipment_hours_preventive.php:1; Maintenance/preventive_plans.php:1; database/schema/seed_reference.sql (nav_items role_id=13/14 stage_no=4 route='Timesheet/timesheet.php' subhead='ساعات المحرّك')</t>
  </si>
  <si>
    <t xml:space="preserve">١) ادخل بدور 13. ٢) افتح «رابعًا ← تسجيل التايم شيت والإنتاج» ⇐ شاشةُ إدخال التايم شيت الكاملة. ٣) اكتب http://localhost/ems/Maintenance/equipment_hours_preventive.php ⇐ تُفتح ولا رابطَ لها.</t>
  </si>
  <si>
    <t xml:space="preserve">استبدالُ صفِّ nav_items في المرحلة الرابعة ليشير إلى Maintenance/equipment_hours_preventive.php بعنوان «ساعات المعدة للوقائية»، وسحبُ منحة الكتابة على Timesheet/timesheet.php من الدورين 13 و14 وإبقاءُ العرض إن لزم.</t>
  </si>
  <si>
    <t xml:space="preserve">الدور 13 يفتح «ساعات المعدة للوقائية» من مجموعة الوقائية ويقرأ عدّادَ الساعات؛ ولا يجد شاشةَ إدخال التايم شيت في قائمته، ونداؤه المباشرُ للكتابة عليها يُرفض.</t>
  </si>
  <si>
    <t xml:space="preserve">المجموعةُ 3346/3364 «ساعات المحرّك» في المرحلة الرابعة تحوي Timesheet/timesheet.php فعلًا، وMaintenance/equipment_hours_preventive.php موجودٌ وصفُّه في nav_items بـactive=0 أي بلا منفذ.</t>
  </si>
  <si>
    <t xml:space="preserve">INJ-0283</t>
  </si>
  <si>
    <t xml:space="preserve">§٤-٥ «لكلٍّ وجهةٌ حيةٌ موجودة» · §١٥-٣ المرحلة ٥ (الإقفال وإعادة الخدمة)</t>
  </si>
  <si>
    <t xml:space="preserve">المرحلةُ الخامسة «الإقفال وإعادة الخدمة» شاشتان في الوثيقة، والقائمةُ تُولَّد من مصفوفة العرض بلا رابطٍ يدوي.</t>
  </si>
  <si>
    <t xml:space="preserve">لـreturn_to_service.php صفُّ nav_items للدور 13 لكنه معطَّلٌ (active=0, module_id فارغ) في مجموعة 99 — لا «انعدامُ صفّ». — [مُصحَّح بعد التحقق] الصياغة الأولى: مجموعةُ «خامسًا: الإقفال وإعادة الخدمة» في سايدبار الدورين 13 و14 تحوي رابطًا واحدًا فقط عنوانُه «أوامر الصيانة» يقود إلى Maintenance/orders.php#n9g13i1 — أي الملفَّ نفسَه المرتبطَ بالمرحلة الثانية بم</t>
  </si>
  <si>
    <t xml:space="preserve">المرحلةُ الخامسة في القائمة تعيد المستخدمَ إلى شاشة المرحلة الثانية؛ فمن يريد إقفالَ أمرٍ وإعادةَ معدةٍ للخدمة لا يجد شاشتَه، ويُنفَّذ الإقفالُ من شاشة الأوامر بمسارٍ مختلفٍ لا يُنتج شهادةَ جاهزية. وتكرارُ الملفِّ بمرساةٍ يخالف «صفرُ عنصرٍ مكرر».</t>
  </si>
  <si>
    <t xml:space="preserve">بذرةُ nav_items سدّت المرحلةَ بأقرب ملفٍّ قائمٍ باستعمال لاحقة مرساةٍ للالتفاف على المفتاح الفريد، ولم يُنشأ صفٌّ للشاشة الحقيقية.</t>
  </si>
  <si>
    <t xml:space="preserve">database/schema/seed_reference.sql (nav_items للدورين 13/14: stage 2 و5 على Maintenance/orders.php; صفُّ return_to_service.php active=0)</t>
  </si>
  <si>
    <t xml:space="preserve">١) ادخل بدور 13. ٢) افتح «خامسًا: الإقفال وإعادة الخدمة» ⇐ رابطٌ واحدٌ «أوامر الصيانة». ٣) اضغطه ⇐ شاشةُ الأوامر نفسُها التي في «ثانيًا».</t>
  </si>
  <si>
    <t xml:space="preserve">استبدالُ صفِّ nav_items للمرحلة ٥ ليشير إلى Maintenance/return_to_service.php بعنوان «العودة للخدمة وشهادة الجاهزية»، وإضافةُ صفٍّ ثانٍ للمرحلة (محضرُ الإقفال) إن أُنشئت شاشتُه، وحذفُ لاحقة المرساة.</t>
  </si>
  <si>
    <t xml:space="preserve">مجموعةُ «خامسًا: الإقفال وإعادة الخدمة» تفتح شاشةَ العودة للخدمة؛ ولا يحوي أيُّ صفٍّ في nav_items محرفَ '#'.</t>
  </si>
  <si>
    <t xml:space="preserve">مجموعةُ «خامسًا: الإقفال وإعادة الخدمة» للدورين 13 و14 تحوي رابطًا واحدًا هو Maintenance/orders.php#n9g13i1 (الملفُّ نفسُه المرتبطُ بالمرحلة الثانية)، وMaintenance/return_to_service.php لا يُعرض لأي دور.</t>
  </si>
  <si>
    <t xml:space="preserve">INJ-0284</t>
  </si>
  <si>
    <t xml:space="preserve">§٤-٥ «لكلٍّ وجهةٌ حيةٌ موجودة» · §١٥-٣ المرحلة ٦ (متابعة الصيانة — 3 شاشة)</t>
  </si>
  <si>
    <t xml:space="preserve">لوحة متابعة الصيانة</t>
  </si>
  <si>
    <t xml:space="preserve">http://localhost/ems/Maintenance/dashboard_mnt.php</t>
  </si>
  <si>
    <t xml:space="preserve">المرحلةُ السادسة «متابعة الصيانة» ثلاثُ شاشاتٍ في الوثيقة، ولوحةُ إدارتي (المنطقة ②) محتواها لوحةُ المؤشرات وغرفةُ العمليات إن وُجدت.</t>
  </si>
  <si>
    <t xml:space="preserve">صفّا nav_items 477 و478 قائمان بـactive=0 في مجموعتَي «خارج الوثيقة»، والموديولُ 138 بـis_link=0؛ وroleBoardRoute التي تربط الدور 13 باللوحة لا يستدعيها إلا tests/. — [مُصحَّح بعد التحقق] الصياغة الأولى: Maintenance/dashboard_mnt.php موجودةٌ وتحسب مؤشراتِ الصيانة (منها عدّادُ المعدات المعطلة من operations) وتستدعي حارسَ صلاحية، لكنها بلا صفِّ nav_items في أيِّ سايدبار. ومجموعةُ «لوحة الإدارة» للدورين </t>
  </si>
  <si>
    <t xml:space="preserve">مديرُ الصيانة يفتح النظامَ ولا يجد حالةَ إدارته قبل تفصيلها: لا عدّادَ أوامرَ مفتوحة ولا معطلاتٍ ولا متأخرات. المنطقةُ ② المنصوصُ عليها فارغةٌ من محتواها، ومرحلةُ المتابعة كلُّها بلا منفذ.</t>
  </si>
  <si>
    <t xml:space="preserve">بُنيت اللوحةُ ولم يُنشأ لها صفُّ nav_items، ولم تُنشأ مجموعةٌ للمرحلة السادسة.</t>
  </si>
  <si>
    <t xml:space="preserve">database/schema/seed_reference.sql:190; :3798; :3799; includes/role_board.php:47-67</t>
  </si>
  <si>
    <t xml:space="preserve">١) ادخل بدور 13. ٢) المجموعة الأولى «لوحة الإدارة» ⇐ روابطُ عامةٌ فقط. ٣) لا مجموعةَ «متابعة الصيانة». ٤) اكتب http://localhost/ems/Maintenance/dashboard_mnt.php ⇐ تُفتح.</t>
  </si>
  <si>
    <t xml:space="preserve">إضافةُ صفِّ nav_items للدورين 13 و14 بمسار Maintenance/dashboard_mnt.php وlabel «لوحة الصيانة» في المجموعة الأولى بعد «الرئيسية»، وإنشاءُ مجموعة stage_no=6 «متابعة الصيانة» تحوي شاشاتِ المتابعة (الأعطال المفتوحة · ساعاتُ الوقائية · العودة للخدمة).</t>
  </si>
  <si>
    <t xml:space="preserve">الدور 13 يرى لوحةَ الصيانة أولَ عنصرٍ بعد الرئيسية وتعرض مؤشراتِ إدارته؛ ومجموعةُ «متابعة الصيانة» موجودةٌ بثلاثة روابط.</t>
  </si>
  <si>
    <t xml:space="preserve">اللوحةُ غيرُ قابلةٍ للوصول فعلًا، لكن لا لانعدام nav_items: الصفّان 477 و478 للدورين 13 و14 معطَّلان (active=0)، وroleBoardRoute(13) الذي يحلّها بلا مستدعٍ إنتاجيٍّ (اختباراتٌ فقط).</t>
  </si>
  <si>
    <t xml:space="preserve">INJ-0285</t>
  </si>
  <si>
    <t xml:space="preserve">q6_export · GOVX-0975 (سجلُّ التصدير) · «التصديرُ يحترم المنظرَ والفلاتر»</t>
  </si>
  <si>
    <t xml:space="preserve">أوامر الصيانة — التصدير والاستيراد</t>
  </si>
  <si>
    <t xml:space="preserve">التصديرُ يحترم المنظرَ الحاليَّ والفلاترَ ويُسجَّل بتسعة بنود؛ والاستيرادُ يمرّ بحرّاس الإدخال اليدويِّ نفسِها.</t>
  </si>
  <si>
    <t xml:space="preserve">لا كيانَ صيانةٍ مسجَّلٌ في إطار التصدير/الاستيراد الموحَّد: قائمةُ الشاشات المستورِدة الخمسِ والعشرين لا تحوي أيَّ شاشةٍ من Maintenance/. فأوامرُ الصيانة (٣٦ عمودًا) وسجلُّ الفحص اليومي وخططُ الوقائية بلا تصديرٍ ولا استيرادٍ إطلاقًا — لا زرَّ ولا مسار.</t>
  </si>
  <si>
    <t xml:space="preserve">إدارةُ الصيانة لا تستطيع إخراجَ بياناتها للمراجعة أو التحليل من داخل النظام؛ فيلجأ العاملون إلى النسخ اليدويِّ من الشاشة أو الاستعلام المباشر على القاعدة — وهو ما يفتح بابَ التسريب بلا سجلٍّ ويكسر «مخرَجٌ لا مدخَل — ومن يفتحها يفتحها بقصد».</t>
  </si>
  <si>
    <t xml:space="preserve">لم تُسجَّل كياناتُ الصيانة في app/Services/Excel/ExcelRegistry في أيِّ موجة.</t>
  </si>
  <si>
    <t xml:space="preserve">app/Services/Excel/ExcelRegistry.php:429; excel.php:70; includes/excel_ui.php:45; Maintenance/orders.php:1</t>
  </si>
  <si>
    <t xml:space="preserve">١) افتح Maintenance/orders.php ⇐ لا زرَّ تصديرٍ ولا استيراد. ٢) اكتب excel.php?entity=mnt_order&amp;action=export ⇐ كيانٌ غيرُ معرَّف.</t>
  </si>
  <si>
    <t xml:space="preserve">تسجيلُ كيانَي mnt_order وmnt_inspection في app/Services/Excel/ExcelRegistry بأعمدةٍ مصنَّفةٍ وموديولٍ مالكٍ (Maintenance/orders.php)، وإضافةُ أزرار التصدير عبر includes/excel_ui.php، مع تمرير فلاتر الشاشة وكتابةِ صفِّ سجلِّ تصديرٍ بالبنود التسعة.</t>
  </si>
  <si>
    <t xml:space="preserve">شاشةُ أوامر الصيانة تعرض زرَّ تصديرٍ ينتج ملفًّا مطابقًا للفلتر المطبَّق، ويُنتج صفَّ سجلِّ تصديرٍ كاملًا؛ والاستيرادُ إمّا ممنوعٌ بقرارٍ موثَّقٍ أو يمرّ بحرّاس الشاشة.</t>
  </si>
  <si>
    <t xml:space="preserve">سجلُّ ExcelRegistry يحوي 24 كيانًا ليس فيها أيُّ كيانِ صيانة، ولا ملفَّ في Maintenance/ يُضمّن includes/excel_ui.php — فلا تصديرَ ولا استيرادَ محكومًا للوحدة.</t>
  </si>
  <si>
    <t xml:space="preserve">INJ-0286</t>
  </si>
  <si>
    <t xml:space="preserve">§٤-٥ «◆ لا يُعرض عنصرٌ لا يملكه المستخدمُ» · ownership_rules</t>
  </si>
  <si>
    <t xml:space="preserve">سجل الأحداث المالية (داخل سايدبار الصيانة)</t>
  </si>
  <si>
    <t xml:space="preserve">«لا يُعرض عنصرٌ لا يملكه المستخدمُ — ولا يُعرض معطَّلًا»؛ و«ما لا تملكه إدارةُ الصيانة: القيدَ المالي».</t>
  </si>
  <si>
    <t xml:space="preserve">سايدبار الدور 13 يحوي في مجموعته الأخيرة «خارج الوثيقة — بانتظار قرار المالك» رابطًا إلى Finance/events_list_fin.php («سجل الأحداث المالية») — شاشةُ الأحداث المالية للمنشأة. وهي من الشاشات التي لا تكتب سجلَّ تدقيق، وتحمل تصديرًا عميلَ الجانب (أزرار DataTables) يخرج صفوفَ الصفحة الحالية بلا سجلِّ تصدير.</t>
  </si>
  <si>
    <t xml:space="preserve">مديرُ الصيانة يرى سجلَّ الأحداث المالية للمنشأة في قائمته — بيانٌ ماليٌّ خارج نطاق إدارته كلِّها، ويستطيع تصديرَه بزرٍّ عميلِ الجانب بلا أيِّ سجل. تسريبُ نطاقٍ بين إدارتين عبر السايدبار.</t>
  </si>
  <si>
    <t xml:space="preserve">أُلحقت الشاشةُ بمجموعة الاحتياط للدور 13 في بذرةٍ آليةٍ بلا مراجعةِ ملكيةٍ ولا نطاق.</t>
  </si>
  <si>
    <t xml:space="preserve">database/schema/seed_reference.sql:3661; :2873-2879; Finance/events_list_fin.php:484-488</t>
  </si>
  <si>
    <t xml:space="preserve">١) ادخل بدور 13. ٢) افتح المجموعة الأخيرة ⇐ «سجل الأحداث المالية». ٣) اضغطه ⇐ تُفتح شاشةُ الأحداث المالية. ٤) اضغط زرَّ التصدير ⇐ ملفٌّ بلا سجلِّ تصدير.</t>
  </si>
  <si>
    <t xml:space="preserve">حذفُ صفِّ nav_items الخاص بـFinance/events_list_fin.php من سايدبار الدور 13، وسحبُ منحة can_view عنه من الدور 13 في role_permissions، وإن كان الدورُ يحتاج أحداثَ الصيانة المالية فتُبنى له شاشةُ عرضٍ مرشَّحةٌ بنطاق إدارته لا الشاشةُ العامة.</t>
  </si>
  <si>
    <t xml:space="preserve">سايدبارُ الدور 13 خالٍ من أيِّ شاشةٍ ماليةٍ عامة؛ ونداؤه المباشرُ لـFinance/events_list_fin.php يُرفض 403 ويُسجَّل.</t>
  </si>
  <si>
    <t xml:space="preserve">للدور 13 صفٌّ حيٌّ (171) على Finance/events_list_fin.php داخل المجموعة 2093 «أخرى — للمراجعة» ذاتِ stage_title «خارج الوثيقة — بانتظار قرار المالك»، وهي شاشةُ الأحداث المالية العامةُ لا مرشَّحةً بنطاق الصيانة.</t>
  </si>
  <si>
    <t xml:space="preserve">INJ-0287</t>
  </si>
  <si>
    <t xml:space="preserve">CM-10 «إظهار كل الأعمدة» · CM-09 المناظر · أعمدةُ أوامر الصيانة ٣٦</t>
  </si>
  <si>
    <t xml:space="preserve">«إظهار كل الأعمدة» بالاسم الموحَّد في كل الشاشات ولا يُغيَّر نصُّه؛ وشاشةُ «أوامر الصيانة» أطولُ شاشات الإدارة بستةٍ وثلاثين عمودًا فتلزمها مناظرُها.</t>
  </si>
  <si>
    <t xml:space="preserve">ثماني شبكاتٍ في Maintenance/ بلا زرِّ «إظهار كل الأعمدة» ولا منتقي مناظر، منها أوامرُ الصيانة (٣٦ عمودًا معلنًا) والفحصُ اليومي (٢٤) والخططُ الوقائية (٢٥) والورشُ (٢٤). النصُّ الموحَّد للزر يظهر في موضعٍ واحدٍ في المستودع (includes/u13_screen_kit.php:319) ولا تستعمله شاشاتُ الصيانة، والبديلُ غيرُ القياسيِّ «إظهار الكل/إخفاء الكل» في assets/js/column-groups.js مستعملٌ في ثماني شاشاتٍ ليس منها أيُّ شاشةِ صيانة.</t>
  </si>
  <si>
    <t xml:space="preserve">أطولُ شاشةٍ في الإدارة تُعرض بلا أداةِ تحكّمٍ في الأعمدة ولا منظر؛ فنيُّ الورشة ومديرُ الصيانة يريان الأعمدةَ الستةَ والثلاثين نفسَها رغم اختلاف قرارهما — وهو ما تعالجه المناظرُ بمحدِّداتها الثمانية، وصفرٌ منها منفَّذٌ هنا.</t>
  </si>
  <si>
    <t xml:space="preserve">طقمُ u13 غيرُ مضمَّنٍ في المجلد وتصنيفُ الحقول في gov_field_class غيرُ منجَزٍ لشاشات الصيانة.</t>
  </si>
  <si>
    <t xml:space="preserve">Maintenance/orders.php:1; Maintenance/inspections.php:1; includes/u13_screen_kit.php:317-321; assets/js/column-groups.js:47-49</t>
  </si>
  <si>
    <t xml:space="preserve">١) افتح Maintenance/orders.php بدور 13. ٢) ابحث عن زرٍّ نصُّه «إظهار كل الأعمدة» أو منتقي مناظر ⇐ لا يوجد. ٣) كرّر على inspections وpreventive_plans وworkshop ⇐ النتيجةُ نفسُها.</t>
  </si>
  <si>
    <t xml:space="preserve">تضمينُ includes/u13_screen_kit.php في شاشات Maintenance/ وتصنيفُ حقولها في gov_field_class إلى مجموعتين على الأقل، وتعريفُ منظرين لأوامر الصيانة: «تنفيذ الورشة» (للدور 14) و«إشراف وإقفال» (للدور 13) — فيتحقق محدِّدا الدور والقرار.</t>
  </si>
  <si>
    <t xml:space="preserve">فريق الفرونت-إند — وحدة الصيانة</t>
  </si>
  <si>
    <t xml:space="preserve">كلُّ شبكةٍ في Maintenance/ تعرض زرًّا نصُّه حرفيًّا «إظهار كل الأعمدة» ومنتقيَ مناظرَ بمنظرين على الأقل، والحالةُ محفوظةٌ بين الزيارات.</t>
  </si>
  <si>
    <t xml:space="preserve">صفرُ ملفٍّ في Maintenance/ يضمّن u13_screen_kit أو column-groups.js، والنصُّ الموحَّدُ للزر في موضعٍ واحدٍ بالمستودع (u13_screen_kit.php:319) — فشبكاتُ الصيانة بلا زرٍّ ولا مناظر.</t>
  </si>
  <si>
    <t xml:space="preserve">INJ-0288</t>
  </si>
  <si>
    <t xml:space="preserve">▐ ١١-٣ (workshop.php — الورش والفنيون · ٢٤ عمودًا) · ▐ ٧-٢ أثرُ كلِّ فعل</t>
  </si>
  <si>
    <t xml:space="preserve">الورش والفنيون</t>
  </si>
  <si>
    <t xml:space="preserve">http://localhost/ems/Maintenance/workshop.php</t>
  </si>
  <si>
    <t xml:space="preserve">«الورش والفنيون» شاشةٌ من شاشات الصيانة الثمانية بأربعةٍ وعشرين عمودًا؛ والمرحلةُ الثانية «أمر العمل والتكليف» تُكلِّف فنيًّا بأمرٍ — فالفنيُّ مرجعٌ يُختار لا نصٌّ يُكتب.</t>
  </si>
  <si>
    <t xml:space="preserve">العرضُ محروسٌ مركزيًّا (الشاشةُ مسجَّلةٌ modules 280 فيفرض insidebar can_view)؛ وتكليفُ الفنيِّ في orders.php يستعمل technician_id مفتاحًا على employees وهي «مصدرُ الحقيقة لأسطر العمالة» — فالعيبُ سجلٌّ يتيمٌ مواز لا نصٌّ حرٌّ في التكليف. — [مُصحَّح بعد التحقق] الصياغة الأولى: الشاشة نموذجُ CMP-03 عامّ: حقولُها كلُّها نصٌّ حرٌّ تُحفظ صفًّا في جدولِ عرضٍ عبر cmp03_store_insert، بلا فحصِ صلاحيةٍ (لا check_page_permissions)، وبلا تعديلٍ أو حذفٍ أو اعتماد. ولا يقرأ منها شيء: تك</t>
  </si>
  <si>
    <t xml:space="preserve">سجلُّ الورش والفنيين — مرجعُ التكليف في المرحلة الثانية — قائمةُ نصوصٍ لا يقرؤها أحد؛ فلا يمكن التحقّقُ من أهلية الفني ولا قياسُ حمله ولا ربطُ تكلفة العمالة بمصدرها. وهي مفتوحةٌ للكتابة لكل مستخدمٍ مصادَق.</t>
  </si>
  <si>
    <t xml:space="preserve">الشاشة وُلدت من مولّد CMP-03 لتغطية أعمدة المستند شكلًا بانتظار «مهمة اللحاق» في docs/CMP03_FOLLOWUP_SOURCES_ar.md، ولم تُوصَل بجدولٍ حقيقيٍّ ولا بحارس.</t>
  </si>
  <si>
    <t xml:space="preserve">Maintenance/workshop.php:84-92; :129; includes/cmp03_registry.php:782-798; Maintenance/orders.php:80-92</t>
  </si>
  <si>
    <t xml:space="preserve">١) ادخل بأيِّ دورٍ له company_id واكتب http://localhost/ems/Maintenance/workshop.php ⇐ تُفتح ويمكن الحفظ. ٢) أضف فنيًّا. ٣) افتح Maintenance/orders.php وابحث عنه في قائمة تكليف الفنيين ⇐ غيرُ موجود.</t>
  </si>
  <si>
    <t xml:space="preserve">إنشاءُ جدولَي workshops وtechnicians حقيقيَّين (أو استعمالُ سجل الموظفين بتصنيفٍ فنيّ)، وربطُ Maintenance/workshop.php بهما، وتحويلُ حقل الفني في Maintenance/orders.php وسطورِ mnt_order_labor إلى مفتاحٍ أجنبيٍّ عليهما، وإضافةُ check_page_permissions إلى رأس الشاشة.</t>
  </si>
  <si>
    <t xml:space="preserve">إضافةُ فنيٍّ في شاشة الورش تجعله متاحًا فورًا في قائمة تكليف أوامر الصيانة، وسطرُ عمالةٍ في أمرٍ يشير إليه بمفتاحٍ لا بنصّ؛ ودورٌ بلا منحةٍ يُرفض 403.</t>
  </si>
  <si>
    <t xml:space="preserve">workshop.php نموذجُ CMP-03 يكتب scr_workshop عبر cmp03_store_insert (سطر 90) وصفرُ قارئٍ لهذا الجدول في المستودع؛ والكتابةُ تقع قبل include insidebar (سطر 129) فهي بلا حارسِ صلاحيةٍ فعليّ.</t>
  </si>
  <si>
    <t xml:space="preserve">INJ-0289</t>
  </si>
  <si>
    <t xml:space="preserve">TABLE 53 (سجلُّ التدقيق) · «كلُّ فعلٍ يكتب» · TABLE 54 (لا رجعية)</t>
  </si>
  <si>
    <t xml:space="preserve">شاشات إدارة الصيانة</t>
  </si>
  <si>
    <t xml:space="preserve">http://localhost/ems/Maintenance/</t>
  </si>
  <si>
    <t xml:space="preserve">«سجلُّ التدقيق | الفاعلُ بصفته · الوقتُ · الفعلُ · القيمةُ قبلَ وبعد · رمزُ العملية | كلُّ فعلٍ يكتب»، و«المستندُ المعتمدُ لا يُعدَّل ولا يُحذف. والتصحيحُ حركةٌ جديدةٌ … والسجلُّ يحفظ الأصلَ والتصحيحَ معًا».</t>
  </si>
  <si>
    <t xml:space="preserve">يوجد حارسُ حالةٍ يمنع إعادةَ فتح المقفل إلى حالةٍ نشطة (orders.php:225-230)، لكنّ تعديلَ بقية حقول الأمر المقفل يمرّ بلا أثرٍ ولا حركةٍ عاكسة. — [مُصحَّح بعد التحقق] الصياغة الأولى: من أربعةَ عشرَ ملفًّا في Maintenance/ يستدعي ملفٌّ واحدٌ فقط موصلَ التدقيق (Maintenance/preventive_plans.php). أوامرُ الصيانة (٧ نقاط كتابة) والفحصُ اليومي (١٠ نقاط) والعودةُ للخدمة (نقطتان) والمرجعُ </t>
  </si>
  <si>
    <t xml:space="preserve">التكلفةُ (عمالةٌ وقطعٌ وخارجي) وحالةُ الأمر وتاريخُ الإقفال قابلةٌ للتعديل بعد الإقفال بلا أثر؛ فلا يمكن إثباتُ القيمة الأصلية لأمرٍ أُقفل، ولا كشفُ من غيّرها. قاعدةُ عدم الرجعية غيرُ منفَّذةٍ في إدارةٍ تُنتج تكلفةً تنتقل إلى المالية.</t>
  </si>
  <si>
    <t xml:space="preserve">الموصلُ ems_audit_change طُبّق على العقود والتسويات والقيود ولم يُعمَّم على مجلد الصيانة؛ ولا حارسَ يمنع تعديلَ مستندٍ مقفل.</t>
  </si>
  <si>
    <t xml:space="preserve">Maintenance/preventive_plans.php:187-188; Maintenance/orders.php:269; includes/audit_trail.php:20</t>
  </si>
  <si>
    <t xml:space="preserve">١) نفّذ grep -c "ems_audit_change" على ملفات Maintenance/ ⇐ ملفٌّ واحدٌ غيرُ صفر. ٢) عدّل تكلفةَ أمرٍ حالتُه «إغلاق». ٣) استعلم activity_logs ⇐ لا صفَّ بقيمةٍ قبل.</t>
  </si>
  <si>
    <t xml:space="preserve">إضافةُ نداءَي ems_audit_change (قبل/بعد) في معالجات الكتابة في Maintenance/orders.php وinspections.php وreturn_to_service.php وmaster_data.php بمجالٍ 'maintenance'، وإضافةُ حارسٍ يمنع تعديلَ أمرٍ حالتُه «إغلاق» ويوجّه إلى فعلِ «إعادة فتحٍ بسبب» ينشئ حركةً مرتبطةً بالأصل.</t>
  </si>
  <si>
    <t xml:space="preserve">كلُّ تعديلٍ على أمرِ صيانةٍ يُنتج صفَّ تدقيقٍ بقيمة قبل وبعد؛ ومحاولةُ تعديل أمرٍ مقفلٍ تُرفض وتُوجَّه إلى إعادة فتحٍ بسببٍ تُسجَّل حركتُها.</t>
  </si>
  <si>
    <t xml:space="preserve">من ملفات Maintenance/ يستدعي preventive_plans.php وحدَه ems_audit_change (السطر 188)، وأوامرُ الصيانة والفحصُ والعودةُ للخدمة بلا صفِّ تدقيقٍ بقيم قبل/بعد؛ وتعديلُ أمرٍ مقفلٍ ممكنٌ فعلًا في الحقول الأخرى.</t>
  </si>
  <si>
    <t xml:space="preserve">INJ-0290</t>
  </si>
  <si>
    <t xml:space="preserve">PR-05 · TABLE 46 · «الحارسُ في الخادم لكلِّ فعلِ كتابة»</t>
  </si>
  <si>
    <t xml:space="preserve">الفحص الفني اليومي</t>
  </si>
  <si>
    <t xml:space="preserve">http://localhost/ems/Maintenance/inspections.php</t>
  </si>
  <si>
    <t xml:space="preserve">أولًا: استقبال العطل وتشخيصه</t>
  </si>
  <si>
    <t xml:space="preserve">«كل ضغطة إجراء حسّاس تُقيَّد في سجل التدقيق بفاعلها ووقتها ونتيجتها»، ولكلِّ فعلِ كتابةٍ حارسٌ ومفتاحُ منعِ تكرارٍ ورمزُ حمايةٍ من التزوير.</t>
  </si>
  <si>
    <t xml:space="preserve">شاشةُ الفحص اليومي (٩١ ك.ب · عشرُ نقاطِ كتابة) تفحص الصلاحيةَ (check_page_permissions) لكنها بلا رمز CSRF في أيِّ نموذج، وبلا نداءِ ems_audit_change، وبلا مفتاحِ منعِ تكرارٍ على إدراج الفحص — فإعادةُ إرسال النموذج تُنشئ فحصًا ثانيًا لنفس المعدة ونفس اليوم. وهي مصدرُ «التشخيص المعتمد» في المرحلة الأولى.</t>
  </si>
  <si>
    <t xml:space="preserve">سجلُّ الفحص اليومي — الأساسُ الفنيُّ الذي يُبنى عليه فتحُ الأوامر وإسنادُ التوقف — قابلٌ للتكرار الصامت وللتعديل بلا أثر، وعرضةٌ لطلبٍ مزوَّر. وتضاربُ فحصين لنفس اليوم يُفسد المؤشراتِ والمطالبة.</t>
  </si>
  <si>
    <t xml:space="preserve">المجلدُ كلُّه بلا طبقة CSRF ولم يُلحق بموصل التدقيق؛ ولا فهرسَ فريدٍ على (المعدة، التاريخ، الوردية) في جدول الفحص.</t>
  </si>
  <si>
    <t xml:space="preserve">Maintenance/inspections.php:22; :343-345; database/schema/schema.sql:6594-6626</t>
  </si>
  <si>
    <t xml:space="preserve">١) بدور 13 سجّل فحصًا لمعدةٍ اليوم. ٢) اضغط زرَّ الرجوع وأعد الإرسال ⇐ فحصٌ ثانٍ لنفس المعدة ونفس اليوم. ٣) استعلم activity_logs ⇐ لا صفَّ بقيمةٍ قبل.</t>
  </si>
  <si>
    <t xml:space="preserve">إضافةُ فهرسٍ فريدٍ على (company_id, equipment_id, inspection_date, shift) في mnt_inspection وردِّ 409 عند التكرار، وتوليدِ رمز CSRF والتحقّقِ منه في نماذج Maintenance/inspections.php، ونداءِ ems_audit_change عند كل حفظٍ بمجالٍ 'maintenance'.</t>
  </si>
  <si>
    <t xml:space="preserve">إعادةُ إرسال نموذج الفحص لا تُنشئ صفًّا ثانيًا بل تُرجع مرجعَ الأول؛ وكلُّ تعديلٍ يُنتج صفَّ تدقيقٍ بقيمة قبل وبعد؛ وطلبٌ بلا رمز يُرفض.</t>
  </si>
  <si>
    <t xml:space="preserve">صفرُ ذكرٍ لـcsrf وصفرُ `ems_audit_change` في ٩٣ ك.ب من الشاشة، و`mnt_inspection` بلا أيِّ مفتاحٍ فريدٍ (لا في schema.sql ولا في database/migrations/) يمنع فحصًا ثانيًا لليوم نفسِه.</t>
  </si>
  <si>
    <t xml:space="preserve">INJ-0291</t>
  </si>
  <si>
    <t xml:space="preserve">§٢٤-٢ الحلقة الرابعة «مديرُ القوى | يشهد بساعاتِ مشغّليه وأهليتِهم»</t>
  </si>
  <si>
    <t xml:space="preserve">غير موجود في سايدبار القوى التشغيلية</t>
  </si>
  <si>
    <t xml:space="preserve">«الحلقة الرابعة | مديرُ القوى | يشهد بساعاتِ مشغّليه وأهليتِهم | ◆ ما لا يشهد به: الحصةَ ولا المطابقة» — أي أن لمدير القوى التشغيلية حلقةً في سلسلة الاعتماد.</t>
  </si>
  <si>
    <t xml:space="preserve">الدور 27 (القوى التشغيلية) غيرُ موجودٍ في EMS_ROLES_HOURS_APPROVAL_ACCESS (وهي: -1 · 1 · 2 · 3 · 4 · 5) فيُرفض دخولُه إلى المعالج برسالة «ليس لديك صلاحية»؛ ولا وجودَ له في خريطة المستويات ['1'=&gt;1,'2'=&gt;2,'3'=&gt;3,'4'=&gt;4]. وشاشةُ Approvals/hours_approval.php ليست في سايدباره أصلًا (هي في سايدبارات الأدوار 1 و2 و3 و4). والحلقةُ الرابعة في التطبيق مسندةٌ إلى الدور 4 (الموارد البشرية) لا إلى الدور 27.</t>
  </si>
  <si>
    <t xml:space="preserve">مديرُ القوى التشغيلية — الشاهدُ المنصوصُ عليه على ساعات مشغّليه وأهليتهم — لا يستطيع الاعتمادَ ولا يرى شاشتَه؛ ويشهد بدلًا منه دورُ الموارد البشرية على ساعاتٍ ليست تحت إشرافه الميداني. حلقةٌ من خمسٍ في سلسلة الاعتماد مسندةٌ إلى غير صاحبها.</t>
  </si>
  <si>
    <t xml:space="preserve">سلسلةُ الاعتماد الرباعية بُنيت قبل استحداث الدور 27 في موجة القوى التشغيلية، ولم تُراجَع خريطةُ الأدوار بعده — ولا ثابتَ للدور 27 في includes/roles.php أصلًا.</t>
  </si>
  <si>
    <t xml:space="preserve">Approvals/hours_approval_handler.php:26-29; :44; includes/roles.php:78-81</t>
  </si>
  <si>
    <t xml:space="preserve">١) ادخل بدور 27. ٢) ابحث في مجموعاته العشر عن شاشة اعتماد الوحدات ⇐ غير موجودة. ٣) اكتب http://localhost/ems/Approvals/hours_approval.php ⇐ تُفتح أو تُحجب بحسب المنحة، لكن أيَّ اعتمادٍ منها يُرفض «ليس لديك صلاحية» من المعالج.</t>
  </si>
  <si>
    <t xml:space="preserve">إضافةُ ثابتٍ EMS_ROLE_WORKFORCE_MGR = '27' في includes/roles.php وإدراجُه في EMS_ROLES_HOURS_APPROVAL_ACCESS وفي خريطة المستويات بالمستوى الذي يقرّه المالك، وإضافةُ صفِّ nav_items للدور 27 بمسار Approvals/hours_approval.php في مجموعة «رابعًا: الوردية والتناوب التبادلي» أو «خامسًا: الأداء والاستحقاق».</t>
  </si>
  <si>
    <t xml:space="preserve">الدور 27 يفتح شاشةَ اعتماد الوحدات من سايدباره ويعتمد ساعاتِ مشغّليه في حلقته، ولا يعتمد ما ليس تحت إشرافه.</t>
  </si>
  <si>
    <t xml:space="preserve">الدورُ 27 خارجَ EMS_ROLES_HOURS_APPROVAL_ACCESS وخارجَ خريطة المستويات في المعالج وبلا صفِّ تنقّلٍ للشاشة، والحلقةُ الرابعةُ مسندةٌ للدور 4 — والسلسلةُ تكتمل رغم ذلك فلا تنقطع.</t>
  </si>
  <si>
    <t xml:space="preserve">INJ-0292</t>
  </si>
  <si>
    <t xml:space="preserve">§١٦-٣ المرحلة ٦ (سادسًا: الخصومات — خصم مقترح ثم معتمد · معتمِدُها سلّمُ الموافقات)</t>
  </si>
  <si>
    <t xml:space="preserve">الخصوم المقترحة</t>
  </si>
  <si>
    <t xml:space="preserve">http://localhost/ems/Workforce/proposed_deductions.php</t>
  </si>
  <si>
    <t xml:space="preserve">سادسًا: الخصومات</t>
  </si>
  <si>
    <t xml:space="preserve">المرحلةُ السادسة «الخصومات» مستندُها «خصم مقترح ثم معتمد» ومعتمِدُها سلّمُ الموافقات، وشاشتاها اثنتان؛ و«لا خصمَ بلا مستند».</t>
  </si>
  <si>
    <t xml:space="preserve">الشاشة عرضٌ خالصٌ على fin_dues (اتجاه debit · حالة pending) بلا أيِّ فعل: لا اقتراحَ خصمٍ ولا اعتمادَ ولا رفض — ورأسُها يقول صراحةً «الاعتمادُ من صندوق الاعتماد الجامع لا من هنا». فمرحلةُ الخصومات في قائمة القوى التشغيلية بلا فعلِ إنشاءٍ أصلًا: الشاشةُ الأولى عرضٌ والثانية (deductions.php) نموذجُ CMP-03 نصيٌّ لا يكتب في fin_dues. ولا فحصَ صلاحيةٍ في الشاشة (حارسُها الجلسةُ وحدَها).</t>
  </si>
  <si>
    <t xml:space="preserve">مديرُ القوى لا يستطيع اقتراحَ خصمٍ من قائمته: يرى خصومًا أنشأتها أنظمةٌ أخرى ولا ينشئ خصمًا موثَّقًا بمستند. المرحلةُ السادسة بلا مخرَجٍ رغم أن الحكمَ يقول «لا مرحلةَ بلا مخرَج». وشاشةٌ تعرض ذممًا ماليةً مفتوحةٌ لكل مستخدمٍ مصادَق.</t>
  </si>
  <si>
    <t xml:space="preserve">بُنيت الشاشةُ عرضًا في موجة update0007-ب على افتراض أن الاقتراحَ يقع في مكانٍ آخر، ولم يُبنَ فعلُ الاقتراح في أيِّ شاشةٍ للإدارة.</t>
  </si>
  <si>
    <t xml:space="preserve">Workforce/proposed_deductions.php:6; :7; :12; :15; :47; Workforce/deductions.php:30; :90</t>
  </si>
  <si>
    <t xml:space="preserve">١) ادخل بدور 27 وافتح «سادسًا: الخصومات ← خصومات المشغّلين المقترحة» ⇐ جدولُ عرضٍ بلا أيِّ زر. ٢) افتح «الخصومات والجزاءات» ⇐ نموذجٌ نصيٌّ لا يكتب في fin_dues. ٣) لا مسارَ لاقتراح خصمٍ موثَّق.</t>
  </si>
  <si>
    <t xml:space="preserve">إضافةُ فعلِ «اقتراح خصم» في Workforce/proposed_deductions.php ينشئ صفًّا في fin_dues بحالة pending ومستندٍ مؤيدٍ إلزاميٍّ ومرجعٍ للمشغّل، ويدفعه إلى صندوق الاعتماد الجامع بسلّمه الثلاثي؛ وإضافةُ check_page_permissions إلى رأس الشاشة.</t>
  </si>
  <si>
    <t xml:space="preserve">الدور 27 يقترح خصمًا بمستندٍ مؤيدٍ فيظهر في صندوق الاعتماد بحالة pending، ولا يصير نافذًا إلا باكتمال سلّم الموافقات؛ ودورٌ بلا منحةٍ يُرفض 403.</t>
  </si>
  <si>
    <t xml:space="preserve">‏proposed_deductions.php بصفر معالجِ POST — عرضٌ محضٌ على fin_dues، ورأسُها يحيل الاعتمادَ إلى صندوق الاعتماد؛ وdeductions.php نموذجُ CMP-03 يكتب في جدوله الخاص لا في fin_dues. وإنشاءُ الخصمِ متاحٌ من Finance/dues_fin.php لا من شاشتَي المرحلة، فخُفّضت الخطورة.</t>
  </si>
  <si>
    <t xml:space="preserve">INJ-0293</t>
  </si>
  <si>
    <t xml:space="preserve">§٤-٥ «لكلٍّ وجهةٌ حيةٌ موجودة» — أربعةُ ملفاتِ تايم شيتٍ بلا منفذ</t>
  </si>
  <si>
    <t xml:space="preserve">عرض التايم شيت / تفاصيله / اعتماده</t>
  </si>
  <si>
    <t xml:space="preserve">http://localhost/ems/Timesheet/view_timesheet.php</t>
  </si>
  <si>
    <t xml:space="preserve">«القائمةُ تُولَّد من مصفوفة العرضِ في NAV-09 — ولا تُكتب يدويًّا» و«لكلٍّ وجهةٌ حيةٌ موجودة»؛ والمرحلةُ الرابعة «الوردية والتناوب» سبعُ شاشاتٍ في الوثيقة.</t>
  </si>
  <si>
    <t xml:space="preserve">أربعةُ ملفاتٍ في Timesheet/ تُصيّر واجهاتٍ ولا صفَّ nav_items لها: view_timesheet.php (٥٣ ك.ب · فيها تصديرُ CSV خام) · timesheet_details.php (٦١ ك.ب) · aprovment.php · timesheet_type.php. والرابطُ الوحيد في كل السايدبارات هو Timesheet/timesheet.php. فشاشةُ العرض والمراجعة — التي يفترض أن يستعملها المعتمِدون — بلا منفذ، وتصديرُ CSV فيها يخرج ملفًّا بلا سجلِّ تصديرٍ ولا احترامِ منظرٍ ولا فلاتر.</t>
  </si>
  <si>
    <t xml:space="preserve">المعتمِدون يعملون على شاشة الإدخال نفسِها بدل شاشة العرض والمراجعة؛ وشاشتان كبيرتان معطَّلتان تمثلان دَينًا صيانيًّا وسطحَ خطر. وتصديرُ CSV غيرُ مسجَّلٍ يفتح بابَ إخراجِ بياناتِ ساعاتٍ بلا أثر.</t>
  </si>
  <si>
    <t xml:space="preserve">بُنيت الملفاتُ قبل توحيد التنقل ولم تُنشأ لها صفوفُ nav_items؛ والتصديرُ الخام كُتب في الشاشة بدل المرور بالإطار الموحَّد.</t>
  </si>
  <si>
    <t xml:space="preserve">Timesheet/view_timesheet.php:1; :316; :317; :982; Timesheet/timesheet_details.php:1; Timesheet/aprovment.php:1; Timesheet/timesheet_type.php:1; database/schema/seed_reference.sql (لا صفوفَ nav_items لهذه المسارات)</t>
  </si>
  <si>
    <t xml:space="preserve">١) ادخل بدور 27 ⇐ رابطُ التايم شيت الوحيد يقود إلى شاشة الإدخال. ٢) اكتب http://localhost/ems/Timesheet/view_timesheet.php ⇐ تُفتح. ٣) صدّر CSV منها ⇐ ملفٌّ بلا أيِّ صفِّ سجلِّ تصدير.</t>
  </si>
  <si>
    <t xml:space="preserve">إضافةُ صفِّ nav_items للدور 27 وللأدوار المعتمِدة بمسار Timesheet/view_timesheet.php بعنوان «عرض التايم شيت ومراجعته»، وحسمُ مصير timesheet_details.php وaprovment.php (ربطٌ أو حذف)، ونقلُ تصدير CSV إلى الإطار الموحَّد ليكتب سجلَّ تصديرٍ ويحترم الفلاتر.</t>
  </si>
  <si>
    <t xml:space="preserve">الدور 27 يفتح شاشةَ عرض التايم شيت من سايدباره؛ وكلُّ تصديرٍ منها يُنتج صفَّ سجلِّ تصديرٍ ويطابق الفلترَ المطبَّق.</t>
  </si>
  <si>
    <t xml:space="preserve">لا صفَّ nav_items نشطًا لأيٍّ من view_timesheet.php وtimesheet_details.php وaprovment.php (وtimesheet_type.php صفوفُه active=0)؛ الرابطُ الوحيدُ في كل السايدبارات هو Timesheet/timesheet.php. وview_timesheet.php غيرُ مسجَّلٍ في modules أصلًا فيسقط عنه حارسُ العرض المركزيُّ أيضًا.</t>
  </si>
  <si>
    <t xml:space="preserve">INJ-0294</t>
  </si>
  <si>
    <t xml:space="preserve">CM-10 «إظهار كل الأعمدة» · CM-09 المناظر · أعمدةُ شاشات القوى ١٩-٣١</t>
  </si>
  <si>
    <t xml:space="preserve">شبكات القوى التشغيلية</t>
  </si>
  <si>
    <t xml:space="preserve">http://localhost/ems/Workforce/worker_register.php</t>
  </si>
  <si>
    <t xml:space="preserve">«إظهار كل الأعمدة» بالاسم الموحَّد في كل الشاشات ولا يُغيَّر نصُّه؛ وللشاشات الطويلة مناظرُها بثمانية محدِّدات — وأعمدةُ شاشات هذه الإدارة تتراوح بين ١٩ و٣١ عمودًا.</t>
  </si>
  <si>
    <t xml:space="preserve">اثنتان وعشرون شبكةً في مجلد Workforce/ بلا أيِّ زرِّ «إظهار كل الأعمدة» ولا منتقي مناظر — وهو أعلى رقمٍ في النظام كلِّه لمجلدٍ واحد. النصُّ الموحَّد للزر يظهر في موضعٍ واحدٍ في المستودع (includes/u13_screen_kit.php:319) ولا تستعمله شاشاتُ القوى، والبديلُ غيرُ القياسيِّ «إظهار الكل/إخفاء الكل» مستعملٌ في ثماني شاشاتٍ ليس منها أيُّ شاشةٍ من هذا المجلد (وإن كانت Timesheet/view_timesheet.php تستعمله بنصٍّ غيرِ موحَّد).</t>
  </si>
  <si>
    <t xml:space="preserve">أكبرُ تجمّعِ شبكاتٍ بلا أداةِ تحكّمٍ في الأعمدة في النظام؛ شاشاتٌ بثلاثين عمودًا تُعرض دفعةً واحدةً فيغرق مستخدمُها في التمرير الأفقيِّ ويفقد حقولَ القرار. وصفرٌ من محدِّدات المناظر الثمانية منفَّذٌ في الإدارة.</t>
  </si>
  <si>
    <t xml:space="preserve">طقمُ u13 غيرُ مضمَّنٍ في المجلد وتصنيفُ الحقول في gov_field_class غيرُ منجَزٍ لشاشات القوى، وشاشةُ عرض التايم شيت تستعمل مكوّنًا آخرَ بنصٍّ مختلف.</t>
  </si>
  <si>
    <t xml:space="preserve">Workforce/worker_register.php:1; Workforce/rotation.php:1; Workforce/op_monthly.php:1; Workforce/payroll_runs.php:399; includes/u13_screen_kit.php:317; :319; Timesheet/view_timesheet.php:982; assets/js/column-groups.js:176</t>
  </si>
  <si>
    <t xml:space="preserve">١) افتح Workforce/worker_register.php بدور 4 أو 27. ٢) ابحث عن زرٍّ نصُّه «إظهار كل الأعمدة» أو منتقي مناظر ⇐ لا يوجد. ٣) كرّر على rotation وop_monthly وpayroll_runs ⇐ النتيجةُ نفسُها. ٤) افتح Timesheet/view_timesheet.php ⇐ زرٌّ بنصٍّ مختلف «إظهار الكل».</t>
  </si>
  <si>
    <t xml:space="preserve">تضمينُ includes/u13_screen_kit.php في شاشات Workforce/ وتصنيفُ حقولها في gov_field_class إلى مجموعتين على الأقل، وتوحيدُ نصِّ الزر في assets/js/column-groups.js:176 ليطابق «إظهار كل الأعمدة»، وتعريفُ منظرين لسجل المشغّلين: «تشغيلي» و«استحقاق».</t>
  </si>
  <si>
    <t xml:space="preserve">فريق الفرونت-إند — وحدة القوى التشغيلية</t>
  </si>
  <si>
    <t xml:space="preserve">كلُّ شبكةٍ في Workforce/ وTimesheet/ تعرض زرًّا نصُّه حرفيًّا «إظهار كل الأعمدة» ومنتقيَ مناظرَ بمنظرين على الأقل، والحالةُ محفوظة.</t>
  </si>
  <si>
    <t xml:space="preserve">النصُّ الموحَّد «إظهار كل الأعمدة» في includes/u13_screen_kit.php:319 وحده، ولا شاشةَ في Workforce/ تُضمّن العُدّةَ ولا تستعمل column-groups.js — 22 جدولًا بلا منتقي مناظرَ ولا زرِّ إظهار.</t>
  </si>
  <si>
    <t xml:space="preserve">INJ-0295</t>
  </si>
  <si>
    <t xml:space="preserve">▐ ٤ الدليلُ والتتبع · «فعلٌ بلا عكسٍ معرَّفٍ لا يُقبل» · TABLE 54</t>
  </si>
  <si>
    <t xml:space="preserve">اعتماد الوحدات التشغيلية — العكس</t>
  </si>
  <si>
    <t xml:space="preserve">لكلِّ فعلٍ عقدٌ سداسيٌّ آخرُه فعلُ العكس؛ و«المستندُ المعتمدُ لا يُعدَّل ولا يُحذف. والتصحيحُ حركةٌ جديدةٌ تشير إلى الأصلِ أو حركةٌ عاكسةٌ بمرجعها».</t>
  </si>
  <si>
    <t xml:space="preserve">يُكتب صفُّ ملاحظةٍ باسم 'rejection' مع سببٍ (السطر 478-484) فالأثرُ ليس صفرًا، لكنّه ليس حركةً عاكسةً تشير إلى الأصل. — [مُصحَّح بعد التحقق] الصياغة الأولى: لا فعلَ عكسٍ معرَّفٌ لاعتماد الساعات في مسار الحوكمة: سحبُ الاعتماد — إن وقع — يقع بحذف صفِّ الموافقة أو تعديله بلا حركةٍ عاكسةٍ ولا مرجعٍ ولا سببٍ ولا سجل. والبوابةُ الموحدة للعكس (ReverseService) بل</t>
  </si>
  <si>
    <t xml:space="preserve">اعتمادٌ خاطئٌ لساعاتٍ — ولو أنتج مطالبةً ومستحقًّا — يُصحَّح بحذفٍ صامتٍ يُتلف الدليلَ بدل أن يُوثّقه. «من محا فقد أتلف الدليلَ لا المشكلة» (GOV-029-د). ولا يمكن إثباتُ سلسلة الاعتماد التاريخية لصفٍّ عُدّل.</t>
  </si>
  <si>
    <t xml:space="preserve">بُني مسارُ الاعتماد أمامًا فقط؛ ولم يُوصَل ReverseService ولا بُني فعلُ سحبٍ موثَّق.</t>
  </si>
  <si>
    <t xml:space="preserve">Approvals/hours_approval_handler.php:439; :468-474; app/Core/TenantDb.php:236-260; app/Core/TenantRegistry.php:511; app/Services/Actions/ReverseService.php:1</t>
  </si>
  <si>
    <t xml:space="preserve">١) اعتمد صفًّا في مستوًى ما. ٢) ابحث في الشاشة عن زرِّ «سحب الاعتماد» ⇐ لا يوجد فعلٌ موثَّق. ٣) افحص عمودَي «عكس عن» و«معكوس بـ» في شاشات القوى ⇐ فارغان.</t>
  </si>
  <si>
    <t xml:space="preserve">تعريفُ فعلِ «سحب اعتماد» في Approvals/hours_approval_handler.php يستدعي app/Services/Actions/ReverseService فينشئ حركةً جديدةً بحالة 'reversed' تشير إلى صفِّ الموافقة الأصل وتحمل سببًا إلزاميًّا، ومنعُ حذف صفوف timesheet_approvals بنيويًّا، وملءُ عمودَي العكس من هذا المصدر.</t>
  </si>
  <si>
    <t xml:space="preserve">سحبُ اعتمادٍ يتطلب سببًا ويُنشئ حركةً مرتبطةً بالأصل يظهر الاثنان في السجل، ولا يُحذف أيُّ صفِّ موافقةٍ من القاعدة.</t>
  </si>
  <si>
    <t xml:space="preserve">فرعُ reject يحذف صفوفَ timesheet_approvals حذفًا صلبًا (deleteRow — والجدولُ soft=false في TenantRegistry:511) بلا حركةٍ عاكسةٍ ولا مرجع؛ وReverseService بلا نداءٍ إنتاجيٍّ واحد، وعمودا العكس بلا مصدرٍ خادميٍّ (gov_columns.php:12-14).</t>
  </si>
  <si>
    <t xml:space="preserve">INJ-0296</t>
  </si>
  <si>
    <t xml:space="preserve">▐ ١١-٣ الشاشاتُ والمناظرُ والعرض · ▐ ٧-٢ أثرُ كلِّ فعلٍ وما يُكتب · PR-01 مصدرُ الحقيقة الواحد</t>
  </si>
  <si>
    <t xml:space="preserve">تأهيل المشغّلين على أنواع المعدات</t>
  </si>
  <si>
    <t xml:space="preserve">http://localhost/ems/Workforce/op_qual.php</t>
  </si>
  <si>
    <t xml:space="preserve">ثانيًا: التأهيل والوثائق</t>
  </si>
  <si>
    <t xml:space="preserve">«ما تملكه القوى التشغيلية: تأهيلَ المشغّل»؛ والمرحلةُ الثانية «التأهيل والوثائق» مستندُها «شهادة تأهيل · رخصة سارية» ومعتمِدُها مديرُ القوى؛ ولا يُكلَّف مشغّلٌ على نوعٍ لم يُؤهَّل عليه.</t>
  </si>
  <si>
    <t xml:space="preserve">الشاشة نموذجُ CMP-03 عامّ: حقولُها كلُّها نصٌّ حرٌّ (input type=text) تُحفظ صفًّا في جدولِ عرضٍ عبر cmp03_store_insert، بلا مفاتيحَ أجنبيةٍ إلى السجلات الأمِّ، وبلا فعلِ تعديلٍ أو حذفٍ أو اعتماد، وبلا حدثٍ ولا سجلِّ تدقيق. وحارسُها وجودُ الجلسة وcompany_id &gt; 0 فقط — لا نداءَ لـcheck_page_permissions. ولا يقرأ منها أيُّ حارسٍ أو خدمةٍ في النظام.</t>
  </si>
  <si>
    <t xml:space="preserve">التأهيلُ — الشرطُ الذي يفترض أن يمنع تكليفَ مشغّلٍ غيرِ مؤهَّلٍ على نوع معدة — قائمةُ نصوصٍ لا يقرؤها حارس: «كود المشغّل» و«نوع المعدة» حقلا نصٍّ حرٍّ لا مفتاحان، فلا يمكن ربطُهما بسجل المشغّلين ولا بأنواع المعدات. وحارسُ الوثائق (DocumentGuard) في مسار الاعتماد يقرأ مصدرًا آخر. فالتأهيلُ إعلانٌ لا ضابط.</t>
  </si>
  <si>
    <t xml:space="preserve">الشاشة وُلدت من مولّد CMP-03 لتغطية أعمدة المستند شكلًا (الموجة ٢) بانتظار «مهمة اللحاق» الموثقة في docs/CMP03_FOLLOWUP_SOURCES_ar.md، ولم تُوصَل بجدولٍ حقيقيٍّ ولا بحارس.</t>
  </si>
  <si>
    <t xml:space="preserve">Workforce/op_qual.php:76; :85; :124; includes/cmp03_local_store.php:31; :55</t>
  </si>
  <si>
    <t xml:space="preserve">١) ادخل بأيِّ دورٍ له company_id واكتب http://localhost/ems/Workforce/op_qual.php ⇐ تُفتح. ٢) اضغط «إضافة» واملأ الحقول واحفظ ⇐ يُحفظ الصف. ٣) ابحث عن زرِّ تعديلٍ أو حذفٍ أو اعتماد في الصف ⇐ لا يوجد. ٤) تحقّق من أثر الصف على سلوك النظام ⇐ صفر.</t>
  </si>
  <si>
    <t xml:space="preserve">ربطُ Workforce/op_qual.php بجدولٍ حقيقيٍّ (operator_qualifications) بمفتاحين أجنبيَّين إلى سجل المشغّلين وأنواع المعدات، وقراءتُه في حارسٍ يُستدعى قبل التكليف في شاشة التوزيع وقبل اعتماد الساعات في DocumentGuard، وإضافةُ check_page_permissions إلى رأس الشاشة.</t>
  </si>
  <si>
    <t xml:space="preserve">الشاشة تكتب في جدولها الحقيقي بمفاتيحَ أجنبيةٍ إلى السجلات الأمّ، وتُغيّر سلوكَ الطبقة المعنية فورًا، وتحمل أفعالَ التعديل والاعتماد، وتُنتج صفَّ تدقيقٍ بقيم قبل/بعد؛ ودورٌ بلا منحةٍ يُرفض 403.</t>
  </si>
  <si>
    <t xml:space="preserve">الشاشةُ فعلًا قالبُ CMP-03 بحقولٍ نصيةٍ حرةٍ تُحفظ عبر cmp03_store_insert (سطر 85) بلا check_page_permissions، والمعالجُ (سطر 76) يسبق include insidebar (سطر 124). لكن الشاشةَ مسجَّلةٌ في modules (316) فالعرضُ محروس، وحالتُها الانتقاليةُ موثقةٌ في docs/CMP03_FOLLOWUP_SOURCES_ar.md ⇒ P2.</t>
  </si>
  <si>
    <t xml:space="preserve">INJ-0297</t>
  </si>
  <si>
    <t xml:space="preserve">دورات التناوب والإجازة الميدانية</t>
  </si>
  <si>
    <t xml:space="preserve">http://localhost/ems/Workforce/rotation.php</t>
  </si>
  <si>
    <t xml:space="preserve">«ما تملكه القوى التشغيلية: تناوبَه»؛ والمرحلةُ الرابعة مستندُها «سجل وردية · دورة تناوب» ومعتمِدُها مشرفُ الوردية.</t>
  </si>
  <si>
    <t xml:space="preserve">لا نداءَ check_page_permissions في الملف والكتابةُ تقع قبل الحارس المركزي؛ أمّا العرضُ فمحروسٌ بـenforce_current_page_view_permission لأن الشاشةَ مسجَّلة (module 320). — [مُصحَّح بعد التحقق] الصياغة الأولى: الشاشة نموذجُ CMP-03 عامّ: حقولُها كلُّها نصٌّ حرٌّ (input type=text) تُحفظ صفًّا في جدولِ عرضٍ عبر cmp03_store_insert، بلا مفاتيحَ أجنبيةٍ إلى السجلات الأمِّ، وبلا فعلِ تعديلٍ أو حذفٍ أو اعتماد، وبلا</t>
  </si>
  <si>
    <t xml:space="preserve">دوراتُ التناوب — التي يُبنى عليها من يعمل ومن في إجازةٍ ميدانية، وبالتالي صحةُ الحضور والأجر — قائمةُ نصوصٍ لا ترتبط بمشغّلٍ ولا بموقعٍ ولا بتاريخٍ يُقرأ آليًّا. ولا يستشيرها شيء: لا شاشةُ الحضور ولا التايم شيت ولا الاعتماد. فتناوبٌ مسجَّلٌ لا يمنع تسجيلَ ساعاتٍ لمشغّلٍ في إجازته.</t>
  </si>
  <si>
    <t xml:space="preserve">Workforce/rotation.php:90; Workforce/rotation.php:24; includes/cmp03_local_store.php:31; :55; docs/CMP03_FOLLOWUP_SOURCES_ar.md</t>
  </si>
  <si>
    <t xml:space="preserve">١) ادخل بأيِّ دورٍ له company_id واكتب http://localhost/ems/Workforce/rotation.php ⇐ تُفتح. ٢) اضغط «إضافة» واملأ الحقول واحفظ ⇐ يُحفظ الصف. ٣) ابحث عن زرِّ تعديلٍ أو حذفٍ أو اعتماد في الصف ⇐ لا يوجد. ٤) تحقّق من أثر الصف على سلوك النظام ⇐ صفر.</t>
  </si>
  <si>
    <t xml:space="preserve">ربطُ Workforce/rotation.php بجدولٍ حقيقيٍّ لدورات التناوب بمفاتيحَ إلى المشغّل والموقع وتواريخَ فعلية، وقراءتُه في حارسٍ يُستدعى عند إدخال التايم شيت لرفض ساعاتٍ لمشغّلٍ في دورة إجازة، وإضافةُ check_page_permissions.</t>
  </si>
  <si>
    <t xml:space="preserve">الشاشةُ نموذجُ CMP-03 (22 حقلَ نصٍّ + 3 تواريخ) تكتب عبر cmp03_store_insert بلا تعديلٍ ولا اعتمادٍ ولا حدثٍ ولا ems_audit_change (صفر)، ومعالجُ الحفظِ يسبق include insidebar.php (السطر 142) فيقع الأثرُ قبل الحارس. لكنَّ العرضَ محروسٌ مركزيًّا لأن الشاشةَ مسجَّلةٌ في modules (id=320).</t>
  </si>
  <si>
    <t xml:space="preserve">INJ-0298</t>
  </si>
  <si>
    <t xml:space="preserve">المرحلةُ السادسة «الخصومات» مستندُها «خصم مقترح ثم معتمد» ومعتمِدُها سلّمُ الموافقات؛ و«لا خصمَ بلا مستند»، و«لا تُحذف مخالفةٌ ولا خصمٌ بعد إنشائه» (GOV-029-ب).</t>
  </si>
  <si>
    <t xml:space="preserve">الخصومات — بندٌ ذو أثرٍ ماليٍّ مباشرٍ على أجر المشغّل — تُسجَّل نصًّا في جدول عرضٍ بلا سلّم موافقاتٍ ولا مستندٍ مؤيدٍ ولا ارتباطٍ بذمّةٍ ماليةٍ ولا سجلِّ تدقيق، وشاشتُها مفتوحةٌ للكتابة لكل مستخدمٍ مصادَق. ومصدرُ الحقيقة للخصم مزدوج: هذه الشاشةُ من جهة، وجدولُ fin_dues الذي تقرؤه شاشةُ «الخصوم المقترحة» من جهةٍ أخرى.</t>
  </si>
  <si>
    <t xml:space="preserve">Workforce/deductions.php:24; :91-98; :140; includes/cmp03_local_store.php:31; :55</t>
  </si>
  <si>
    <t xml:space="preserve">١) ادخل بأيِّ دورٍ له company_id واكتب http://localhost/ems/Workforce/deductions.php ⇐ تُفتح. ٢) اضغط «إضافة» واملأ الحقول واحفظ ⇐ يُحفظ الصف. ٣) ابحث عن زرِّ تعديلٍ أو حذفٍ أو اعتماد في الصف ⇐ لا يوجد. ٤) تحقّق من أثر الصف على سلوك النظام ⇐ صفر.</t>
  </si>
  <si>
    <t xml:space="preserve">توحيدُ المصدر: جعلُ Workforce/deductions.php تقرأ وتكتب في fin_dues عبر مسارِ اقتراحٍ يمرّ بسلّم الموافقات الثلاثي (لا بكتابةٍ مباشرة)، وإلزامُ مستندٍ مؤيدٍ ومرجعٍ لكل خصم، ومنعُ الحذف وإتاحةُ قرارِ إعفاءٍ يشير إلى الأصل، وإضافةُ check_page_permissions.</t>
  </si>
  <si>
    <t xml:space="preserve">الشاشةُ نموذجُ CMP-03 بحقولٍ نصيةٍ حرة تُحفظ عبر cmp03_store_insert، والحفظُ يقع في السطر ~91 قبل include insidebar (السطر 140) فلا حارسَ صلاحيةٍ للفعل سوى الجلسة وcompany_id — والأثرُ محصورٌ في جدول عرضٍ لا في مسيّر رواتب.</t>
  </si>
  <si>
    <t xml:space="preserve">INJ-0299</t>
  </si>
  <si>
    <t xml:space="preserve">الأداء الشهري للمشغّل</t>
  </si>
  <si>
    <t xml:space="preserve">http://localhost/ems/Workforce/op_monthly.php</t>
  </si>
  <si>
    <t xml:space="preserve">خامسًا: الأداء والاستحقاق</t>
  </si>
  <si>
    <t xml:space="preserve">المرحلةُ الخامسة «الأداء والاستحقاق» مستندُها «أداء شهري · أساس حافز» ومعتمِدُها مديرُ القوى؛ و«ما تملكه: أساسَ استحقاقه».</t>
  </si>
  <si>
    <t xml:space="preserve">التصحيح: العرضُ محميٌّ مركزيًّا؛ الثغرةُ في كتابةٍ تسبق الحارس (effect-before-guard). — [مُصحَّح بعد التحقق] الصياغة الأولى: الشاشة نموذجُ CMP-03 عامّ: حقولُها كلُّها نصٌّ حرٌّ (input type=text) تُحفظ صفًّا في جدولِ عرضٍ عبر cmp03_store_insert، بلا مفاتيحَ أجنبيةٍ إلى السجلات الأمِّ، وبلا فعلِ تعديلٍ أو حذفٍ أو اعتماد، وبلا</t>
  </si>
  <si>
    <t xml:space="preserve">الأداءُ الشهريُّ — أساسُ الحافز — يُكتب نصًّا يدويًّا بدل أن يُحسب من سجل الورديات والساعات المعتمدة. فالرقمُ الذي يُبنى عليه الحافزُ مُدخَلٌ لا مشتقّ، ولا يمكن تتبّعُه إلى مصدره ولا مراجعتُه.</t>
  </si>
  <si>
    <t xml:space="preserve">Workforce/op_monthly.php:92; :131; includes/cmp03_local_store.php:31; :55; database/schema/seed_reference.sql:363</t>
  </si>
  <si>
    <t xml:space="preserve">١) ادخل بأيِّ دورٍ له company_id واكتب http://localhost/ems/Workforce/op_monthly.php ⇐ تُفتح. ٢) اضغط «إضافة» واملأ الحقول واحفظ ⇐ يُحفظ الصف. ٣) ابحث عن زرِّ تعديلٍ أو حذفٍ أو اعتماد في الصف ⇐ لا يوجد. ٤) تحقّق من أثر الصف على سلوك النظام ⇐ صفر.</t>
  </si>
  <si>
    <t xml:space="preserve">اشتقاقُ الأداء الشهريِّ في Workforce/op_monthly.php من timesheet وtimesheet_approvals بنطاق الشهر والمشغّل (قراءةً محسوبةً لا إدخالًا)، وإبقاءُ حقول التقدير النوعيِّ وحدَها قابلةً للإدخال بسلّم اعتماد، وإضافةُ check_page_permissions.</t>
  </si>
  <si>
    <t xml:space="preserve">تحقّقت: نموذجُ CMP-03 بحقولِ نصٍّ حر يُحفظ عبر cmp03_store_insert بلا مفاتيحَ أجنبيةٍ ولا تعديلٍ/اعتمادٍ ولا حدثٍ ولا سجلِّ تدقيق. تصحيحٌ جوهري: الشاشةُ مسجَّلةٌ في modules (id 315) فعرضُها محروسٌ — لكن معالجَ الـPOST (:92) يسبق `include '../insidebar.php'` (:131) فالكتابةُ نفسُها بلا حارس.</t>
  </si>
  <si>
    <t xml:space="preserve">INJ-0300</t>
  </si>
  <si>
    <t xml:space="preserve">أرقام المشغّلين الشاغرة</t>
  </si>
  <si>
    <t xml:space="preserve">http://localhost/ems/Workforce/op_codes.php</t>
  </si>
  <si>
    <t xml:space="preserve">أولًا: السجل والتكويد والتعاقد</t>
  </si>
  <si>
    <t xml:space="preserve">المرحلةُ الأولى «السجل والتكويد والتعاقد» مستندُها «مشغّل مكوَّد بعقدٍ ساري»؛ والرقمُ الشاغرُ مرجعٌ يُخصَّص ويُحجز لا نصٌّ يُكتب.</t>
  </si>
  <si>
    <t xml:space="preserve">العرضُ محميٌّ لأن الشاشة مسجَّلةٌ في modules (314) — غيرُ المحروس هو مسارُ الكتابة السابقُ للحارس. — [مُصحَّح بعد التحقق] الصياغة الأولى: الشاشة نموذجُ CMP-03 عامّ: حقولُها كلُّها نصٌّ حرٌّ (input type=text) تُحفظ صفًّا في جدولِ عرضٍ عبر cmp03_store_insert، بلا مفاتيحَ أجنبيةٍ إلى السجلات الأمِّ، وبلا فعلِ تعديلٍ أو حذفٍ أو اعتماد، وبلا</t>
  </si>
  <si>
    <t xml:space="preserve">أرقامُ المشغّلين الشاغرة قائمةُ نصوصٍ لا ترتبط بسجل المشغّلين، فلا تمنع تكرارَ رقمٍ ولا تعرف الرقمَ المستعمَل فعلًا. والتكويدُ — أولُ خطوةٍ في دورة الإدارة — بلا مصدرِ حقيقةٍ واحد.</t>
  </si>
  <si>
    <t xml:space="preserve">Workforce/op_codes.php:72-81; :120; includes/cmp03_local_store.php:31; :73</t>
  </si>
  <si>
    <t xml:space="preserve">١) ادخل بأيِّ دورٍ له company_id واكتب http://localhost/ems/Workforce/op_codes.php ⇐ تُفتح. ٢) اضغط «إضافة» واملأ الحقول واحفظ ⇐ يُحفظ الصف. ٣) ابحث عن زرِّ تعديلٍ أو حذفٍ أو اعتماد في الصف ⇐ لا يوجد. ٤) تحقّق من أثر الصف على سلوك النظام ⇐ صفر.</t>
  </si>
  <si>
    <t xml:space="preserve">اشتقاقُ الأرقام الشاغرة في Workforce/op_codes.php من فارق المدى المعرَّف وسجل المشغّلين الفعلي (قراءةً محسوبة)، وإتاحةُ فعلِ «حجز رقم» يكتب في سجل المشغّلين لا في جدول عرض، وإضافةُ check_page_permissions.</t>
  </si>
  <si>
    <t xml:space="preserve">الإدراجُ يقع في السطر 81 قبل include insidebar.php (السطر 120) فالكتابةُ بلا حارسِ صلاحيةٍ فعليًّا، والحقولُ نصٌّ حرٌّ في scr_op_codes بلا مفاتيحَ ولا مستهلك.</t>
  </si>
  <si>
    <t xml:space="preserve">INJ-0301</t>
  </si>
  <si>
    <t xml:space="preserve">عقود المشاريع المؤقتة</t>
  </si>
  <si>
    <t xml:space="preserve">http://localhost/ems/Workforce/project_contracts.php</t>
  </si>
  <si>
    <t xml:space="preserve">«ما لا تملكه القوى التشغيلية: عقدَ العمل»؛ والمرحلةُ الأولى مستندُها «مشغّل مكوَّد بعقدٍ ساري» — أي أن العقدَ يُقرأ من مصدره لا يُنشأ هنا.</t>
  </si>
  <si>
    <t xml:space="preserve">عرضُ الشاشة **محروسٌ** مركزيًّا (مسجَّلةٌ في modules برقم 317 وتُضمّن insidebar)؛ غيرُ المحروس هو معالجُ الكتابة الذي يسبق التضمين. — [مُصحَّح بعد التحقق] الصياغة الأولى: الشاشة نموذجُ CMP-03 عامّ: حقولُها كلُّها نصٌّ حرٌّ (input type=text) تُحفظ صفًّا في جدولِ عرضٍ عبر cmp03_store_insert، بلا مفاتيحَ أجنبيةٍ إلى السجلات الأمِّ، وبلا فعلِ تعديلٍ أو حذفٍ أو اعتماد، وبلا</t>
  </si>
  <si>
    <t xml:space="preserve">الشاشة تسمح بكتابة بيانات عقودٍ نصًّا داخل مجلد القوى التشغيلية بلا ارتباطٍ بسجل عقود الموظفين — فتُنشئ مصدرَ حقيقةٍ ثانيًا لعقدٍ لا تملكه الإدارةُ أصلًا، وتخالف «ما لا تملكه: عقدَ العمل» و«لا يُدخَل بيانٌ مرتين في شاشتين مختلفتين» (PR-01).</t>
  </si>
  <si>
    <t xml:space="preserve">Workforce/project_contracts.php:91-101; :139</t>
  </si>
  <si>
    <t xml:space="preserve">١) ادخل بأيِّ دورٍ له company_id واكتب http://localhost/ems/Workforce/project_contracts.php ⇐ تُفتح. ٢) اضغط «إضافة» واملأ الحقول واحفظ ⇐ يُحفظ الصف. ٣) ابحث عن زرِّ تعديلٍ أو حذفٍ أو اعتماد في الصف ⇐ لا يوجد. ٤) تحقّق من أثر الصف على سلوك النظام ⇐ صفر.</t>
  </si>
  <si>
    <t xml:space="preserve">تحويلُ Workforce/project_contracts.php إلى منظرِ قراءةٍ على سجل عقود الموظفين مرشَّحٍ بالمشاريع المؤقتة (بلا نموذج إضافة)، أو حذفُها وربطُ المجموعة الأولى بشاشة العقود المالكة؛ وإضافةُ check_page_permissions في كل الأحوال.</t>
  </si>
  <si>
    <t xml:space="preserve">الكتابةُ عبر `cmp03_store_insert` في السطر 100 تسبق `include '../insidebar.php'` في السطر 139 — فهي فعلًا بلا حارسِ صلاحية (استثناءُ effect-before-guard)، وكلُّ الحقول نصٌّ حرٌّ بلا مفاتيحَ أجنبية.</t>
  </si>
  <si>
    <t xml:space="preserve">INJ-0302</t>
  </si>
  <si>
    <t xml:space="preserve">GOV-018-د «اعتمادُ الذات» · §٢٦-٣ «من غير المنفِّذ»</t>
  </si>
  <si>
    <t xml:space="preserve">تقييم العامل / الإجازات والغياب / تسوية العامل</t>
  </si>
  <si>
    <t xml:space="preserve">http://localhost/ems/Workforce/worker_evaluation.php</t>
  </si>
  <si>
    <t xml:space="preserve">سادسًا: التقييم والتصفية</t>
  </si>
  <si>
    <t xml:space="preserve">«اعتمادُ الذات» من المنع المطلق؛ ولا يعتمد أحدٌ ما أنشأه بنفسه.</t>
  </si>
  <si>
    <t xml:space="preserve">ثلاثُ شاشاتٍ بلا حارسِ اعتمادِ ذات، أمّا سجلُّ العقود فحارسُه مضمَّنٌ في الخدمة لا في ems_no_self_approval. — [مُصحَّح بعد التحقق] الصياغة الأولى: من سبعٍ وعشرين نقطةَ اعتمادٍ في النظام تستدعي أربعٌ فقط حارسَ الاعتماد الذاتي. ومن غير المستدعِين ثلاثُ شاشاتٍ في هذه الإدارة تحمل اعتمادات: Workforce/worker_evaluation.php وWorkforce/worker_leave_abs</t>
  </si>
  <si>
    <t xml:space="preserve">تقييمُ العامل (أساسُ الحافز والتصفية) وإجازتُه وتسويتُه تُعتمد بيدٍ واحدة؛ فتسقط اليدُ الثانية في ثلاثة مساراتٍ ذاتِ أثرٍ على الأجر والاستحقاق، ويُفتح بابُ محاباةٍ لا يكشفه سجلٌّ (إذ لا سجلَّ تدقيقٍ في المجلد أصلًا).</t>
  </si>
  <si>
    <t xml:space="preserve">حارسُ الاعتماد الذاتي بُني وطُبّق على أربع نقاطٍ ولم يُعمَّم؛ ولا فاحصَ يمنع دمجَ نقطةِ اعتمادٍ بلا نداءٍ للحارس.</t>
  </si>
  <si>
    <t xml:space="preserve">Workforce/worker_evaluation.php:21; Workforce/worker_leave_absence.php:22; Workforce/worker_settlement.php:20; app/Services/Contract/EmployeeContractAmendmentService.php:133-135</t>
  </si>
  <si>
    <t xml:space="preserve">١) بدور 27 أو 4 أنشئ تقييمًا لعاملٍ في Workforce/worker_evaluation.php. ٢) اعتمده بنفس الحساب ⇐ يُقبل. ٣) لا رسالةَ منعٍ ولا صفَّ رفض.</t>
  </si>
  <si>
    <t xml:space="preserve">إضافةُ نداءِ حارس الاعتماد الذاتي (على نمط Approvals/approval_api.php:44-61) في معالجات الاعتماد في الشاشات الأربع: مقارنةُ المعتمِد بمنشئ المستند ورفضُ التطابق برمز 403 مسجَّل؛ وإضافةُ فاحصٍ في tools/ يفشل إن وُجد معالجُ اعتمادٍ بلا نداءِ الحارس.</t>
  </si>
  <si>
    <t xml:space="preserve">محاولةُ اعتماد تقييمٍ أو إجازةٍ أو تسويةٍ أنشأها المعتمِدُ نفسُه تُرفض 403 وتُسجَّل؛ واعتمادُ شخصٍ آخرَ يمرّ.</t>
  </si>
  <si>
    <t xml:space="preserve">صحيحٌ أنّ مستدعي ems_no_self_approval أربعةٌ فقط وأنّ worker_evaluation وworker_leave_absence وworker_settlement تعتمد بحقلِ حالةٍ بلا فحصِ منشئٍ، لكنّ إدراجَ contract_registry.php خطأ: اعتمادُ الملحق يمرّ بـEmployeeContractAmendmentService::approveAmendment التي تمنع اعتمادَ المنشئ نصًّا (:133-135).</t>
  </si>
  <si>
    <t xml:space="preserve">INJ-0303</t>
  </si>
  <si>
    <t xml:space="preserve">١٧-٣ مراحلُ دورةِ العملِ ومستنداتُها · المرحلة ٤ رابعًا: الحركة والوصول</t>
  </si>
  <si>
    <t xml:space="preserve">«رابعًا: الحركة والوصول | إثبات مغادرة · إثبات وصول | المعتمِد: مشرف الموقع» — والترتيبُ من الدورةِ لا من تاريخ البرمجة (§١٧-٢)</t>
  </si>
  <si>
    <t xml:space="preserve">شاشةُ «الوصول والتسليم» — وهي مستندُ المرحلة الرابعة — مُلقاةٌ في مجموعةٍ اسمُها «خارج الوثيقة — بانتظار قرار المالك» (stage_no=99)، بينما المرحلةُ الرابعةُ في السايدبار تعرض رابطًا مكررًا لشاشة «متابعة الرحلات في الطريق»</t>
  </si>
  <si>
    <t xml:space="preserve">مستخدمُ النقل لا يجد شاشةَ إثبات الوصول والتسليم في مرحلتها، فيظنُّ الدورةَ منتهيةً عند «في الطريق» — وتُقفل أوامرُ بلا توثيق تسليم</t>
  </si>
  <si>
    <t xml:space="preserve">صفُّ nav_items للشاشة أُسند إلى مجموعة «أخرى — للمراجعة» (link_groups.id=2103, stage_no=99) بدل مجموعة المرحلة الرابعة (3378)</t>
  </si>
  <si>
    <t xml:space="preserve">database/schema/seed_reference.sql:3993 (nav_items) و:3007 (link_groups 2103) و:3014؛ Transport/transfer_arrival.php:1</t>
  </si>
  <si>
    <t xml:space="preserve">١) ادخل بدور إدارة النقل والترحيل.
٢) افتح مجموعة «رابعًا: الحركة والوصول»: رابطٌ واحدٌ فقط هو «متابعة الرحلات في الطريق».
٣) انزل إلى مجموعة «خارج الوثيقة — بانتظار قرار المالك»: تجد «الوصول والتسليم».</t>
  </si>
  <si>
    <t xml:space="preserve">حدِّث صفَّ nav_items الخاصَّ بـTransport/transfer_arrival.php ليشير إلى group_id=3378 (رابعًا: الحركة والوصول) بترتيبٍ ثانٍ بعد «متابعة الرحلات في الطريق»، وأعِد توليدَ التنقل من NAV-09</t>
  </si>
  <si>
    <t xml:space="preserve">مكتب هندسة النظم — مولّد التنقل NAV-09</t>
  </si>
  <si>
    <t xml:space="preserve">مجموعة «رابعًا: الحركة والوصول» تعرض شاشتين: متابعة الرحلات في الطريق ثم الوصول والتسليم — ولا شاشةَ نقلٍ في مجموعة stage_no=99.</t>
  </si>
  <si>
    <t xml:space="preserve">تحقّقت: صفُّ «الوصول والتسليم» في المجموعة 2103 «خارج الوثيقة — بانتظار قرار المالك» (stage_no=99)، ومجموعةُ «رابعًا: الحركة والوصول» (3378) تعرض رابطًا لـtransfer_in_transit.php المكرَّر أصلًا في المرحلة صفر.</t>
  </si>
  <si>
    <t xml:space="preserve">INJ-0304</t>
  </si>
  <si>
    <t xml:space="preserve">١٧-٤ شاشاتُها وأفعالُها · مخاطر النقل والترحيل · حوكمة النقل والترحيل</t>
  </si>
  <si>
    <t xml:space="preserve">مخاطر النقل والترحيل / حوكمة النقل والترحيل</t>
  </si>
  <si>
    <t xml:space="preserve">جدولُ ١٧-٤ يسمّي شاشتين: «مخاطر النقل والترحيل» (`risk_dept_trp.php` · ٢٢ عمودًا · ٣ أفعال) و«حوكمة النقل والترحيل» (`gov_dept_trp.php` · ١٥ عمودًا · فعلان)</t>
  </si>
  <si>
    <t xml:space="preserve">لا وجودَ لملف risk_dept_trp.php ولا gov_dept_trp.php في المستودع (الموجود risk_dept_fin.php و risk_dept_gov.php و gov_dept_gov.php و gov_dept_fin.php و gov_dept_rsk.php فقط)؛ والبديلُ المعروضُ رابطٌ عامٌّ «مساحة مخاطر الإدارة» في مجموعة «خارج الوثيقة»</t>
  </si>
  <si>
    <t xml:space="preserve">شاشتان من تسعِ شاشاتِ الإدارة (٢٢٪) غيرُ منفَّذتين، فمخاطرُ النقلِ وحوكمتُه لا يُقرآن بعنوانِ الإدارةِ ولا بأفعالها الثلاثة</t>
  </si>
  <si>
    <t xml:space="preserve">بُنيت مساحةُ المخاطر مكوّنًا واحدًا عامًّا (Risk/dept_risk_space.php) ولم يُربط بعنوانٍ ونطاقٍ خاصَّين بالنقل، ولم تُبنَ شاشةُ الحوكمةِ النطاقيةُ أصلًا</t>
  </si>
  <si>
    <t xml:space="preserve">Risk/dept_risk_space.php:3; Risk/risk_dept_fin.php:1; Governance/gov_dept_gov.php:1; database/schema/seed_reference.sql:2885</t>
  </si>
  <si>
    <t xml:space="preserve">١) ابحث في المستودع عن risk_dept_trp.php و gov_dept_trp.php: صفرُ نتيجة.
٢) ادخل بدور النقل: الرابطُ الوحيدُ ذو الصلة «مساحة مخاطر الإدارة» في مجموعة «خارج الوثيقة».</t>
  </si>
  <si>
    <t xml:space="preserve">مرِّر Risk/dept_risk_space.php بمعامل نطاقٍ dept=trp وعنوانٍ «مخاطر النقل والترحيل»، وأنشئ Governance/gov_dept_trp.php كمنظرٍ نطاقيٍّ على مصادر الحوكمة المركزية (GOV-0358…GOV-0369) وأضِف كليهما إلى سايدبار الدور ٢٣</t>
  </si>
  <si>
    <t xml:space="preserve">سايدبار الدور ٢٣ يعرض «مخاطر النقل والترحيل» و«حوكمة النقل والترحيل»، وكلٌّ منهما يفتح بنطاق الإدارة وبعنوانها لا بعنوانٍ عام.</t>
  </si>
  <si>
    <t xml:space="preserve">لا وجودَ لـrisk_dept_trp.php ولا gov_dept_trp.php؛ الموجودُ حصرًا risk_dept_fin · risk_dept_gov · gov_dept_fin · gov_dept_gov · gov_dept_rsk — والبديلُ رابطٌ عامٌّ Risk/dept_risk_space.php في مجموعة stage_no=99.</t>
  </si>
  <si>
    <t xml:space="preserve">INJ-0305</t>
  </si>
  <si>
    <t xml:space="preserve">١٧-٣ المرحلة ٥ خامسًا: الإقفال وتحميل التكلفة (شاشتان)</t>
  </si>
  <si>
    <t xml:space="preserve">«خامسًا: الإقفال وتحميل التكلفة | تحميل على مصدرها | المعتمِد: المالية | ٢ شاشة»</t>
  </si>
  <si>
    <t xml:space="preserve">المرحلةُ الخامسةُ تعرض شاشةً واحدةً (إقفال الأمر وتحميل تكلفته)؛ الشاشةُ الثانيةُ «طلبات الدفع والسداد» لها صفُّ nav_items فعّالٌ (id=6066, module 91) لكن الدور ٢٣ بلا can_view على الموديول ٩١ فتُسقَط، ومجموعتُها «طلب الدفع» (link_groups.id=3380) تفرغ فلا تُعرض</t>
  </si>
  <si>
    <t xml:space="preserve">مرحلةٌ مستنديةٌ ناقصةُ المخرَج: الإقفالُ يقع بلا مسارٍ لطلب الدفع، فتنقطع الصلةُ بين تحميل التكلفة والمالية</t>
  </si>
  <si>
    <t xml:space="preserve">غيابُ صفِّ role_permissions للموديول ٩١ للدور ٢٣ مع بقاء صفِّ التنقل فعّالًا</t>
  </si>
  <si>
    <t xml:space="preserve">database/schema/seed_reference.sql:4242; database/schema/seed_reference.sql:3016; includes/unified_nav.php:65</t>
  </si>
  <si>
    <t xml:space="preserve">١) ادخل بدور إدارة النقل والترحيل.
٢) افتح مجموعة «خامسًا: الإقفال وتحميل التكلفة»: رابطٌ واحد.
٣) قارِن بجدول ١٧-٣: المرحلةُ ٥ لها شاشتان.</t>
  </si>
  <si>
    <t xml:space="preserve">أضِف صفَّ role_permissions (role_id=23, module_id=91, can_view=1) أو أزِل الصفَّ nav_items id=6066 والمجموعةَ 3380 إن كان القرارُ ألّا ترى إدارةُ النقل طلباتِ الدفع — ولا يُترك الحالُ نصفًا</t>
  </si>
  <si>
    <t xml:space="preserve">مجموعة المرحلة الخامسة تعرض شاشتين مطابقتين لجدول ١٧-٣، أو يُوثَّق قرارُ حذفِ الثانية في سجل التغيير.</t>
  </si>
  <si>
    <t xml:space="preserve">الصفُّ nav_items id=6066 فعّالٌ بموديول 91 والمجموعة 3380 «طلب الدفع» ضمن المرحلة الخامسة، ولا صفَّ role_permissions للدور 23 على الموديول 91 — فتُسقَط الشاشةُ وتفرغ المجموعةُ فلا تُعرض، والمرحلةُ تظهر بشاشةٍ واحدة.</t>
  </si>
  <si>
    <t xml:space="preserve">INJ-0306</t>
  </si>
  <si>
    <t xml:space="preserve">١٧-٥ الأثرُ العابرُ للإدارات · «تحميلٌ على مصدرها»</t>
  </si>
  <si>
    <t xml:space="preserve">«تحميلٌ على مصدرها» — والتكلفةُ تُحمَّل على مشروعِ الأمرِ ومركزِ تكلفته لا على قيمةٍ ثابتة</t>
  </si>
  <si>
    <t xml:space="preserve">قيمةٌ حرفيةٌ في عمودٍ تحليليٍّ مكرَّرٍ (الربطُ بالمشروع محفوظٌ عبر order_id→project_id)، في شاشةِ إقفالٍ موازيةٍ بلا فحصِ صلاحيةٍ تتجاوز حارسَ «متحمّل التكلفة» في نموذج الأمر. — [مُصحَّح بعد التحقق] الصياغة الأولى: العمودُ analytic_cost_center يُملأ بالسلسلة الحرفية 'PRJ' لكلِّ أمرٍ، رغم أن الاستعلامَ في السطر ٤٢ يقرأ o.project_id و p.name ويعرضهما في الجدول — فالقيمةُ المقروءةُ لا تُستعمل في الكتابة</t>
  </si>
  <si>
    <t xml:space="preserve">كلُّ تكاليفِ الترحيل تُحمَّل على مركزٍ وهميٍّ واحدٍ اسمه PRJ، فلا تُنسب تكلفةٌ إلى مشروعها ولا يمكن قياسُ ربحيةِ أيِّ مشروع</t>
  </si>
  <si>
    <t xml:space="preserve">قيمةٌ نائبةٌ (placeholder) بقيت في كود الإنتاج ولم تُستبدل بمعرّف المشروع أو بمركز التكلفة التحليلي للأمر</t>
  </si>
  <si>
    <t xml:space="preserve">Transport/transfer_close_cost.php:14-17,25-35,42; Transport/transfer_order_form.php:175-186,284-291</t>
  </si>
  <si>
    <t xml:space="preserve">١) أقفِل أمرَي ترحيلٍ لمشروعين مختلفين.
٢) استعلِم: SELECT order_id, analytic_cost_center FROM transfer_cost_lines — القيمةُ 'PRJ' في الصفين.</t>
  </si>
  <si>
    <t xml:space="preserve">في Transport/transfer_close_cost.php استبدِل 'PRJ' بقيمة $o['analytic_cost_center'] المخزَّنة على الأمر، وإن كانت فارغةً فامنع الإقفالَ برسالةِ ٤٢٢ «لا إقفالَ بلا مركزِ تكلفة» كما يفعل حارسُ close في transfer_order_form.php:288</t>
  </si>
  <si>
    <t xml:space="preserve">إقفالُ أمرين لمشروعين مختلفين يُنتج سطرَي تكلفةٍ بمركزَي تكلفةٍ مختلفين مطابقين لعمود transfer_orders.analytic_cost_center.</t>
  </si>
  <si>
    <t xml:space="preserve">السطرُ 33-34 يكتب فعلًا analytic_cost_center='PRJ' حرفيًّا لكلِّ أمر. لكن الصفَّ يحمل order_id، وtransfer_orders يحمل project_id (والاستعلامُ :42 يقرؤه) — فنسبةُ التكلفة إلى مشروعها قائمةٌ بالانضمام، والعمودُ تسميةٌ تحليليةٌ مكرَّرة. والأخطرُ مما ذُكر: الشاشةُ بلا أيِّ فحصِ صلاحية، وهي مسارُ إقفالٍ ثانٍ يلتفّ على حارس close في transfer_order_form.php:284-291.</t>
  </si>
  <si>
    <t xml:space="preserve">INJ-0307</t>
  </si>
  <si>
    <t xml:space="preserve">١٧-٣ المرحلة ٤ · إثبات وصول</t>
  </si>
  <si>
    <t xml:space="preserve">لكل مرحلةٍ مستندٌ يُنتَج ومعتمِدٌ يشهد — ولا مرحلةَ بلا مخرَج (§١٧-٣)</t>
  </si>
  <si>
    <t xml:space="preserve">زرُّ «وصلت» يقدّم المرحلةَ إلى arrived (وهذا يقع فعلًا) لكنه يُدرج بعدَه صفَّ transfer_events بقيمة event_type='arrived' الخارجةِ عن الـENUM — فالحدثُ لا يُخزَّن ولا يبقى أثرٌ لمن أكّد الوصولَ ومتى في سجل أحداث الأمر</t>
  </si>
  <si>
    <t xml:space="preserve">انتقالُ الحالةِ يقع بلا أثرٍ في سجل الأمر: لا يُعرف من أكّد الوصول ولا وقتُه من دفتر الأحداث، فيسقط شاهدُ المرحلة الرابعة</t>
  </si>
  <si>
    <t xml:space="preserve">نفسُ خطأِ قاموسِ القيم في event_type</t>
  </si>
  <si>
    <t xml:space="preserve">Transport/transfer_in_transit.php:26-27; database/schema/schema.sql:12212</t>
  </si>
  <si>
    <t xml:space="preserve">١) افتح «متابعة الرحلات في الطريق» واضغط «وصلت» على أمرٍ حالتُه in_transit.
٢) الحالةُ تتقدم إلى arrived.
٣) استعلِم transfer_events لهذا الأمر: لا صفَّ بنوع arrived.</t>
  </si>
  <si>
    <t xml:space="preserve">استبدِل الإدراجَ المباشرَ في Transport/transfer_in_transit.php:26 باستدعاء trs_log_event($conn,$company_id,$oid,'status_change','تأكيد الوصول','in_transit','arrived',$uid,'transport') من Transport/trs_helpers.php</t>
  </si>
  <si>
    <t xml:space="preserve">بعد الضغط على «وصلت» يظهر صفٌّ في transfer_events نوعُه status_change و old_value=in_transit و new_value=arrived و actor_user_id = المستخدمُ الحالي.</t>
  </si>
  <si>
    <t xml:space="preserve">تحقّقت حرفيًّا: الإدراجُ يمرّر `event_type='arrived'` بينما ENUM العمود ('note','communication','status_change','alert','attachment','system') — ولا هجرةَ في database/migrations/ توسّعه؛ فسطرُ الحدث يُفقد أو يُبتر.</t>
  </si>
  <si>
    <t xml:space="preserve">INJ-0308</t>
  </si>
  <si>
    <t xml:space="preserve">١٧-٢ الدورةُ المستنديةُ الحاكمة · ٩-٣ بوابةُ الأفعال (منعُ التكرار)</t>
  </si>
  <si>
    <t xml:space="preserve">بوابةُ الأفعال: «منعُ التكرارِ المُثبَت ⑩» عمودٌ إلزاميٌّ لكل فعل — ولا يقع الأثرُ مرتين</t>
  </si>
  <si>
    <t xml:space="preserve">تكرارُ إرسال النموذج (أو تحديثُ الصفحة) يُدرج صفَّ حدثِ تسليمٍ جديدًا في كلِّ مرة: لا مفتاحَ منعِ تكرارٍ ولا قيدَ فريدٍ ولا نمطَ POST-Redirect-GET، ورأسُ العمود «مفتاح منع التكرار» غيرُ موجودٍ أصلًا في هذه الشاشة</t>
  </si>
  <si>
    <t xml:space="preserve">سجلُّ أحداثِ الأمر يمتلئ بتسليماتٍ مكررةٍ لا يمكن التمييزُ بينها، ويفسد قياسُ زمنِ الدورة</t>
  </si>
  <si>
    <t xml:space="preserve">لا مفتاحَ عطالةٍ ولا إعادةَ توجيهٍ بعد الكتابة في الشاشة المختصرة</t>
  </si>
  <si>
    <t xml:space="preserve">Transport/transfer_arrival.php:18; :22-23; :24</t>
  </si>
  <si>
    <t xml:space="preserve">١) اضغط «تأكيدُ التسليم» لأمرٍ ما.
٢) اضغط F5 وأكِّد إعادةَ الإرسال ثلاثَ مرات.
٣) استعلِم transfer_events: ثلاثةُ صفوفٍ متطابقةٍ للأمر نفسه.</t>
  </si>
  <si>
    <t xml:space="preserve">أضِف مفتاحَ عطالةٍ مركّبًا (order_id + نوع الحدث) بقيدٍ فريدٍ في transfer_events أو تحقّقْ من عدم وجود حدثٍ سابقٍ قبل الإدراج، واختم المعالجَ بـems_gov_flash_redirect لتطبيق POST-Redirect-GET</t>
  </si>
  <si>
    <t xml:space="preserve">ثلاثُ محاولاتِ إرسالٍ متتاليةٍ تُنتج صفَّ تسليمٍ واحدًا ورسالةَ «مسجَّلٌ سلفًا» في المحاولتين التاليتين.</t>
  </si>
  <si>
    <t xml:space="preserve">كلُّ POST يُدرج صفَّ حدثِ تسليمٍ جديدًا بلا مفتاحِ عطالةٍ ولا فحصِ سابقٍ ولا POST-Redirect-GET — والاستعلامُ يعدّ الأحداثَ فيتضخّم العدّاد.</t>
  </si>
  <si>
    <t xml:space="preserve">INJ-0309</t>
  </si>
  <si>
    <t xml:space="preserve">١٧-٥ عقدُ كلِّ فعل: «… والحدثُ والمستهلكُ وفعلُ العكس»</t>
  </si>
  <si>
    <t xml:space="preserve">عقدُ كلِّ فعلٍ سداسيٌّ: الرمزُ والفاعلُ وما يُكتب والحدثُ والمستهلكُ و«فعلُ العكس»</t>
  </si>
  <si>
    <t xml:space="preserve">الانتقالُ يُسجَّل فعلًا عبر trs_log_event في transfer_events — فقولُ «ولا سجل» غيرُ دقيق؛ والناقصُ السببُ الإلزاميُّ وقيدُ التفرد وفعلُ العكس. — [مُصحَّح بعد التحقق] الصياغة الأولى: إعادةُ فتحِ الأمرِ متاحةٌ (reopen: closed → arrived بصلاحية can_delete وبلا حارسٍ ولا سببٍ ولا سجل) ثم إعادةُ الإقفال تُدرج سطرَ تكلفةٍ ثانيًا: transfer_cost_lines بلا مفتاحٍ فريدٍ على (order_id, cost</t>
  </si>
  <si>
    <t xml:space="preserve">فتحُ أمرٍ مقفَلٍ وإعادةُ إقفاله يضاعف التكلفةَ المحمَّلةَ على المشروع؛ ولا سبيلَ لعكسِ تحميلٍ خاطئٍ إلا بحذفٍ يدويٍّ من القاعدة</t>
  </si>
  <si>
    <t xml:space="preserve">خريطةُ الانتقالات تعرّف reopen بلا حارسٍ صريحٍ («reopen: بلا حارس» تعليقًا في الكود)، والجدولُ بلا قيدِ تفرّدٍ ولا أعمدةِ عكس (reversed_by / reversal_of)</t>
  </si>
  <si>
    <t xml:space="preserve">Transport/trs_helpers.php:468; Transport/transfer_order_form.php:296; Transport/transfer_close_cost.php:33; database/schema/schema.sql:12182</t>
  </si>
  <si>
    <t xml:space="preserve">١) أقفِل أمرًا بتكلفة ١٠٠٠.
٢) من شاشة الأمر اضغط «إعادة فتح».
٣) أقفِله ثانيةً بتكلفة ١٠٠٠.
٤) استعلِم: SELECT SUM(amount_usd) FROM transfer_cost_lines WHERE order_id=&lt;الأمر&gt; — النتيجةُ ٢٠٠٠.</t>
  </si>
  <si>
    <t xml:space="preserve">أضِف قيدَ UNIQUE(company_id, order_id, cost_type) على transfer_cost_lines، وفي Transport/transfer_order_form.php عند reopen: اشترِط سببًا مكتوبًا وصلاحيةً مخصَّصةً واعكِس سطورَ التكلفة بصفٍّ عكسيٍّ (reversal_of) بدل تركها، وسجِّل الحدثَ بـtrs_log_event</t>
  </si>
  <si>
    <t xml:space="preserve">بعد إعادة الفتح وإعادة الإقفال يبقى صافي التحميل ١٠٠٠ ويظهر سطرُ عكسٍ مرتبطٌ بالسطر الأول، ولا يمكن إعادةُ الفتح بلا سببٍ مكتوب.</t>
  </si>
  <si>
    <t xml:space="preserve">الأسطرُ الأربعةُ تطابق: reopen (closed→arrived) بحاجة can_delete وحدَها، وtransfer_close_cost.php:33 يُدرج سطرَ تكلفةٍ جديدًا في كلِّ إقفال، وtransfer_cost_lines بلا مفتاحٍ فريد.</t>
  </si>
  <si>
    <t xml:space="preserve">INJ-0310</t>
  </si>
  <si>
    <t xml:space="preserve">١٧-٢ الدورةُ المستنديةُ الحاكمة · شرطُ الإقفال</t>
  </si>
  <si>
    <t xml:space="preserve">لكل مرحلةٍ حارسُها — و«لا إغلاقَ دون تحديد متحمِّل التكلفة» و«كل بند تكلفة يجب أن يحمل مركز تكلفة قبل الإغلاق»</t>
  </si>
  <si>
    <t xml:space="preserve">للإقفال مساران: الأولُ transition=close في transfer_order_form.php وفيه حارسان (cost_bearer محدَّدٌ + كلُّ بندٍ له مركزُ تكلفة)؛ والثاني شاشةُ transfer_close_cost.php التي تنفّذ UPDATE مباشرًا إلى stage='closed' وتتخطى الحارسين كليهما</t>
  </si>
  <si>
    <t xml:space="preserve">حارسُ الإقفالِ المبنيُّ يُلتفُّ عليه من شاشةٍ أخرى — وهذا بالضبط ما يبطله سلّمُ الإغلاق الرباعي (L3): الحارسُ مبنيٌّ ولم يُطبَّق على المسار المصاب</t>
  </si>
  <si>
    <t xml:space="preserve">فعلٌ واحدٌ («الإقفال») بمعالجَين مستقلَّين في ملفين، ولا محرّكَ حالاتٍ واحدٌ يفرض الحرّاس</t>
  </si>
  <si>
    <t xml:space="preserve">Transport/transfer_close_cost.php:19-32; Transport/transfer_order_form.php:284-291</t>
  </si>
  <si>
    <t xml:space="preserve">١) أنشئ أمرًا واصلًا (arrived) بلا cost_bearer.
٢) من شاشة الأمر جرِّب «إغلاق الأمر»: يُرفض برسالة «لا إغلاق دون تحديد متحمِّل التكلفة».
٣) افتح transfer_close_cost.php وأقفِل الأمرَ نفسَه: ينجح.</t>
  </si>
  <si>
    <t xml:space="preserve">اجعل Transport/transfer_close_cost.php يستدعي المسارَ الواحدَ نفسَه (استخرِج دالةً trs_close_order() في Transport/trs_helpers.php تحتوي حرّاسَ close وتُستعمل من الشاشتين)، وأزِل الـUPDATE المباشر</t>
  </si>
  <si>
    <t xml:space="preserve">الإقفالُ من أيِّ الشاشتين يُرفض بالرسالة نفسها إن لم يكن للأمر متحمِّلٌ ومراكزُ تكلفةٍ لكل بند.</t>
  </si>
  <si>
    <t xml:space="preserve">transfer_close_cost.php:25-27 ينفّذ UPDATE transfer_orders SET stage='closed' بشرطِ التكلفة&gt;0 والمرحلةِ 'arrived' فقط، بينما مسارُ transfer_order_form.php:284-291 يفرض cost_bearer محدَّدًا وصفرَ بندِ تكلفةٍ بلا مركز — فالحارسان يُتخطّيان من الشاشة الثانية.</t>
  </si>
  <si>
    <t xml:space="preserve">INJ-0311</t>
  </si>
  <si>
    <t xml:space="preserve">١٧-٥ الأثرُ العابرُ للإدارات · «حدثٌ منشورٌ يستهلكه من يعنيه — لا نداءٌ مباشر»</t>
  </si>
  <si>
    <t xml:space="preserve">سلسلة حركة/ترحيل → موقع → تشغيل</t>
  </si>
  <si>
    <t xml:space="preserve">http://localhost/ems/movement/movement_operations.php</t>
  </si>
  <si>
    <t xml:space="preserve">«نمطُ الانتقال: حدثٌ منشورٌ يستهلكه من يعنيه — لا نداءٌ مباشر» و«لا إدارةَ تكتب في جداول إدارةٍ أخرى»</t>
  </si>
  <si>
    <t xml:space="preserve">الحكمُ المخروقُ هو قاعدةُ «الأثرُ ينتقل بالأحداث» العامةُ لا فصلُ النقل؛ والعددُ المذكورُ (28 موضعًا) تقديريٌّ. — [مُصحَّح بعد التحقق] الصياغة الأولى: مجلد movement/ ينفّذ ٢٨ موضعَ كتابةٍ مباشرةٍ في جداولِ إداراتٍ أخرى (operations · equipments · equipment_drivers) وصفرَ حدثٍ منشور؛ ولا يوجد أيُّ حدثٍ لوحدة النقل في طبقة الأحداث، وقفزةُ «الموقع» غيرُ</t>
  </si>
  <si>
    <t xml:space="preserve">السلسلةُ الحاكمةُ حركة/ترحيل→موقع→تشغيل مكسورةٌ كسلسلةِ أحداث: التكاملُ يقع بكتابةٍ مباشرةٍ عابرةٍ للإدارات، فلا يمكن عزلُ الإدارات ولا تتبعُ سببيةِ الأثر ولا إعادةُ تشغيله</t>
  </si>
  <si>
    <t xml:space="preserve">شاشاتُ movement/ سابقةٌ لناقل الأحداث ولم تُهاجَر إليه؛ وناقلُ الأحداث نفسُه لا مستهلكَ له لهذه المفاتيح</t>
  </si>
  <si>
    <t xml:space="preserve">movement/movement_operations.php:339; movement/move_oprators.php:438; database/schema/seed_reference.sql:84-88</t>
  </si>
  <si>
    <t xml:space="preserve">١) grep على movement/ عن EventPublisher: صفرُ نتيجة.
٢) grep على movement/ عن gate-&gt;insert('operations'): مواضعُ متعددة.
٣) استعلِم fin_financial_events عن أيِّ مفتاحٍ من وحدة النقل: صفرُ صف.</t>
  </si>
  <si>
    <t xml:space="preserve">انشر حدثًا واحدًا لكل فعلِ حركةٍ (transfer.movement.recorded) من movement/movement_operations.php عبر App\Core\EventPublisher::publish، وسجِّل مستهلكًا في cron_events.php يكتب في جداول Operations بدل الكتابة المباشرة</t>
  </si>
  <si>
    <t xml:space="preserve">كلُّ كتابةٍ في جداول Operations من movement/ تمرُّ بمستهلكِ حدثٍ مسجَّل، وgrep يعيد صفرَ gate-&gt;insert('operations') داخل movement/.</t>
  </si>
  <si>
    <t xml:space="preserve">الكتابةُ المباشرةُ في جداولِ إداراتٍ أخرى (operations · equipments · equipment_drivers) قائمةٌ في movement/ بلا أيِّ نشرِ حدثٍ (صفرُ EventPublisher في المجلد)، لكنّ النسبةَ خاطئة: شاشاتُ movement/ مملوكةٌ للدور 6 «إدارة الموقع» (modules 29 · 30 · 34) لا لوحدة النقل التي يستشهد بفصلها البند (§١٧-٥).</t>
  </si>
  <si>
    <t xml:space="preserve">INJ-0312</t>
  </si>
  <si>
    <t xml:space="preserve">١٧-٥ الأثرُ العابرُ للإدارات · المستهلكون</t>
  </si>
  <si>
    <t xml:space="preserve">«الإداراتُ المتأثرةُ بأفعالها: … المالية والخزينة …» — والأثرُ ينتقل بالأحداث</t>
  </si>
  <si>
    <t xml:space="preserve">إقفالُ الأمرِ وتحميلُ تكلفته لا ينشر أيَّ حدثٍ على الناقل (لا EventPublisher ولا fin_financial_events)؛ الأثرُ الوحيدُ صفٌّ في transfer_events وهو جدولٌ محليٌّ لا يقرؤه أحد، وصفٌّ في transfer_cost_lines لا مستهلكَ له في المالية</t>
  </si>
  <si>
    <t xml:space="preserve">المالية لا تعلم بتحميلِ تكلفةِ ترحيلٍ على مشروعٍ إلا باستعلامٍ يدوي؛ وسلسلةُ «تحميل التكلفة → التزام/تكلفة مشروع» مكسورةٌ بلا وصلة</t>
  </si>
  <si>
    <t xml:space="preserve">وحدةُ النقلِ لم تُدمج بناقل الأحداث رغم وجوده وعمله في المشتريات والصيانة</t>
  </si>
  <si>
    <t xml:space="preserve">Transport/transfer_close_cost.php:30; Transport/transfer_close_cost.php:33; app/Core/EventPublisher.php:239; Procurement/proc_helpers.php:570</t>
  </si>
  <si>
    <t xml:space="preserve">١) أقفِل أمرًا بتكلفة.
٢) استعلِم fin_financial_events عن أيِّ صفٍّ مصدرُه transport: لا صف.
٣) grep على Transport/ عن EventPublisher: صفرُ نتيجة.</t>
  </si>
  <si>
    <t xml:space="preserve">أضِف نشرَ حدث expense.transfer.recorded من Transport/transfer_close_cost.php داخل معاملةٍ واحدةٍ مع كتابة السطر، بمفتاح عطالة trs:close:{order_id} وبأبعاد project_id و analytic_cost_center، على نمط Procurement/proc_helpers.php:570</t>
  </si>
  <si>
    <t xml:space="preserve">إقفالُ أمرٍ يُنتج صفًّا واحدًا في fin_financial_events بمفتاح expense.transfer.recorded ومبلغٍ ومشروعٍ صحيحين، وإعادةُ الإقفال لا تضاعفه.</t>
  </si>
  <si>
    <t xml:space="preserve">صفر EventPublisher في مجلد Transport/؛ الإقفالُ يكتب transfer_events و transfer_cost_lines فقط (transfer_close_cost.php:30-34)، والجدولان بلا قارئٍ خارجَ Transport (ذكرٌ في تعليقٍ واحدٍ بـSettlementService.php:355).</t>
  </si>
  <si>
    <t xml:space="preserve">INJ-0313</t>
  </si>
  <si>
    <t xml:space="preserve">١٧-٣ المرحلة ٣ ثالثًا: التجهيز والتصاريح · «تصريح مسار وحمولة»</t>
  </si>
  <si>
    <t xml:space="preserve">تصاريح المسار والحمولة</t>
  </si>
  <si>
    <t xml:space="preserve">http://localhost/ems/Transport/transfer_permits.php</t>
  </si>
  <si>
    <t xml:space="preserve">ثالثًا: التجهيز والتصاريح</t>
  </si>
  <si>
    <t xml:space="preserve">«ثالثًا: التجهيز والتصاريح | تصريح مسار وحمولة | المعتمِد: منسّق الترحيل» — والمستندُ مصدرُ حقيقةِ الإدارة («◆ ما تملكه: … التصاريحَ»)</t>
  </si>
  <si>
    <t xml:space="preserve">جدولُ `transfer_permits` **يُكتب فعلًا** من `Transport/transfer_order_form.php:219` ويُقرأ في حارس التجهيز (:269) — فالمسارُ الوظيفيُّ قائمٌ والشاشةُ المعلَنةُ بديلٌ صوريٌّ لا مصدرُ حقيقة. — [مُصحَّح بعد التحقق] الصياغة الأولى: الشاشةُ من شاشات CMP-03 العامة: تعرض نموذجًا مسطَّحًا وتُدرج الحمولةَ عبر cmp03_store_insert في جدولِ سلاسلٍ نصيةٍ عام، وحارسُها الوحيدُ فحصُ وجودِ شركةٍ للمستخدم؛ بينما جدولُ التصاريح الحقيقيُّ trans</t>
  </si>
  <si>
    <t xml:space="preserve">التصريحُ الذي يُدخله المستخدمُ لا يصل إلى الجدول الذي يفحصه حارسُ التجهيز؛ فإمّا يتعذر تجهيزُ أمرِ معدةٍ أبدًا أو تُنشأ تصاريحُ من مسارٍ آخر — ومصدرُ حقيقةِ التصاريحِ مزدوج</t>
  </si>
  <si>
    <t xml:space="preserve">بُنيت الشاشةُ مولَّدةً على المخزن العام قبل ربطها بجدول transfer_permits المملوك</t>
  </si>
  <si>
    <t xml:space="preserve">Transport/transfer_permits.php:78-90; :126; Transport/transfer_order_form.php:219; :269-271</t>
  </si>
  <si>
    <t xml:space="preserve">١) افتح «تصاريح المسار والحمولة» وأضِف تصريحًا.
٢) استعلِم transfer_permits: لا صفَّ جديد.
٣) افتح أمرَ ترحيلِ معدةٍ وجرِّب «تجهيز»: يُرفض بـ«ترحيل المعدة يتطلب مركبة ناقلة وتصريحًا ساريًا».</t>
  </si>
  <si>
    <t xml:space="preserve">أعِد ربطَ Transport/transfer_permits.php بجدول transfer_permits: استبدِل cmp03_store_insert بإدراجٍ عبر trs_gate()-&gt;insert('transfer_permits', …) بحقول order_id و state و صلاحيةِ التاريخ، وأضِف حارسَ trs_page_perms</t>
  </si>
  <si>
    <t xml:space="preserve">إضافةُ تصريحٍ من الشاشة تُنشئ صفًّا في transfer_permits مرتبطًا بأمرٍ وبحالة valid، ويجتاز الأمرُ حارسَ التجهيز.</t>
  </si>
  <si>
    <t xml:space="preserve">الشاشةُ المعلَنةُ فعلًا نموذجُ CMP-03 يكتب في `scr_transfer_permits` لا في `transfer_permits`، والكتابةُ (:87) تسبق insidebar (:126) فبلا حارس؛ لكنَّ التصاريحَ الحقيقيةَ تُنشأ من شاشةٍ أخرى.</t>
  </si>
  <si>
    <t xml:space="preserve">INJ-0314</t>
  </si>
  <si>
    <t xml:space="preserve">§٤-٥ قواعدُ السايدبار الثلاثةَ عشرَ · القاعدة ٩</t>
  </si>
  <si>
    <t xml:space="preserve">«مساحةُ عملي فوق الإداراتِ دائمًا» — المنطقةُ ① أعلى السايدبار بمحتواها الثابت حرفيًّا: مهامي · طلباتي · موافقاتي · بلاغاتي · إنجازي · التنبيهات</t>
  </si>
  <si>
    <t xml:space="preserve">لا وجودَ لمساحة عملي في سايدبار الدور ٢٣ (إدارة النقل والترحيل) ولا في أي دور؛ الباب أيقونةُ حقيبةٍ في الشريط العلوي فقط، وعناصرُها الشخصية (مهامي/إنجازي/بوابتي/طلباتي) مبعثرةٌ داخل مجموعة «لوحة الإدارة» تحت عنوانٍ فرعيٍّ «مساحتي الشخصية» — و«موافقاتي» و«التنبيهات» غائبتان تمامًا</t>
  </si>
  <si>
    <t xml:space="preserve">مستخدمُ النقل لا يجد مدخلَه اليوميَّ في موضعه المتفق عليه، ويفقد بابَي «موافقاتي» و«التنبيهات» كليًّا من التنقل — فينتظر اعتماداتٌ لا يراها</t>
  </si>
  <si>
    <t xml:space="preserve">المولِّد يطبع المنطقة ① كعنوانٍ فرعيٍّ داخل أولِ مجموعةٍ مرحليةٍ بدل منطقةٍ مستقلةٍ فوق الإدارات، والباب الحقيقي نُقل إلى الشريط العلوي</t>
  </si>
  <si>
    <t xml:space="preserve">includes/topbar.php:186; includes/topbar.php:203; includes/unified_nav.php:219; includes/unified_nav.php:231; database/schema/seed_reference.sql:3007</t>
  </si>
  <si>
    <t xml:space="preserve">١) ادخل بحساب دور «إدارة النقل والترحيل» (role_id=23).
٢) افتح أيَّ شاشةِ نقل.
٣) راقب السايدبار: لا توجد منطقةٌ باسم «مساحة عملي» فوق الإدارات.
٤) ابحث عن «موافقاتي» و«التنبيهات» في السايدبار: غيرُ موجودتين.</t>
  </si>
  <si>
    <t xml:space="preserve">في includes/unified_nav.php أضِف طباعةَ منطقةٍ أولى ثابتةٍ باسم «مساحة عملي» قبل حلقةِ المراحل (قبل السطر ٢١٩) تحوي بالترتيب: مهامي · طلباتي · موافقاتي (Portal/approvals_inbox.php) · بلاغاتي (Tickets/dept_inbox.php) · إنجازي · التنبيهات (Portal/notifications.php)، وأزِل صفوفَ nav_items الشخصيةَ من مجموعات stage_no=0 في seed_reference.sql</t>
  </si>
  <si>
    <t xml:space="preserve">افتح بحساب الدور ٢٣: تظهر منطقةٌ عليا اسمُها «مساحة عملي» بستة عناصرَ بالترتيب المنصوص، ولا يتكرر أيٌّ منها داخل مجموعةِ لوحة الإدارة.</t>
  </si>
  <si>
    <t xml:space="preserve">سايدبار الدور 23 المحسوب: لا منطقةَ «مساحة عملي»، والعناصرُ الشخصيةُ الخمسةُ داخل المجموعة 3371 «مساحتي الشخصية» تحت «لوحة الإدارة» (nav_items 6052-6056)، و«موافقاتي» و«التنبيهات» غائبتان.</t>
  </si>
  <si>
    <t xml:space="preserve">INJ-0315</t>
  </si>
  <si>
    <t xml:space="preserve">§٤-٢ بنيةُ السايدبار الخمسية · المنطقة ② لوحةُ إدارتي</t>
  </si>
  <si>
    <t xml:space="preserve">لوحة الرحلات</t>
  </si>
  <si>
    <t xml:space="preserve">http://localhost/ems/Transport/transfer_dashboard.php</t>
  </si>
  <si>
    <t xml:space="preserve">«② لوحةُ إدارتي: لوحةُ المؤشراتِ · غرفةُ العملياتِ إن وُجدت — ثابتةُ الموضعِ متغيرةُ المحتوى — حالةُ الإدارةِ قبل تفصيلها»</t>
  </si>
  <si>
    <t xml:space="preserve">لوحةُ الإدارة الحقيقية Transport/transfer_dashboard.php مبنيةٌ ومحروسةٌ (trs_page_perms) والدورُ ٢٣ يملك can_view على الموديول ١١٣ — لكن صفَّ nav_items لها active=0 فلا تظهر أبدًا؛ ومجموعةُ «لوحة الإدارة» تعرض بدلًا عنها شاشةَ عملٍ تشغيليةً (متابعة الرحلات في الطريق)</t>
  </si>
  <si>
    <t xml:space="preserve">إدارةُ النقل بلا لوحةِ مؤشراتٍ في التنقل رغم وجودها في الكود — فحالةُ الإدارةِ لا تُقرأ قبل تفصيلها</t>
  </si>
  <si>
    <t xml:space="preserve">nav_items.active=0 على الصف رقم ٤٠٣ ولم يُعَد تفعيلُه بعد إعادة توليد NAV-09</t>
  </si>
  <si>
    <t xml:space="preserve">database/schema/seed_reference.sql:3773; Transport/transfer_dashboard.php:22; database/schema/seed_reference.sql:165</t>
  </si>
  <si>
    <t xml:space="preserve">١) ادخل بدور إدارة النقل والترحيل.
٢) افتح مجموعة «لوحة الإدارة»: لا رابطَ لـ«لوحة الرحلات».
٣) افتح الرابط يدويًّا http://localhost/ems/Transport/transfer_dashboard.php: الشاشةُ تفتح وتعمل.</t>
  </si>
  <si>
    <t xml:space="preserve">فعِّل الصفَّ nav_items id=403 (active=1) وأسنِده إلى group_id=3371 «لوحة الإدارة» بترتيبٍ أولٍ قبل «متابعة الرحلات في الطريق»</t>
  </si>
  <si>
    <t xml:space="preserve">أولُ رابطٍ بعد «الرئيسية/المراسلات» في مجموعة لوحة الإدارة للدور ٢٣ هو «لوحة الرحلات» ويفتح transfer_dashboard.php.</t>
  </si>
  <si>
    <t xml:space="preserve">صفُّ nav_items id=403 للوحة الرحلات active=0 وفي مجموعة stage 99، ومجموعةُ «لوحة الإدارة» للدور 23 تعرض بدلها شاشةَ متابعة الرحلات في الطريق.</t>
  </si>
  <si>
    <t xml:space="preserve">INJ-0316</t>
  </si>
  <si>
    <t xml:space="preserve">§٤-٢ بنيةُ السايدبار الخمسية · المنطقة ④ السجلاتُ والمراجع</t>
  </si>
  <si>
    <t xml:space="preserve">إعدادات الترحيل · قواعد تحميل تكلفة الترحيل · مواقع الترحيل</t>
  </si>
  <si>
    <t xml:space="preserve">http://localhost/ems/Transport/transfer_types_config.php</t>
  </si>
  <si>
    <t xml:space="preserve">«④ السجلاتُ والمراجع: السجلاتُ الأمُّ · القواميسُ · الإعدادات — مرجعٌ يُقصَد لا مسارٌ يوميّ» — ثابتةُ الموضع</t>
  </si>
  <si>
    <t xml:space="preserve">ثلاثُ شاشاتِ مراجعَ مبنيةٌ ومحروسةٌ (transfer_types_config.php · transfer_cost_rules_config.php · trs_locations_config.php) وصفوفُها في nav_items كلُّها active=0، فمنطقةُ السجلاتِ والمراجع في سايدبار النقل تحوي التعرفةَ وحدَها</t>
  </si>
  <si>
    <t xml:space="preserve">لا يستطيع مستخدمُ النقل تعريفَ أنواعِ الترحيل ولا قواعدِ تحميل التكلفة ولا المواقعِ من التنقل — وهي مدخلاتُ التسعيرِ والتحميلِ كلِّها، فتبقى الأوامرُ بلا مرجعياتٍ محدَّثة</t>
  </si>
  <si>
    <t xml:space="preserve">ثلاثةُ صفوفِ nav_items بـactive=0 داخل مجموعة «أخرى — للمراجعة» (2103) ولم تُنقل إلى مجموعة «تقارير وإعدادات الترحيل» (3382)</t>
  </si>
  <si>
    <t xml:space="preserve">database/schema/seed_reference.sql:3774; database/schema/seed_reference.sql:3775; database/schema/seed_reference.sql:3776; Transport/transfer_types_config.php:27; Transport/transfer_cost_rules_config.php:27; Transport/trs_locations_config.php:27</t>
  </si>
  <si>
    <t xml:space="preserve">١) ادخل بدور إدارة النقل والترحيل.
٢) افتح مجموعة «تقارير وإعدادات الترحيل»: أربعةُ روابطَ ليس فيها إعداداتُ الأنواع ولا قواعدُ التكلفة ولا المواقع.
٣) افتح http://localhost/ems/Transport/trs_locations_config.php يدويًّا: الشاشةُ تعمل.</t>
  </si>
  <si>
    <t xml:space="preserve">فعِّل صفوفَ nav_items ٤٠٦ و٤٠٧ و٤٠٨ (active=1) وانقلها إلى group_id مجموعةِ «تقارير وإعدادات الترحيل»، وأضِف عنوانًا فرعيًّا «الإعدادات والمراجع»</t>
  </si>
  <si>
    <t xml:space="preserve">مجموعة «تقارير وإعدادات الترحيل» تعرض سبعةَ روابطَ منها الثلاثةُ المذكورة، وكلٌّ منها يفتح شاشتَه.</t>
  </si>
  <si>
    <t xml:space="preserve">الأسطرُ 3774 · 3775 · 3776 مطابقةٌ حرفيًّا: الصفوفُ 406 · 407 · 408 للدور 23 كلُّها `active=0` رغم أن الشاشاتِ مبنيةٌ وله can_view على مودولاتها.</t>
  </si>
  <si>
    <t xml:space="preserve">INJ-0317</t>
  </si>
  <si>
    <t xml:space="preserve">§٣ قواعدُ الجداولِ والأعمدة · «لا عمودَ بلا مصدر»</t>
  </si>
  <si>
    <t xml:space="preserve">لكل عمودٍ مصدرٌ ومالكٌ ومعنًى — والأعمدةُ الحاكمةُ السبعُ إلزاميةٌ لمستندٍ يُعتمد</t>
  </si>
  <si>
    <t xml:space="preserve">الجدولُ يعلن ٥ أعمدةِ بياناتٍ حقيقيةٍ ثم ٩ أعمدةٍ وظيفيةٍ (ems-fn-th) و١٤ عمودَ حوكمةٍ (ems-gov-th) — ٢٣ عمودًا لا يُصيَّر لها أيُّ &lt;td&gt; من الخادم؛ والتعليقُ في الكود يقرّ: «الخلايا يحشوها ui-unification.js حتى ربط المصدر»</t>
  </si>
  <si>
    <t xml:space="preserve">أعمدةٌ حاكمةٌ (المعتمِد · مرجع التفويض · تاريخ الاعتماد · مفتاح منع التكرار · معكوس بـ) تظهر في الرأس فارغةً — فتبدو الشاشةُ ممتثلةً لبوابة الأعمدة وهي ليست كذلك، وهو ما يُفسد قياسَ بوابة القبول G5-B</t>
  </si>
  <si>
    <t xml:space="preserve">حُقنت رؤوسُ CMP-03 قبل ربط مصادر البيانات، ولم يُغلق العيبُ عند المستوى الثالث L3</t>
  </si>
  <si>
    <t xml:space="preserve">Transport/transfer_close_cost.php:69-96; :98-110</t>
  </si>
  <si>
    <t xml:space="preserve">١) افتح «إقفال الأمر وتحميل تكلفته» وفيها أمرٌ واحدٌ على الأقل.
٢) مرِّر الجدولَ أفقيًّا: أعمدةُ «المعتمِد» و«مرجع التفويض» و«مفتاح منع التكرار» فارغةٌ لكلِّ الصفوف.
٣) افحص HTML: عدد &lt;th&gt; = ٢٨ وعدد &lt;td&gt; لكل صف = ٥.</t>
  </si>
  <si>
    <t xml:space="preserve">اربِط أعمدةَ الحوكمة بمصادرها من transfer_orders و transfer_cost_lines (أو أزِلها حتى الربط)، ووحِّد عددَ &lt;th&gt; و&lt;td&gt;، وفعِّل عمودَي reversed_by/reversal_of بعد إضافتهما للجدول</t>
  </si>
  <si>
    <t xml:space="preserve">فريق الواجهات — وحدة النقل والترحيل</t>
  </si>
  <si>
    <t xml:space="preserve">لكل &lt;th&gt; في الجدول &lt;td&gt; مقابلٌ بقيمةٍ من الخادم أو لا يظهر الرأسُ أصلًا؛ وبوابة G5-B تعيد صفرَ عمودٍ بلا مصدر.</t>
  </si>
  <si>
    <t xml:space="preserve">خمسةُ أعمدةِ بياناتٍ مقابلَ تسعةٍ وظيفيةٍ وأربعةَ عشرَ حوكميًّا بلا أيِّ &lt;td&gt; من الخادم، والتعليقُ في الملف يقرّ أن ui-unification.js يحشوها «—».</t>
  </si>
  <si>
    <t xml:space="preserve">INJ-0318</t>
  </si>
  <si>
    <t xml:space="preserve">§٢ كتالوجُ الشاشات · ⑤ التقاريرُ والتصدير</t>
  </si>
  <si>
    <t xml:space="preserve">شاشات النقل — منفذ التصدير الخادمي</t>
  </si>
  <si>
    <t xml:space="preserve">http://localhost/ems/Transport/transfer_requests.php</t>
  </si>
  <si>
    <t xml:space="preserve">أولًا: استقبال الطلب</t>
  </si>
  <si>
    <t xml:space="preserve">«⑤ التقاريرُ والتصدير: التقاريرُ · مركزُ التصدير — ◆ ثابتةٌ حرفيًّا» — ويُصدَّر المنظرُ الحالي بأعمدته وفلاتره</t>
  </si>
  <si>
    <t xml:space="preserve">التصديرُ عميليٌّ عبر DataTables Buttons لا عبر إضافةِ متصفح. — [مُصحَّح بعد التحقق] الصياغة الأولى: لا وجودَ لأيِّ استدعاءٍ لـexcel.php في مجلد Transport/ كلِّه؛ والتصديرُ المتاحُ من إضافات المتصفح على البيانات المصيَّرة، فلا يصدِّر المنظرَ ولا الفلاترَ ولا المجموعةَ الكاملةَ من الصفوف (excel.php لا</t>
  </si>
  <si>
    <t xml:space="preserve">لا يمكن استخراجُ أوامرِ ترحيلٍ مصفّاةٍ بفترةٍ أو مشروعٍ إلى ملفٍ رسمي؛ وما يُصدَّر جزئيٌّ بحسب ما ظهر على الشاشة</t>
  </si>
  <si>
    <t xml:space="preserve">لم تُعرَّف كياناتُ تصديرٍ لوحدة النقل في سجل ExcelService، فبقي التصديرُ عميليًّا</t>
  </si>
  <si>
    <t xml:space="preserve">Transport/transfer_orders_list.php:159; :166; excel.php:70-71</t>
  </si>
  <si>
    <t xml:space="preserve">١) grep على Transport/ عن excel.php: صفرُ نتيجة.
٢) صفِّ أوامرَ الترحيل بمشروعٍ ثم اضغط «Excel»: يخرج الملفُّ بكل الصفوف المصيَّرة لا بالمصفّاة فقط.</t>
  </si>
  <si>
    <t xml:space="preserve">عرِّف كياناتِ تصديرٍ transfer_orders و transfer_requests في app/Services/Excel وأضِف زرَّ تصديرٍ يستدعي excel.php مع تمرير الفلاتر والمنظر، وأزِل أزرارَ buttons.html5</t>
  </si>
  <si>
    <t xml:space="preserve">التصديرُ من شاشة أوامر الترحيل يُنتج ملفًا يطابق الفلاترَ والمنظرَ المطبَّقين، ويُسجَّل في سجل التصدير.</t>
  </si>
  <si>
    <t xml:space="preserve">صحيحٌ أن لا استدعاءَ لـexcel.php في Transport/ ولا كيانَ نقلٍ في ExcelRegistry ولا سجلَّ تصدير. لكن التصديرَ ليس «من إضافات المتصفح» بل من مكتبة DataTables Buttons المحزومة في المستودع (buttons.html5.min.js) وهي تحترم فلترَ الجدول الحيّ — فالخللُ الحقيقيُّ غيابُ المسار الخادميِّ والسجل.</t>
  </si>
  <si>
    <t xml:space="preserve">INJ-0319</t>
  </si>
  <si>
    <t xml:space="preserve">§١ نموذجُ التتبع · ١-٣ قواعدُ الربط (المتطلبُ ← الشاشة ← الفعل ← الدليل)</t>
  </si>
  <si>
    <t xml:space="preserve">شاشات النقل التسع مقابل خمس عشرة شاشةً فعلية</t>
  </si>
  <si>
    <t xml:space="preserve">http://localhost/ems/Transport/transfer_order_form.php</t>
  </si>
  <si>
    <t xml:space="preserve">ثانيًا: إصدار أمر الترحيل</t>
  </si>
  <si>
    <t xml:space="preserve">«الشاشات `9 شاشة`» في §١٧ — ولكل شاشةٍ رمزٌ ومالكٌ ومرحلةٌ في ملف التتبع الورقة ٠٦</t>
  </si>
  <si>
    <t xml:space="preserve">مجلد Transport/ يحوي ١٥ ملفَ شاشةٍ/مهمةٍ فعليًّا: تسعُ شاشاتٍ موثقةٍ (بأسماءِ ملفاتٍ مختلفةٍ عن الوثيقة) وستُّ شاشاتٍ/مهامَّ غيرِ مذكورةٍ إطلاقًا (transfer_arrival · transfer_dashboard · transfer_order_form · transfer_cost_rules_config · transfer_types_config · trs_locations_config · cron_transfer)، وشاشتان موثقتان غيرُ موجودتين (risk_dept_trp · gov_dept_trp)</t>
  </si>
  <si>
    <t xml:space="preserve">مقامُ قياسِ التبنّي في إدارة النقل خاطئٌ في الاتجاهين، وهو عينُ العيب المقياسي MD-01؛ ولا يمكن إعلانُ نسبةِ إنجازٍ للوحدة</t>
  </si>
  <si>
    <t xml:space="preserve">بُنيت شاشاتٌ خارج مسار التغيير الرسمي RL-05 ولم يُحدَّث نظامُ الشاشات NAV-09 (خرقُ PR-11 «ابنِ قبل التوثيقِ ولا تُصدِرْ قبله»)</t>
  </si>
  <si>
    <t xml:space="preserve">Transport/transfer_arrival.php:1; Transport/transfer_dashboard.php:1; Transport/transfer_order_form.php:1; Transport/transfer_cost_rules_config.php:1; Transport/trs_locations_config.php:1; Transport/cron_transfer.php:1</t>
  </si>
  <si>
    <t xml:space="preserve">١) اجرد ملفات Transport/*.php: ١٦ ملفًا (منها trs_helpers.php مكتبة).
٢) قارِنها بجدول §١٧-٤ (٩ شاشات).
٣) الفارق: ٦ شاشاتٍ زائدةٍ و٢ ناقصتان.</t>
  </si>
  <si>
    <t xml:space="preserve">سجِّل الشاشاتِ الستَّ في NAV-09 بمرحلةٍ ومالكٍ ونطاقٍ وابصِم النسخة، وأنشئ الشاشتين الناقصتين، ثم أعِد توليدَ التنقل واحسب مقامَ التبنّي من السجل المحدَّث</t>
  </si>
  <si>
    <t xml:space="preserve">مكتب هندسة النظم المؤسسية</t>
  </si>
  <si>
    <t xml:space="preserve">فاحصُ المطابقة يعيد صفرَ ملفِ شاشةٍ في Transport/ بلا صفٍّ في نظام الشاشات، وصفرَ شاشةٍ موثقةٍ بلا ملف.</t>
  </si>
  <si>
    <t xml:space="preserve">مجلد Transport/ فيه أربعَ عشرةَ شاشةً ومهمةُ cron مقابلَ تسعٍ موثقةٍ بأسماءِ ملفاتٍ مختلفة، وrisk_dept_trp وgov_dept_trp غيرُ موجودتين — فجوةُ تسجيلٍ وتتبّع.</t>
  </si>
  <si>
    <t xml:space="preserve">INJ-0320</t>
  </si>
  <si>
    <t xml:space="preserve">▐ ١١-٣ الشاشاتُ والمناظرُ والعرض · SCN-123-أ · SCN-123-ب</t>
  </si>
  <si>
    <t xml:space="preserve">«يجب أن تُعرض شاشةُ «صندوق ما ينتظر اعتمادي» لـالنقل والترحيل بنطاق نطاقُه وسقفُه · بأفعالٍ مسموحةٍ هي اعتماد · رفضٌ بسبب · إعادة، ومحجوبٍ عنه: اعتمادُ ما أنشأتُه»</t>
  </si>
  <si>
    <t xml:space="preserve">صفُّ nav_items موجودٌ وفعّالٌ (id=6069, module 192) لكنّ الدور ٢٣ لا يملك صفَّ role_permissions بـcan_view على الموديول ١٩٢، فيُسقطه شرطُ EXISTS في استعلامِ المولِّد ولا يُعرض للمستخدم أيُّ سببٍ لغيابه</t>
  </si>
  <si>
    <t xml:space="preserve">إدارةُ النقل بلا صندوقِ اعتماداتٍ: أوامرُ الترحيل والتكاليفُ تنتظر قرارًا لا يصل صاحبَه — والثلاثيةُ (اعتماد/رفض بسبب/إعادة) غيرُ متاحةٍ لها إطلاقًا</t>
  </si>
  <si>
    <t xml:space="preserve">بذرةُ role_permissions لم تُنشئ صفًّا للموديول ١٩٢ للدور ٢٣ رغم بذرِ صفِّ التنقل — وقاعدةُ الحجب صامتةٌ (لا رمزَ سببٍ يُعرض)</t>
  </si>
  <si>
    <t xml:space="preserve">database/schema/seed_reference.sql:4245; includes/unified_nav.php:70-77</t>
  </si>
  <si>
    <t xml:space="preserve">١) ادخل بدور إدارة النقل والترحيل.
٢) ابحث في السايدبار عن «صندوق ما ينتظر اعتمادي»: غيرُ موجود.
٣) افتح http://localhost/ems/Finance/approvals_inbox.php مباشرة: يُعاد التوجيهُ بلا رمزِ سببٍ محكوم.</t>
  </si>
  <si>
    <t xml:space="preserve">أضِف صفَّ role_permissions (role_id=23, module_id=192, can_view=1, can_edit=1) في database/schema/seed_reference.sql وفي هجرةِ الصلاحيات، وعدِّل includes/unified_nav.php ليُسجِّل سببَ الحجب برمزٍ محكوم بدل الإسقاط الصامت</t>
  </si>
  <si>
    <t xml:space="preserve">بحساب دور النقل يظهر «صندوق ما ينتظر اعتمادي» في السايدبار ويفتح، ويعرض الأزرارَ الثلاثة، ويمنع اعتمادَ ما أنشأه المستخدمُ نفسُه.</t>
  </si>
  <si>
    <t xml:space="preserve">صفُّ nav_items 6069 فعّالٌ وpermission_code غيرُ فارغ، وصفرُ صفِّ role_permissions للدور 23 على الموديول 192 — فيُسقطه شرطُ EXISTS في getUnifiedNavItems صامتًا (والدور 23 داخل علَم EMS_NAV_UNIFIED_ROLES).</t>
  </si>
  <si>
    <t xml:space="preserve">INJ-0321</t>
  </si>
  <si>
    <t xml:space="preserve">▐ ١١-٣ · SCN-706 · SCN-894 · SCN-921 · SCN-933</t>
  </si>
  <si>
    <t xml:space="preserve">طلبات الاستثناء · دورة المراجعة الدورية للصلاحيات · سجل أنواع المستندات · حالات المستندات وانتقالاتها</t>
  </si>
  <si>
    <t xml:space="preserve">«يجب أن تُعرض شاشةُ «طلبات الاستثناء» لـالنقل والترحيل بنطاق طلباته… · «دورة المراجعة الدورية للصلاحيات» بنطاق حسابات إدارته… · «سجل أنواع المستندات» بنطاق مستندات إدارته… · «حالات المستندات وانتقالاتها» بنطاق مستندات إدارته»</t>
  </si>
  <si>
    <t xml:space="preserve">لا صفَّ nav_items لأيٍّ من الشاشاتِ الأربعِ للدور ٢٣؛ مسحُ روابطِ الدور (٢٤ رابطًا) لا يُرجع Governance/exceptions.php ولا access_review.php ولا doc_types.php ولا state_machines.php</t>
  </si>
  <si>
    <t xml:space="preserve">أربعُ شاشاتِ حوكمةٍ إلزاميةٍ بمصفوفة الظهور غائبةٌ عن إدارة النقل: لا طلبَ استثناءٍ ولا تصديقَ مديرٍ على فريقه ولا قراءةَ لأنواعِ مستنداته وحالاتها</t>
  </si>
  <si>
    <t xml:space="preserve">مصفوفةُ الظهور في M-14 لم تُترجَم إلى صفوفِ nav_items عند توليد سايدبار الدور ٢٣</t>
  </si>
  <si>
    <t xml:space="preserve">database/schema/seed_reference.sql (36 صفَّ nav_items للدور 23 بلا أيِّ مسار Governance/)</t>
  </si>
  <si>
    <t xml:space="preserve">١) ادخل بدور إدارة النقل والترحيل.
٢) اجرد كلَّ روابط السايدبار (٢٤ رابطًا).
٣) لا يوجد أيُّ رابطٍ إلى Governance/exceptions.php أو access_review.php أو doc_types.php أو state_machines.php.</t>
  </si>
  <si>
    <t xml:space="preserve">أضِف أربعةَ صفوفِ nav_items للدور ٢٣ تحت مجموعةٍ جديدةٍ «حوكمة إدارتي» (المكوّن النطاقي GOV-0358) مع صفوفِ role_permissions بنطاقِ الإدارة فقط</t>
  </si>
  <si>
    <t xml:space="preserve">سايدبار الدور ٢٣ يعرض مجموعة «حوكمة إدارتي» بأربع شاشاتٍ، كلٌّ منها مقيَّدٌ بنطاق الإدارة وبالأفعال المسموحة في M-14.</t>
  </si>
  <si>
    <t xml:space="preserve">مسحُ صفوف nav_items للدور 23 يُظهر صفرَ رابطٍ إلى Governance/exceptions.php أو access_review.php أو doc_types.php أو state_machines.php (الحيُّ الوحيدُ من طبقة الحوكمة/المخاطر هو Risk/dept_risk_space.php).</t>
  </si>
  <si>
    <t xml:space="preserve">INJ-0322</t>
  </si>
  <si>
    <t xml:space="preserve">▐ ١١-١ سجلُّ التدقيق · TABLE 53 القيمةُ قبلَ وبعد</t>
  </si>
  <si>
    <t xml:space="preserve">أفعال النقل الثلاثة غير المسجَّلة (الوصول · التسليم · الإقفال)</t>
  </si>
  <si>
    <t xml:space="preserve">كلُّ كتابةِ مجالٍ تُسجَّل في سجل التدقيقِ بالقيمة قبل وبعد وبفاعلها وزمنها</t>
  </si>
  <si>
    <t xml:space="preserve">لا استدعاءَ لـems_audit_change ولا log_security_event في أيٍّ من transfer_close_cost.php أو transfer_in_transit.php أو transfer_arrival.php أو transfer_order_form.php أو transfer_requests.php أو transfer_tariffs.php — والمتاحُ سجلُّ نشاطٍ عامٌّ (ActivityLogMiddleware) لا يحمل «القيمة قبل»</t>
  </si>
  <si>
    <t xml:space="preserve">ستُّ شاشاتِ نقلٍ تكتب حالاتٍ وتكاليفَ بلا أثرٍ تدقيقيٍّ قابلٍ للمراجعة؛ لا يمكن إثباتُ من غيّر تكلفةً ولا قيمتُها السابقة</t>
  </si>
  <si>
    <t xml:space="preserve">includes/audit_trail.php مبنيٌّ ومستعملٌ في المشتريات ولم يُستدعَ في وحدة النقل</t>
  </si>
  <si>
    <t xml:space="preserve">Transport/transfer_close_cost.php:25; Transport/transfer_arrival.php:22; Transport/transfer_in_transit.php:21; Transport/transfer_order_form.php:301; includes/audit_trail.php:8; Procurement/requests_proc.php:159</t>
  </si>
  <si>
    <t xml:space="preserve">١) نفّذ إقفالَ أمرٍ بتكلفة.
٢) ابحث في سجل التدقيق عن صفٍّ يحمل القيمة قبل/بعد لهذا الأمر: لا صف.
٣) grep على Transport/ عن ems_audit_change: صفرُ نتيجة.</t>
  </si>
  <si>
    <t xml:space="preserve">أضِف استدعاءَ ems_audit_change($conn,'transport','transfer_orders',&lt;الفعل&gt;,$oid,&lt;قبل&gt;,&lt;بعد&gt;,ctx) بعد كل كتابةٍ في الملفات الستة، على نمط Procurement/requests_proc.php:159</t>
  </si>
  <si>
    <t xml:space="preserve">كلُّ فعلٍ من أفعال النقل الثلاثة عشرَ يُنتج صفًّا في سجل التدقيق يحمل الفاعلَ والزمنَ والقيمةَ قبل وبعد.</t>
  </si>
  <si>
    <t xml:space="preserve">صفرُ استدعاءٍ لـems_audit_change أو log_security_event في كل ملفات Transport/. أخفضتُ الخطورةَ لأن الملاحظةَ نفسَها تُقرّ بوجود سجلِّ النشاط المركزيِّ (ActivityLogMiddleware) الذي يقيّد الفاعلَ والشاشة، فالناقصُ قيمُ «قبل».</t>
  </si>
  <si>
    <t xml:space="preserve">INJ-0323</t>
  </si>
  <si>
    <t xml:space="preserve">▐ ٩ فصلُ الواجبات (SoD) · ٩-٢ أحكامُ الإنفاذ</t>
  </si>
  <si>
    <t xml:space="preserve">أمر الترحيل — الانتقالات الست</t>
  </si>
  <si>
    <t xml:space="preserve">فصلُ الواجبات يُنفَّذ عند المعاملة لا عند منح الصلاحية — ولا يجمع شخصٌ واحدٌ واجبين متعارضين على المستند نفسه</t>
  </si>
  <si>
    <t xml:space="preserve">الانتقالاتُ الستُّ كلُّها (plan · prepare · confirm_departure · confirm_arrival · close · reopen) تُحرَس بصلاحيةٍ واحدةٍ ($can_edit أو $can_delete) على الشاشة نفسِها؛ فالمستخدمُ الذي أنشأ الطلبَ يعتمده ويجهّزه ويؤكّد مغادرتَه ووصولَه ويقفله بتكلفته — ولا استدعاءَ لـems_no_self_approval ولا لـSegregationOfDutiesGuard في المجلد كلِّه</t>
  </si>
  <si>
    <t xml:space="preserve">دورةُ الترحيل بستِّ مراحلَ وأربعةِ معتمِدين مختلفين في الوثيقة تُنفَّذ عمليًّا بشخصٍ واحد؛ يسقط أساسُ الرقابة الداخلية على حركةِ الأصول وتكلفتها</t>
  </si>
  <si>
    <t xml:space="preserve">الحارسُ مبنيٌّ على صلاحيةِ الشاشة لا على عقدِ الفعل، والمعتمِدون الأربعةُ في §١٧-٣ (مدير النقل · منسّق الترحيل · مشرف الموقع · المالية) لا يوجد لهم أدوارٌ في جدول roles</t>
  </si>
  <si>
    <t xml:space="preserve">Transport/transfer_order_form.php:245; Transport/trs_helpers.php:463; Transport/trs_helpers.php:467; database/schema/seed_reference.sql:18; includes/self_approval_guard.php:22</t>
  </si>
  <si>
    <t xml:space="preserve">١) ادخل بحساب دور النقل.
٢) أنشئ أمرَ ترحيلٍ جديدًا.
٣) نفّذ بالتتابع: اعتماد · تجهيز · تأكيد مغادرة · تأكيد وصول · إغلاق — كلُّها تنجح بالحساب نفسه.</t>
  </si>
  <si>
    <t xml:space="preserve">أنشئ الأدوارَ الأربعةَ في جدول roles، وأضِف في Transport/transfer_order_form.php قبل كلِّ انتقال: فحصَ صلاحيةِ الفعل (رمزٌ لكل انتقال) + استدعاءَ ems_no_self_approval($conn, $orow['created_by'], $current_user_id, ...) لانتقالَي plan و close</t>
  </si>
  <si>
    <t xml:space="preserve">منشئُ الأمر لا يستطيع اعتمادَه ولا إقفالَه (٤٠٩ مع سبب)، وكلُّ انتقالٍ يتطلب رمزَ صلاحيةٍ مستقلًّا.</t>
  </si>
  <si>
    <t xml:space="preserve">‏trs_transitions (trs_helpers.php:463-471) تحرس الانتقالاتِ الستةَ كلَّها بـedit عدا reopen بـdelete، والفحصُ في transfer_order_form.php:245 صلاحيةُ الشاشة نفسِها؛ ومسحُ Transport/ يُظهر صفرَ نداءٍ لـems_no_self_approval أو SegregationOfDutiesGuard. الإصلاحُ يفتتح بجملةٍ دخيلة («أنشئ الأدوار الأربعة») لا تخصُّ الملاحظة.</t>
  </si>
  <si>
    <t xml:space="preserve">INJ-0324</t>
  </si>
  <si>
    <t xml:space="preserve">▐ ١١-٣ سجلُّ التصدير · TABLE 46 rpt.export</t>
  </si>
  <si>
    <t xml:space="preserve">أوامر الترحيل (وسائر شاشات النقل ذات DataTables)</t>
  </si>
  <si>
    <t xml:space="preserve">http://localhost/ems/Transport/transfer_orders_list.php</t>
  </si>
  <si>
    <t xml:space="preserve">التصديرُ فعلٌ محكومٌ بصلاحيةٍ مخصَّصةٍ ويُكتب له سجلُّ تصديرٍ بتسعةِ بنودٍ إلزامًا</t>
  </si>
  <si>
    <t xml:space="preserve">أزرارُ «نسخ / Excel / طباعة» تُنفَّذ في المتصفح عبر إضافات DataTables Buttons على البيانات المُصيَّرة، بلا مرورٍ بـexcel.php ولا بـExcelService::authorize ولا بأيِّ سجل؛ والسجلُّ الوحيدُ الموجودُ في النظام risk_export_log ويخص إدارةَ المخاطر وحدَها</t>
  </si>
  <si>
    <t xml:space="preserve">أيُّ مستخدمٍ يرى قائمةَ أوامرِ الترحيل يستطيع تصديرَها كاملةً إلى Excel بلا صلاحيةِ تصديرٍ وبلا أيِّ أثرٍ يُراجَع — ويشمل ذلك أعمدةَ التكاليفِ والمتحمِّل</t>
  </si>
  <si>
    <t xml:space="preserve">اعتمادُ تصديرِ العميلِ (client-side) بدل مسار التصدير الخادمي المحكوم</t>
  </si>
  <si>
    <t xml:space="preserve">Transport/transfer_orders_list.php:156-171; app/Services/Excel/ExcelService.php:56-70; app/Services/Risk/RiskService.php:975</t>
  </si>
  <si>
    <t xml:space="preserve">١) ادخل بحسابٍ له can_view فقط على أوامر الترحيل.
٢) اضغط زرَّ «📊 Excel».
٣) يُنزَّل الملفُّ كاملًا.
٤) ابحث عن صفِّ سجلِّ تصدير: لا جدولَ ولا صف.</t>
  </si>
  <si>
    <t xml:space="preserve">أزِل أزرارَ buttons.html5 من Transport/transfer_orders_list.php (والشاشات الشقيقة) واستبدِلها بزرِّ تصديرٍ يستدعي excel.php?entity=transfer_orders&amp;action=export، وأنشئ جدولَ export_log عامًّا يكتب فيه ExcelService البنودَ التسعة</t>
  </si>
  <si>
    <t xml:space="preserve">التصديرُ لا يقع إلا بصلاحيةِ التصدير، وكلُّ تصديرٍ يُنتج صفًّا في سجل التصدير بالمستخدم والشاشة والأعمدة وعدد الصفوف والزمن.</t>
  </si>
  <si>
    <t xml:space="preserve">أزرارُ DataTables Buttons (نسخ · Excel · طباعة) مصرَّحةٌ في السطور 156-171 وتعمل على البيانات المُصيَّرة في المتصفح بلا مرورٍ بـexcel.php ولا ExcelService::authorize، ولا سجلَّ تصديرٍ في النظام غير risk_export_log الخاصِّ بالمخاطر.</t>
  </si>
  <si>
    <t xml:space="preserve">INJ-0325</t>
  </si>
  <si>
    <t xml:space="preserve">▐ ١٠ الحرّاس · «الحارسُ يفحص الفعلَ المقصودَ لا فعلًا آخر»</t>
  </si>
  <si>
    <t xml:space="preserve">الورديات (شاشة الحركة الموحَّدة)</t>
  </si>
  <si>
    <t xml:space="preserve">لكلِّ شاشةٍ رمزُها في سجل الشاشات، والحارسُ يقرأ صلاحيةَ الشاشةِ نفسِها</t>
  </si>
  <si>
    <t xml:space="preserve">الشاشةُ تفحص صلاحياتِ شاشتين أخريين (movement/move_oprators.php و movement/project_drivers.php) وتجمعهما بـOR، ولا تفحص رمزَها الخاصَّ movement/movement_operations.php إطلاقًا</t>
  </si>
  <si>
    <t xml:space="preserve">منحُ صلاحيةٍ لشاشةٍ يفتح شاشةً أخرى؛ ولا يمكن سحبُ الوصولِ عن شاشة الورديات دون سحبِه عن شاشتين لا علاقةَ لهما بها — وتقريرُ مصفوفة الصلاحيات يكذب</t>
  </si>
  <si>
    <t xml:space="preserve">إعادةُ استعمالِ رموزِ شاشاتٍ قديمةٍ عند دمج الشاشات الثلاث في شاشةٍ موحَّدة</t>
  </si>
  <si>
    <t xml:space="preserve">movement/movement_operations.php:31; movement/movement_operations.php:32; movement/movement_operations.php:33; Procurement/wh_receipt.php:31</t>
  </si>
  <si>
    <t xml:space="preserve">١) اسحب can_view عن movement/movement_operations.php لدورٍ ما.
٢) امنحه can_view على movement/move_oprators.php.
٣) افتح movement/movement_operations.php: تفتح رغم سحب صلاحيتها.</t>
  </si>
  <si>
    <t xml:space="preserve">في movement/movement_operations.php:31 استبدِل الفحصَ بـcheck_page_permissions($conn,'movement/movement_operations.php') وسجِّل الشاشةَ في جدول modules برمزها الصحيح؛ وطبِّق النمطَ نفسَه على Procurement/wh_receipt.php:31</t>
  </si>
  <si>
    <t xml:space="preserve">سحبُ can_view عن رمز الشاشة يمنع فتحَها بغضِّ النظر عن صلاحيات الشاشتين الأخريين.</t>
  </si>
  <si>
    <t xml:space="preserve">الأسطر 31-35 تقرأ صلاحياتِ movement/move_oprators.php وmovement/project_drivers.php وتجمعها بـOR ولا تفحص رمزَ الشاشة نفسِها إطلاقًا — والنمطُ نفسُه في Procurement/wh_receipt.php:31. ملاحظة: العرضُ يبقى محروسًا مركزيًّا بالموديول 30 عبر insidebar، والخللُ نافذٌ في can_add/can_edit وفي رفضٍ كاذبٍ عند السطر 37.</t>
  </si>
  <si>
    <t xml:space="preserve">INJ-0326</t>
  </si>
  <si>
    <t xml:space="preserve">▐ ٦ كسرُ الزجاج · ▐ ٧ الاستثناءات</t>
  </si>
  <si>
    <t xml:space="preserve">طلبات الاستثناء / كسر الزجاج (وحدة النقل)</t>
  </si>
  <si>
    <t xml:space="preserve">لكل إدارةٍ مسارُ استثناءٍ ومسارُ كسرِ زجاجٍ بمهلةٍ ومبرِّرٍ وموافقتين — والإدارةُ تطلب ولا تمنح</t>
  </si>
  <si>
    <t xml:space="preserve">لا رابطَ لأيٍّ منهما في سايدبار الدور ٢٣؛ وشاشةُ كسر الزجاج نفسُها Governance/break_glass.php حارسُها الوحيدُ هو فحصُ وجودِ شركةٍ للمستخدم (السطر ٢٤) ثم تُدرج صفًّا عبر cmp03_store_insert بلا رمزِ صلاحيةٍ ولا موافقات</t>
  </si>
  <si>
    <t xml:space="preserve">مستخدمُ النقل لا يملك مسارًا نظاميًّا لطلب استثناء؛ وفي الوقت نفسه يستطيع — كأيِّ مستخدمٍ مسجَّل — إدراجَ صفِّ كسرِ زجاجٍ مباشرةً في شاشة الحوكمة</t>
  </si>
  <si>
    <t xml:space="preserve">مصفوفةُ ظهور M-14 لم تُبذر للدور ٢٣، وشاشةُ break_glass سقطت من موجة إضافةِ الحرّاس التي شملت أخواتِها التسع</t>
  </si>
  <si>
    <t xml:space="preserve">Governance/break_glass.php:24; :73; :82; :121; database/schema/seed_reference.sql:326</t>
  </si>
  <si>
    <t xml:space="preserve">١) ادخل بدور النقل.
٢) ابحث عن «طلبات الاستثناء» أو «كسر الزجاج» في السايدبار: غيرُ موجودتين.
٣) افتح Governance/break_glass.php مباشرةً وأرسِل النموذج: يُدرج الصف.</t>
  </si>
  <si>
    <t xml:space="preserve">أضِف صفَّي nav_items للدور ٢٣ إلى Governance/exceptions.php (طلبٌ ومتابعةٌ فقط)، وأضِف في Governance/break_glass.php:24 حارسَ check_page_permissions + اشتراطَ موافقتين ومهلةٍ ومستندٍ قبل الإدراج على نمط Governance/access_review.php:34</t>
  </si>
  <si>
    <t xml:space="preserve">مستخدمُ النقل يرى «طلبات الاستثناء» ويستطيع الطلبَ لا المنح؛ وإدراجُ صفِّ كسرِ زجاجٍ بلا صلاحيةٍ يُرفض ٤٠٣.</t>
  </si>
  <si>
    <t xml:space="preserve">تحقّقت: لا رابطَ استثناءٍ ولا كسرِ زجاجٍ في سايدبار الدور 23، والإدراجُ عبر cmp03_store_insert بلا موافقاتٍ ولا رمزِ صلاحية. تصحيح: الشاشةُ مسجَّلةٌ في modules (id 278) فالعرضُ محروسٌ عبر insidebar (:121) — لكن معالجَ الـPOST (:73-82) يسبقه فالكتابةُ بلا حارس.</t>
  </si>
  <si>
    <t xml:space="preserve">INJ-0327</t>
  </si>
  <si>
    <t xml:space="preserve">▐ ٢ الصلاحيات · «لا فعلَ بلا رمزِ صلاحيةٍ محكوم»</t>
  </si>
  <si>
    <t xml:space="preserve">اللوابد والمركبات الناقلة · تصاريح المسار والحمولة</t>
  </si>
  <si>
    <t xml:space="preserve">لكل فعلِ كتابةٍ رمزُ صلاحيةٍ يُفحص في الخادم — ولا كتابةَ بفحصِ الجلسة وحدَه</t>
  </si>
  <si>
    <t xml:space="preserve">العرضُ محروسٌ مركزيًّا: الشاشتان مسجَّلتان (modules 310 · 312) فيفرض insidebar can_view — والمكشوفُ مسارُ الكتابة وحدَه. — [مُصحَّح بعد التحقق] الصياغة الأولى: الشاشتان ضمن الاثنتين والثلاثين شاشةَ CMP-03 التي لم تحصل على الحارس: البوابةُ الوحيدةُ if (!$is_super_admin &amp;&amp; $company_id &lt;= 0) — أي أيُّ مستخدمٍ مسجَّلٍ له شركةٌ يستطيع الإدراج</t>
  </si>
  <si>
    <t xml:space="preserve">تصاريحُ المسارِ والحمولةِ وسجلُّ المركباتِ الناقلةِ قابلان للكتابةِ من أيِّ حسابٍ في النظام — وهما مستندان تشغيليان يُبنى عليهما التجهيزُ والمغادرة</t>
  </si>
  <si>
    <t xml:space="preserve">موجةُ إضافةِ الحرّاس شملت عشرَ شاشاتِ CMP-03 وتخطّت اثنتين وثلاثين منها ومنها هاتان</t>
  </si>
  <si>
    <t xml:space="preserve">Transport/transfer_permits.php:23; :77-90; Transport/transfer_fleet.php:81</t>
  </si>
  <si>
    <t xml:space="preserve">١) ادخل بحسابٍ من إدارةٍ أخرى تمامًا.
٢) افتح Transport/transfer_permits.php وأرسِل النموذج.
٣) يُدرج الصفُّ بنجاح.</t>
  </si>
  <si>
    <t xml:space="preserve">أضِف في رأس كلٍّ من Transport/transfer_permits.php و transfer_fleet.php: $perms = trs_page_perms(...); if(!$perms['can_view']) رفض؛ وقبل معالج POST: if(!$perms['can_add']) رفضٌ بـGOV-PERM-403 — على نمط Governance/access_review.php:34,41</t>
  </si>
  <si>
    <t xml:space="preserve">إرسالُ النموذجِ من حسابٍ بلا can_add على الشاشة يعيد ٤٠٣ ولا يُدرج صفًّا.</t>
  </si>
  <si>
    <t xml:space="preserve">فرعُ POST يُدرج الصفَّ في السطر 78 قبل include '../insidebar.php'، ولا فحصَ can_add/can_edit في الملف — فالكتابةُ متاحةٌ لأيِّ مستخدمٍ مسجَّلٍ له شركة (نمط «الأثر قبل الحارس»).</t>
  </si>
  <si>
    <t xml:space="preserve">INJ-0328</t>
  </si>
  <si>
    <t xml:space="preserve">§٦-٢ الوحدة ٨ «إدارة المشتريات المركزية» (CENTRAL — ◆ ناقص) · DEF-013</t>
  </si>
  <si>
    <t xml:space="preserve">إدارة المشتريات المركزية</t>
  </si>
  <si>
    <t xml:space="preserve">«◆ ٨ | — | إدارة المشتريات المركزية | نائبُ المالية والاستثمار | CENTRAL — ◆ ناقصٌ · القرارُ DEC-H» — و«DEF-013 وحدتان مركزيتان ناقصتان … نعم يحجب الإطلاق»</t>
  </si>
  <si>
    <t xml:space="preserve">وحدةٌ دستوريةٌ غيرُ منشأةٍ بعدُ بقرارٍ مؤجَّلٍ موثَّق؛ لا تعطيلَ لوظيفةٍ قائمةٍ ولا أثرَ على مستخدمٍ حالي. — [مُصحَّح بعد التحقق] الصياغة الأولى: الوحدةُ غيرُ موجودةٍ في النظام الحيّ: لا دورَ في جدول roles ولا شاشةَ ولا مجموعةَ سايدبار؛ الأثرُ الوحيدُ سطرُ إنشاءٍ في أداةِ سطرِ أوامرٍ تعمل dry-run افتراضيًّا (tools/u9_org_units_dec_ghi.php) تُدر</t>
  </si>
  <si>
    <t xml:space="preserve">العيبُ الحاجبُ DEF-013 مفتوحٌ بشقِّه الأول: وحدةٌ دستوريةٌ بلا وجودٍ تشغيلي، والحكمُ المؤقتُ الذي يغطيها غيرُ منفَّذٍ أيضًا — فلا يجوز إعلانُ اكتمالِ الحزمة</t>
  </si>
  <si>
    <t xml:space="preserve">نُفِّذ الشقُّ البنيويُّ في أداةٍ يدويةٍ لم تُرقَّ إلى هجرةٍ رسمية، ولم يُنشأ الدورُ ولا الشاشاتُ عبر مسار التغيير RL-05</t>
  </si>
  <si>
    <t xml:space="preserve">database/schema/seed_reference.sql:18-53; tools/u9_org_units_dec_ghi.php:21,28</t>
  </si>
  <si>
    <t xml:space="preserve">١) استعلِم roles: لا دورَ باسم يحوي «المشتريات المركزية».
٢) اجرد link_groups: لا مجموعةَ لهذه الوحدة.
٣) افتح tools/u9_org_units_dec_ghi.php: يعمل dry-run ما لم يُمرَّر --apply.</t>
  </si>
  <si>
    <t xml:space="preserve">حوِّل tools/u9_org_units_dec_ghi.php إلى هجرةٍ رسميةٍ تحت database/migrations، وأنشئ الدورَ ومجموعاتِ السايدبار وشاشتي الحوكمة والمخاطر للوحدة، أو سجِّل قرارَ المالكِ بتأجيلها صراحةً في سجل العيوب المفتوحة مع تاريخِ مراجعة</t>
  </si>
  <si>
    <t xml:space="preserve">إمّا أن تظهر الوحدةُ بدورٍ وسايدبارٍ وشاشاتٍ تفتح، أو يُعرض في تقرير الاكتمال بندٌ صريحٌ «DEF-013 مفتوح — قرارُ المالك DEC-H معلَّق» بتاريخٍ ومالك.</t>
  </si>
  <si>
    <t xml:space="preserve">تحققتُ: لا صفَّ للوحدة في roles (seed_reference.sql:18-53) ولا موديولَ ولا مجموعةَ سايدبار، والأثرُ الوحيدُ tools/u9_org_units_dec_ghi.php:28 وهو dry-run افتراضًا (السطر 21). لكنه نقصُ اكتمالِ هيكلٍ بقرارِ مالكٍ مؤجَّلٍ موثَّقٍ (DEC-H)، والمشترياتُ التشغيلية (الدور 16) قائمةٌ وعاملة — فلا شاشةَ حاكمةٌ تُعطَّل ولا سلسلةَ تنقطع.</t>
  </si>
  <si>
    <t xml:space="preserve">INJ-0329</t>
  </si>
  <si>
    <t xml:space="preserve">§٢-٢ · «لا إدارةَ تكتب في جداول إدارةٍ أخرى — والأثرُ ينتقل بالأحداث» (FRD §١٨-٥)</t>
  </si>
  <si>
    <t xml:space="preserve">«لا إدارةَ تكتب في جداول إدارةٍ أخرى — والأثرُ ينتقل بالأحداث» · نمطُ الانتقال «حدثٌ منشورٌ يستهلكه من يعنيه — لا نداءٌ مباشر»</t>
  </si>
  <si>
    <t xml:space="preserve">شاشةُ المشتريات تنفّذ UPDATE خامًّا بمتغيراتٍ مُقحَمةٍ في نصِّ SQL على جدول supplier_rfqs المملوكِ لإدارة الموردين (السطر ٣٨)، ولا تنشر أيَّ حدثٍ على الناقل؛ والحدثُ الوحيدُ الذي تنشره خدمةُ RFQService يذهب إلى ems_business_events الذي لا يقرؤه أيُّ مستهلك</t>
  </si>
  <si>
    <t xml:space="preserve">خرقٌ مباشرٌ لعزل الإدارات: المشترياتُ تغيّر حالةَ مستندٍ تملكه إدارةُ الموردين؛ وإدارةُ الموردين لا تُخطَر بالترسية إلا باكتشافها في جدولها</t>
  </si>
  <si>
    <t xml:space="preserve">تكاملٌ بكتابةٍ مباشرةٍ عابرةٍ للإدارات بدل حدثٍ منشورٍ ومستهلَك</t>
  </si>
  <si>
    <t xml:space="preserve">Procurement/rfq_compare_award.php:38; app/Services/Procurement/RFQService.php:486; app/Core/EventDispatcher.php:96</t>
  </si>
  <si>
    <t xml:space="preserve">١) نفّذ ترسيةً.
٢) استعلِم supplier_rfqs: state='awarded' كتبتها شاشةُ المشتريات.
٣) استعلِم fin_financial_events: لا حدثَ ترسيةٍ منشور.</t>
  </si>
  <si>
    <t xml:space="preserve">استبدِل الـUPDATE المباشر بنشرِ حدث procurement.rfq.awarded عبر App\Core\EventPublisher::publish داخل المعاملة، وسجِّل مستهلكًا في cron_events.php تابعًا لإدارة الموردين يحدّث supplier_rfqs.state</t>
  </si>
  <si>
    <t xml:space="preserve">grep على Procurement/ يعيد صفرَ استعلامِ كتابةٍ على supplier_rfqs، والترسيةُ تُنتج حدثًا يستهلكه مستهلكٌ مسجَّلٌ فيغيّر حالةَ الطلب.</t>
  </si>
  <si>
    <t xml:space="preserve">تحقّقت حرفيًّا: السطرُ 38 يُحدّث `supplier_rfqs` باستعلامٍ خامٍّ بمتغيراتٍ مُقحَمة، والشاشةُ لا تستدعي RFQService ولا تنشر حدثًا. خفّضتُ الخطورة: القيمُ المُقحَمةُ أعدادٌ من الجلسة/القاعدة (لا حقنَ)، وثمّة حارسُ ترسيةٍ مكررةٍ 409، والتحديثُ انتقالُ حالةٍ للطلب الذي تديره المشتريات.</t>
  </si>
  <si>
    <t xml:space="preserve">INJ-0330</t>
  </si>
  <si>
    <t xml:space="preserve">§٢-٢ · «ما لا تملكه» (INJAZ-FRD-01 §١٨-١)</t>
  </si>
  <si>
    <t xml:space="preserve">«◆ ما لا تملكه: الاستلامَ الفعلي · الصرفَ · الدفعَ نفسَه» — ولا إدارةَ تكتب في جداول إدارةٍ أخرى</t>
  </si>
  <si>
    <t xml:space="preserve">وحدةُ المشتريات تُدرج مباشرةً في جدول الذمم المالي fin_dues عبر بوابة الكيان (Procurement/proc_helpers.php:612) — وهو جدولُ المالية والخزينة؛ والحارسُ الوحيدُ على fin_dues فحصٌ في شاشةٍ ماليةٍ واحدة، وتسعةُ مساراتٍ في النظام تتجاوزه ومنها هذا المسار</t>
  </si>
  <si>
    <t xml:space="preserve">المشترياتُ تُنشئ التزامًا ماليًّا في دفتر المالية بلا مرورٍ بحرّاسِ المالية — يسقط مصدرُ الحقيقة للالتزامات ويصير للذمّة تسعةُ منشئين</t>
  </si>
  <si>
    <t xml:space="preserve">التكاملُ بكتابةٍ مباشرةٍ عابرةٍ للإدارات بدل مستهلكِ حدثٍ في المالية</t>
  </si>
  <si>
    <t xml:space="preserve">Procurement/proc_helpers.php:602-612; app/Services/Contract/PenaltyService.php:394; app/Services/Payroll/FinalSettlementService.php:306</t>
  </si>
  <si>
    <t xml:space="preserve">١) طابِق فاتورةً ناجحة.
٢) استعلِم fin_dues: صفٌّ كتبته وحدةُ المشتريات.
٣) grep على fin_dues: تسعةُ مواضعِ كتابةٍ من وحداتٍ مختلفة.</t>
  </si>
  <si>
    <t xml:space="preserve">أزِل إدراجَ fin_dues من Procurement/proc_helpers.php واكتفِ بنشر payable.purchase.accrued، وسجِّل مستهلكًا ماليًّا في cron_events.php يترجم الحدثَ إلى صفِّ ذمّةٍ عبر حرّاس المالية وحدَها</t>
  </si>
  <si>
    <t xml:space="preserve">grep على Procurement/ يعيد صفرَ كتابةٍ في fin_dues، وكلُّ ذمّةِ شراءٍ تُنشأ من مستهلك الحدث المالي وحدَه.</t>
  </si>
  <si>
    <t xml:space="preserve">تحقّقت: `Procurement/proc_helpers.php:611-612` يدرج في `fin_dues` (جدولُ المالية) عبر بوابة الكيان. خفّضتُ الخطورة: الإدراجُ عاطلُ الأثر بمفتاح `period_ref='PO-&lt;id&gt;'` (:604-608) وبعد بوابة المطابقة الثلاثية، والكتابةُ في fin_dues نمطٌ عامٌّ في النظام (PenaltyService · FinalSettlementService · SupplierClosureService).</t>
  </si>
  <si>
    <t xml:space="preserve">INJ-0331</t>
  </si>
  <si>
    <t xml:space="preserve">§١-٧ ملكيةُ الشاشة · «البيانُ يُدخل مرةً واحدةً في مصدره المعتمد … ثلاثةٌ وعشرون سجلًّا رئيسًا لكلٍّ مالكٌ واحد»</t>
  </si>
  <si>
    <t xml:space="preserve">موردو المشتريات</t>
  </si>
  <si>
    <t xml:space="preserve">http://localhost/ems/Procurement/suppliers_proc.php</t>
  </si>
  <si>
    <t xml:space="preserve">«◆ البيانُ يُدخل مرةً واحدةً في مصدره المعتمد، ثم تقرؤه كلُّ الإدارات … ولا يُعاد إدخالُه ولا يُنسخ في كل إدارة»</t>
  </si>
  <si>
    <t xml:space="preserve">ازدواجُ السجلّين مُقرٌّ في المخطط صراحةً؛ العيبُ القابلُ للإثبات هو اختلافُ فضاء المعرِّف بين `rfq_quotes.supplier_id`→suppliers و`proc_order.supplier_id`→proc_supplier في الدورة نفسِها. — [مُصحَّح بعد التحقق] الصياغة الأولى: للمشتريات سجلُّ مورديها المستقلُّ proc_supplier تكتب فيه شاشةُ suppliers_proc.php، بينما سجلُّ الموردين المؤسسيُّ هو جدول suppliers المملوكُ لإدارة الموردين؛ وشاشةُ الترسيةِ تقرأ من suppliers بينما أو</t>
  </si>
  <si>
    <t xml:space="preserve">المورد الذي رُسي عليه في شاشة الترسية لا يمكن ربطُه بأمر شراءٍ ولا بذمّةٍ لأن المعرّفات من جدولين مختلفين — وهذا سببٌ بنيويٌّ لانقطاع سلسلة الترسية→الأمر، ويُنشئ سجلَّ مورّدٍ مزدوجًا</t>
  </si>
  <si>
    <t xml:space="preserve">بُنيت وحدةُ المشتريات بجداولها المستقلة proc_* قبل توحيد السجلات الرئيسة، ولم تُنشأ خريطةُ ربطٍ ولا هجرةُ توحيد</t>
  </si>
  <si>
    <t xml:space="preserve">Procurement/rfq_compare_award.php:55; database/schema/schema.sql:4011 (تعليق party_type); :8206-8215</t>
  </si>
  <si>
    <t xml:space="preserve">١) أضِف موردًا من «موردو المشتريات»: يُدرج في proc_supplier.
٢) افتح «طلب العروض ومقارنتها»: أسماءُ الموردين تُقرأ من جدول suppliers ولا يظهر المورد الجديد.
٣) استعلِم fin_dues: party_type='proc_supplier' يشير إلى الجدول الآخر.</t>
  </si>
  <si>
    <t xml:space="preserve">اعتمِد suppliers سجلًّا رئيسًا واحدًا: أضِف عمود supplier_id إلى proc_supplier كخريطةِ ربطٍ مؤقتة، وحوِّل Procurement/suppliers_proc.php إلى منظرِ قراءةٍ على suppliers، وهاجِر party_ref في fin_dues إلى معرّفات suppliers بهجرةٍ مُختبَرةٍ على نسخةٍ من الإنتاج (RL-04)</t>
  </si>
  <si>
    <t xml:space="preserve">المورد المضاف يظهر فورًا في شاشة الترسية وفي أوامر الشراء وفي الذمم بمعرّفٍ واحد؛ وتقريرُ السجلات الرئيسة يُظهر سجلَّ مورّدين واحدًا لا اثنين.</t>
  </si>
  <si>
    <t xml:space="preserve">السجلّان قائمان فعلًا، لكنَّ الفصلَ **قرارُ تصميمٍ معلَنٌ** في تعليق `fin_dues.party_type` («سجلّان مختلفان لا يُخلطان»)؛ يبقى صحيحًا أن شاشةَ الترسية تقرأ `suppliers` بينما أوامرُ الشراء تشير إلى `proc_supplier`.</t>
  </si>
  <si>
    <t xml:space="preserve">INJ-0332</t>
  </si>
  <si>
    <t xml:space="preserve">١٨-١ · «◆ ما تملكه: … الترسيةَ» · تفرّدُ الترسية</t>
  </si>
  <si>
    <t xml:space="preserve">«الترسيةُ صفٌّ في rfq_awards بسببٍ موثَّق، فلا ترسيةَ صامتة» — وبوابةُ الأفعالِ توجب «منعَ التكرارِ المُثبَت»</t>
  </si>
  <si>
    <t xml:space="preserve">فحصُ التكرار في السطور ٢٨-٣٠ استعلامُ SELECT ثم INSERT بلا قفلٍ ولا معاملةٍ تشمل الفحص — والقيدُ الفريدُ في القاعدة uq_rfq_award(line_id, supplier_id) يسمح بترسيةِ البندِ نفسِه لأكثرَ من مورد؛ كما أن استعلامَ الفحص لا يُقيَّد بـcompany_id فيقرأ ترسياتِ كياناتٍ أخرى</t>
  </si>
  <si>
    <t xml:space="preserve">طلبان متزامنان يُرسيان البندَ نفسَه لموردَين مختلفَين وينجحان معًا؛ ويمكن أن يُرفض ترسيةٌ مشروعةٌ خطأً لأن الفحص رأى ترسيةَ كيانٍ آخر</t>
  </si>
  <si>
    <t xml:space="preserve">عطالةٌ مبنيةٌ على فحصٍ تطبيقيٍّ غيرِ ذرّيٍّ بدل قيدٍ فريدٍ صحيحٍ في القاعدة، وقيدٌ فريدٌ مصمَّمٌ على (البند × المورد) لا على (البند)</t>
  </si>
  <si>
    <t xml:space="preserve">Procurement/rfq_compare_award.php:27-29; :31; :32; database/schema/schema.sql:8609</t>
  </si>
  <si>
    <t xml:space="preserve">١) افتح طلبَ عروضٍ بعرضين من موردين مختلفين للبند نفسِه.
٢) أرسِ العرضَ الأول.
٣) أرسِ العرضَ الثاني للبند نفسِه: يُقبل لأن القيدَ على (line_id, supplier_id).
٤) استعلِم rfq_awards: صفّان للبند الواحد.</t>
  </si>
  <si>
    <t xml:space="preserve">بدِّل القيدَ إلى UNIQUE(company_id, line_id) بهجرةٍ معلنة، وانقل فحصَ التكرار داخل المعاملة مع SELECT … FOR UPDATE، وأضِف company_id إلى شرط الفحص في Procurement/rfq_compare_award.php:28</t>
  </si>
  <si>
    <t xml:space="preserve">ترسيةُ البند نفسِه لموردٍ ثانٍ تُرفض ٤٠٩ بمرجع الترسية القائمة، وطلبان متزامنان يُنتجان صفَّ ترسيةٍ واحدًا.</t>
  </si>
  <si>
    <t xml:space="preserve">فحصُ التكرار SELECT في الأسطر 27-29 يسبق begin_transaction في السطر 31 فلا قفلَ يشمله، والقيدُ uq_rfq_award(line_id,supplier_id) في schema.sql:8609 لا يمنع ترسيةَ البند لموردٍ آخر؛ واستعلامُ الفحص بلا company_id (لكنّ line_id مقيَّدٌ بمفتاحٍ أجنبيٍّ لجدولٍ معزولٍ فالأثرُ حجبٌ زائدٌ لا تسريب).</t>
  </si>
  <si>
    <t xml:space="preserve">INJ-0333</t>
  </si>
  <si>
    <t xml:space="preserve">١٨-٥ عقدُ كلِّ فعل · «فعلُ العكس»</t>
  </si>
  <si>
    <t xml:space="preserve">عقدُ كلِّ فعلٍ سداسيٌّ ومنه «فعلُ العكس» — ولكلِّ فعلٍ حاكمٍ مسارُ نقضٍ موثَّق</t>
  </si>
  <si>
    <t xml:space="preserve">لا فعلَ عكسٍ للترسية: لا زرَّ إلغاءِ ترسيةٍ ولا حالةَ 'unawarded' ولا أعمدةَ reversed_by/reversal_of في rfq_awards؛ وبما أن الفحصَ يمنع ترسيةً ثانيةً للبند، فالترسيةُ الخاطئةُ تُجمّد البندَ نهائيًّا إلا بحذفٍ يدويٍّ من القاعدة</t>
  </si>
  <si>
    <t xml:space="preserve">ترسيةٌ خاطئةٌ أو على موردٍ متعثّرٍ لا يمكن نقضُها من الواجهة، فيتعطل البندُ وتُلتفُّ الفِرقُ على النظام بتعديلٍ مباشرٍ في القاعدة</t>
  </si>
  <si>
    <t xml:space="preserve">بُني الفعلُ بلا نظيره العكسي ولا حالةِ نقضٍ في نموذج البيانات</t>
  </si>
  <si>
    <t xml:space="preserve">database/schema/schema.sql:8595-8612; Procurement/rfq_compare_award.php</t>
  </si>
  <si>
    <t xml:space="preserve">١) أرسِ عرضًا خطأً.
٢) ابحث في الشاشة عن زرِّ إلغاءِ الترسية أو تعديلها: لا يوجد.
٣) أعِد المحاولةَ على البند: تُرفض ٤٠٩.</t>
  </si>
  <si>
    <t xml:space="preserve">أضِف حالةَ نقضٍ إلى rfq_awards (عمودا reversed_by و reversed_reason وتاريخ) وفعلَ «نقضُ الترسية» في Procurement/rfq_compare_award.php محروسًا بصلاحيةٍ أعلى وبسببٍ إلزاميٍّ وبتسجيلٍ في سجل التدقيق، وأعِد حالةَ supplier_rfqs إلى 'sent'</t>
  </si>
  <si>
    <t xml:space="preserve">نقضُ ترسيةٍ يُنشئ صفَّ نقضٍ مرتبطًا ويعيد البندَ قابلًا للترسية، ويظهر الأثران في سجل التدقيق.</t>
  </si>
  <si>
    <t xml:space="preserve">`rfq_awards` بلا `reversed_by/reversal_of` ولا حالةِ نقضٍ، ولا فعلَ إلغاءِ ترسيةٍ في المعالج ولا في `RFQService`، والقيدُ `uq_rfq_award` يمنع ترسيةً ثانيةً للبند نفسِه.</t>
  </si>
  <si>
    <t xml:space="preserve">INJ-0334</t>
  </si>
  <si>
    <t xml:space="preserve">١٨-٤ شاشاتُها وأفعالُها · طلب العروض ومقارنتها</t>
  </si>
  <si>
    <t xml:space="preserve">طلب العروض ومقارنتها</t>
  </si>
  <si>
    <t xml:space="preserve">الشاشةُ تعرض طلباتِ العروضِ القابلةَ للمقارنةِ والترسية — ولا تخفي مستندًا مستحقًّا</t>
  </si>
  <si>
    <t xml:space="preserve">استعلامُ قائمة الطلبات يصفّي state IN ('sent','opened','quoted') بينما العمودُ في القاعدة enum('draft','sent','closed','awarded','contracted','cancelled') — القيمتان 'opened' و'quoted' غيرُ موجودتين في المجال إطلاقًا، فالشاشةُ لا تعرض إلا طلباتِ الحالة 'sent'، وطلباتُ الحالة 'closed' (المقفلةُ لاستقبال العروض وهي الجاهزةُ للترسية) لا تظهر أبدًا</t>
  </si>
  <si>
    <t xml:space="preserve">طلباتُ العروضِ المقفلةُ — أي الجاهزةُ فعلًا للمقارنةِ والترسية — لا تظهر في شاشة الترسية، فتُرسى الطلباتُ قبل إقفالِ استقبالِ العروضِ أو لا تُرسى أبدًا</t>
  </si>
  <si>
    <t xml:space="preserve">قيمُ الحالةِ في الشاشة كُتبت بقاموسٍ مختلفٍ عن ENUM الجدول</t>
  </si>
  <si>
    <t xml:space="preserve">Procurement/rfq_compare_award.php:49; database/schema/schema.sql:11266</t>
  </si>
  <si>
    <t xml:space="preserve">١) اجعل حالةَ طلبِ عروضٍ 'closed'.
٢) افتح «طلب العروض ومقارنتها».
٣) الطلبُ لا يظهر في القائمة المنسدلة.</t>
  </si>
  <si>
    <t xml:space="preserve">بدِّل الشرطَ في Procurement/rfq_compare_award.php:49 إلى state IN ('sent','closed')، ووحِّد قاموسَ الحالات في ثابتٍ واحدٍ يُقرأ من proc_helpers بدل تكراره نصًّا</t>
  </si>
  <si>
    <t xml:space="preserve">طلبُ عروضٍ حالتُه 'closed' يظهر في قائمة الترسية، ولا تظهر طلباتٌ بحالاتٍ غيرِ مسموحة.</t>
  </si>
  <si>
    <t xml:space="preserve">الشرطُ state IN ('sent','opened','quoted') مطابقٌ حرفيًّا في السطر 49، والمجالُ enum لا يحوي 'opened' ولا 'quoted'، فالحالةُ 'closed' الجاهزةُ للترسية لا تظهر أبدًا.</t>
  </si>
  <si>
    <t xml:space="preserve">INJ-0335</t>
  </si>
  <si>
    <t xml:space="preserve">١٨-٢ الدورةُ المستنديةُ الحاكمة · «طلبُ شراءٍ ← … ← أمرُ شراء»</t>
  </si>
  <si>
    <t xml:space="preserve">أوامر الشراء</t>
  </si>
  <si>
    <t xml:space="preserve">http://localhost/ems/Procurement/orders_proc.php</t>
  </si>
  <si>
    <t xml:space="preserve">ثالثًا: أمر الشراء</t>
  </si>
  <si>
    <t xml:space="preserve">«ثالثًا: أمر الشراء | أمر شراء معتمد ماليًّا | المعتمِد: المالية» — ولا مرحلةَ بلا مستندٍ سابقٍ يشهد لها</t>
  </si>
  <si>
    <t xml:space="preserve">حقلُ «الطلب» في نموذج أمر الشراء اختياريٌّ ويحمل خيارًا صريحًا «— بلا طلب —»، و request_id يُخزَّن NULL عند اختياره؛ ولا فحصَ في المعالج على أن الطلبَ المرتبطَ معتمدٌ (state='اعتماد المشتريات' أو 'معتمد مالياً') — فيمكن إنشاءُ أمرِ شراءٍ مباشرةً بلا طلبٍ ولا اعتماد</t>
  </si>
  <si>
    <t xml:space="preserve">أولُ حلقةٍ في الدورة المستندية قابلةٌ للتخطي: أمرُ شراءٍ بلا طلبٍ معتمدٍ يفتح بابَ الشراء الصوري — وهو عينُ التعارضِ الممنوعِ في SEC-015-ب ②</t>
  </si>
  <si>
    <t xml:space="preserve">الحقلُ صُمِّم اختياريًّا للتوافق مع بياناتٍ قديمة، ولم يُضف حارسُ حالةٍ على الطلب المرتبط</t>
  </si>
  <si>
    <t xml:space="preserve">Procurement/orders_proc.php:141; Procurement/orders_proc.php:176; Procurement/orders_proc.php:421; database/schema/schema.sql:8015</t>
  </si>
  <si>
    <t xml:space="preserve">١) افتح «أوامر الشراء» ← أمر جديد.
٢) في حقل الطلب اختر «— بلا طلب —».
٣) احفظ: يُنشأ أمرُ شراءٍ بـrequest_id=NULL.
٤) كرِّر باختيار طلبٍ حالتُه «مسودة»: يُقبل أيضًا.</t>
  </si>
  <si>
    <t xml:space="preserve">اجعل request_id إلزاميًّا في Procurement/orders_proc.php عند الإنشاء، وأضِف فحصًا قبل الحفظ: selectOne('proc_request') والتحقق من أن state ضمن ('اعتماد المشتريات','معتمد مالياً') وإلا رفضٌ ٤٠٩؛ واحذف خيارَ «— بلا طلب —» من السطر ٤٢١</t>
  </si>
  <si>
    <t xml:space="preserve">لا يمكن حفظُ أمرِ شراءٍ بلا طلبٍ مرتبط، ولا بطلبٍ غيرِ معتمد — وتظهر رسالةُ رفضٍ صريحةٌ في الحالتين.</t>
  </si>
  <si>
    <t xml:space="preserve">request_id اختياريٌّ فعلًا (سطر 141 يخزّن null) والنموذجُ يعرض «— بلا طلب —» (سطر 421) ولا فحصَ على حالة الطلب المرتبط. أخفضتُ الخطورةَ لأن الفعلَ محروسٌ بصلاحية الشاشة ويحمل حقلَ fin_approval_ref، والخيارُ موضوعٌ للتوافق مع بياناتٍ قديمة.</t>
  </si>
  <si>
    <t xml:space="preserve">INJ-0336</t>
  </si>
  <si>
    <t xml:space="preserve">١٨-٣ المرحلة ٣ · «أمر شراء معتمد ماليًّا · المعتمِد: المالية»</t>
  </si>
  <si>
    <t xml:space="preserve">المستندُ المنتَجُ في المرحلة الثالثة «أمر شراء معتمد ماليًّا» ومعتمِدُه «المالية»</t>
  </si>
  <si>
    <t xml:space="preserve">يوجد حارسٌ جزئيّ: عمودُ fin_approval_ref وقاعدةُ «لا يصدر الأمر بلا مرجع اعتماد مالي» (orders_proc.php:158)؛ والعيبُ أن المرجعَ نصٌّ حرٌّ يكتبه المشتري ولا يُطابَق بـfin_approval_chain، وحالةُ الاعتماد غائبةٌ من آلة الحالات. — [مُصحَّح بعد التحقق] الصياغة الأولى: حالاتُ أمر الشراء proc_order_states() هي ('مسودة','مؤكَّد','استلام أولي','استلام نهائي','مطابَق','مغلق') — لا حالةَ «معتمد ماليًّا» ولا أعمدةَ approved_by/approved_at/authority_ref على proc_order؛ وال</t>
  </si>
  <si>
    <t xml:space="preserve">مرحلةٌ مستنديةٌ بلا مخرَجٍ معتمَد: لا يوجد في النظام مفهومُ «أمر شراء معتمد ماليًّا» ولا هويةُ معتمِدِه ولا تاريخُه — فالمطابقةُ الثلاثيةُ تُبنى على أمرٍ لم تعتمده المالية</t>
  </si>
  <si>
    <t xml:space="preserve">نموذجُ حالاتِ الأمر بُني على دورةِ الاستلامِ لا على دورةِ الاعتماد، وأعمدةُ الحوكمة السبعُ غيرُ موجودةٍ على الجدول</t>
  </si>
  <si>
    <t xml:space="preserve">Procurement/proc_helpers.php:220; database/schema/schema.sql:8009; Procurement/orders_proc.php:136; app/Services/Finance/ApprovalGate.php:106</t>
  </si>
  <si>
    <t xml:space="preserve">١) استعلِم SHOW COLUMNS FROM proc_order: لا approved_by ولا approved_at ولا authority_ref.
٢) افتح أمرَ شراءٍ وغيِّر حالتَه إلى «مؤكَّد» بحساب المشتريات: ينجح بلا اعتمادٍ مالي.</t>
  </si>
  <si>
    <t xml:space="preserve">أضِف حالةَ «معتمد ماليًّا» إلى proc_order_states() وأعمدةَ approved_by/approved_at/authority_ref/amount إلى proc_order، واشترِط في Procurement/orders_proc.php المرورَ بـApprovalGate::record(...,'APR-3') قبل الانتقال إلى «مؤكَّد»</t>
  </si>
  <si>
    <t xml:space="preserve">لا ينتقل أمرُ شراءٍ إلى «مؤكَّد» إلا بعد اعتمادٍ ماليٍّ مسجَّلٍ بهويةِ معتمِدِه وتاريخِه وسقفِه.</t>
  </si>
  <si>
    <t xml:space="preserve">صحيحٌ أن proc_order_states() (proc_helpers.php:220) بلا حالةِ «معتمد ماليًّا» وأن proc_order بلا approved_by/approved_at؛ لكن ادعاءَ «بلا أيِّ مشاركةٍ من المالية» يتجاوز حارسًا قائمًا: proc_order.fin_approval_ref موجودٌ عمودًا، وorders_proc.php:158 يرفض مغادرةَ «مسودة» بلا مرجعِ اعتمادٍ ماليّ.</t>
  </si>
  <si>
    <t xml:space="preserve">INJ-0337</t>
  </si>
  <si>
    <t xml:space="preserve">١٨-٤ · مخاطر المشتريات التشغيلية · حوكمة إدارة المشتريات التشغيلية</t>
  </si>
  <si>
    <t xml:space="preserve">مخاطر المشتريات التشغيلية / حوكمة إدارة المشتريات التشغيلية</t>
  </si>
  <si>
    <t xml:space="preserve">جدولُ ١٨-٤ يسمّي شاشتين: «مخاطر المشتريات التشغيلية» (`risk_dept_prc.php` · ٢٢ عمودًا · ٣ أفعال) و«حوكمة إدارة المشتريات التشغيلية» (`gov_dept_prc.php` · ١٥ عمودًا · فعلان)</t>
  </si>
  <si>
    <t xml:space="preserve">الملفان غيرُ موجودَين في المستودع؛ والبديلُ رابطٌ عامٌّ «مساحة مخاطر الإدارة» في مجموعة «خارج الوثيقة» يفتح Risk/dept_risk_space.php بعنوانٍ عامٍّ بلا نطاقِ الإدارة</t>
  </si>
  <si>
    <t xml:space="preserve">شاشتان من ستٍّ (٣٣٪ من شاشات الإدارة المعلَنة) غيرُ منفَّذتين؛ وتوصياتُ M-14 بمكوّن «حوكمة إدارتي» بأبوابه الاثني عشر غيرُ ممثَّلةٍ للمشتريات</t>
  </si>
  <si>
    <t xml:space="preserve">بُني مكوّنُ المخاطر عامًّا بلا معاملِ نطاقٍ وعنوانٍ لكل إدارة، ولم تُبنَ شاشةُ الحوكمة النطاقية</t>
  </si>
  <si>
    <t xml:space="preserve">Risk/dept_risk_space.php:1; Governance/gov_dept_gov.php:1; Finance/gov_dept_fin.php:1</t>
  </si>
  <si>
    <t xml:space="preserve">١) ابحث عن risk_dept_prc.php و gov_dept_prc.php في المستودع: صفرُ نتيجة.
٢) ادخل بدور المشتريات: الرابطُ الوحيدُ ذو الصلة «مساحة مخاطر الإدارة».</t>
  </si>
  <si>
    <t xml:space="preserve">مرِّر معاملَ نطاقٍ dept=prc إلى Risk/dept_risk_space.php وسمِّ الرابطَ «مخاطر المشتريات التشغيلية»، وأنشئ Governance/gov_dept_prc.php على نمط Finance/gov_dept_fin.php بالأبواب الاثني عشر (GOV-0358…GOV-0369)</t>
  </si>
  <si>
    <t xml:space="preserve">سايدبار المشتريات يعرض «مخاطر المشتريات التشغيلية» و«حوكمة إدارة المشتريات التشغيلية» وكلٌّ منهما بنطاق الإدارة وعنوانها.</t>
  </si>
  <si>
    <t xml:space="preserve">تحقّقت: لا risk_dept_prc.php ولا gov_dept_prc.php في المستودع، والبديلُ رابطٌ عامٌّ «مساحة مخاطر الإدارة» في مجموعة «خارج الوثيقة».</t>
  </si>
  <si>
    <t xml:space="preserve">INJ-0338</t>
  </si>
  <si>
    <t xml:space="preserve">١٨-٣ المرحلة ٢ ثانيًا: العروض والترسية (شاشتان)</t>
  </si>
  <si>
    <t xml:space="preserve">«ثانيًا: العروض والترسية | محضر مقارنة · قرار ترسية | المعتمِد: مدير المشتريات | ٢ شاشة»</t>
  </si>
  <si>
    <t xml:space="preserve">المرحلةُ الثانيةُ تعرض شاشةً واحدةً فقط؛ الشاشةُ الثانيةُ «سجل الموردين» لها صفّان في nav_items (id=6083 و id=6092) وكلاهما محجوبٌ لغياب can_view للدور ١٦ على الموديول ٢٢، فتفرغ مجموعةُ «الموردون» (link_groups.id=3388) ولا تُعرض</t>
  </si>
  <si>
    <t xml:space="preserve">مرحلةُ الترسيةِ بلا سجلِ مورديها: لا يستطيع مدير المشتريات فحصَ سجلِّ المورد قبل الترسية من داخل مرحلته — وهو معيارٌ معروضٌ في الشاشة (record_rating)</t>
  </si>
  <si>
    <t xml:space="preserve">غيابُ صفِّ role_permissions للموديول ٢٢ للدور ١٦ مع بقاء صفَّي التنقل فعّالين</t>
  </si>
  <si>
    <t xml:space="preserve">database/schema/seed_reference.sql:4259; database/schema/seed_reference.sql:4268; database/schema/seed_reference.sql:3024; includes/unified_nav.php:65</t>
  </si>
  <si>
    <t xml:space="preserve">١) ادخل بدور المشتريات.
٢) افتح «ثانيًا: العروض والترسية»: رابطٌ واحد.
٣) استعلِم nav_items لهذا الدور: صفّان لـSuppliers/suppliers.php فعّالان لكنهما محجوبان.</t>
  </si>
  <si>
    <t xml:space="preserve">أضِف صفَّ role_permissions (16,22,can_view=1) بزاويةِ قراءةٍ فقط، أو أزِل صفَّي nav_items إن كان القرارُ ألّا ترى المشترياتُ سجلَّ الموردين — ولا يُترك الصفُّ فعّالًا ومحجوبًا</t>
  </si>
  <si>
    <t xml:space="preserve">مجموعةُ المرحلة الثانية تعرض شاشتين مطابقتين لجدول §١٨-٣، وفاحصُ التنقل يعيد صفرَ صفٍّ فعّالٍ محجوبٍ بالصلاحية.</t>
  </si>
  <si>
    <t xml:space="preserve">صفّا «سجل الموردين» (6083 و6092) فعّالان بلا can_view للدور 16 على الوحدة 22 فيُرشَّحان في استعلام التنقل، فتفرغ مجموعةُ 3388 وتظهر المرحلةُ الثانيةُ بشاشةٍ واحدة.</t>
  </si>
  <si>
    <t xml:space="preserve">INJ-0339</t>
  </si>
  <si>
    <t xml:space="preserve">§٤-٥ القاعدة ٩ · «مساحةُ عملي فوق الإداراتِ دائمًا» + «لا تُكرَّر العناصرُ الشخصيةُ في كل إدارة»</t>
  </si>
  <si>
    <t xml:space="preserve">مساحة عملي (عناصر الدور ١٦)</t>
  </si>
  <si>
    <t xml:space="preserve">«① مساحةُ عملي: ◆ ثابتةٌ حرفيًّا — نفسُ الترتيبِ والأسماءِ والأيقونات بين كل الإدارات · محتواها: مهامي · طلباتي · موافقاتي · بلاغاتي · إنجازي · التنبيهات» — و«لا تُكرَّر العناصرُ الشخصيةُ في كل إدارة»</t>
  </si>
  <si>
    <t xml:space="preserve">لدور المشتريات: مجموعةُ «لوحة الإدارة» تحوي مهامي/إنجازي/بوابتي/طلباتي/المراسلات بلا عنوانٍ فرعيٍّ «مساحتي الشخصية» (بخلاف الأدوار ١ و٦ و٢٣ التي تحمله)، و«موافقاتي» و«التنبيهات» غائبتان، و«بلاغاتي» في مجموعةٍ أخرى (متابعة المشتريات) — فالمنطقةُ ① لا ثابتةَ الترتيبِ ولا الأسماءِ بين الإدارات</t>
  </si>
  <si>
    <t xml:space="preserve">الموظفُ بصفتين لا يجد المنطقةَ ① في موضعها ولا بمحتواها نفسِه عند التبديل — وهي الفائدةُ المقيسةُ التي تنصُّ عليها الوثيقة</t>
  </si>
  <si>
    <t xml:space="preserve">بُذرت العناصرُ الشخصيةُ صفًّا صفًّا لكل دورٍ بدل توليدها من مكوّنٍ واحدٍ ثابت، فاختلفت بين الأدوار</t>
  </si>
  <si>
    <t xml:space="preserve">database/schema/seed_reference.sql:3020; database/schema/seed_reference.sql:3007; database/schema/seed_reference.sql:2906; includes/topbar.php:203</t>
  </si>
  <si>
    <t xml:space="preserve">١) ادخل بدور المشتريات وصوِّر مجموعة «لوحة الإدارة».
٢) ادخل بدور النقل وصوِّرها.
٣) قارِن: العنوانُ الفرعيُّ «مساحتي الشخصية» موجودٌ في الثاني غائبٌ في الأول، والمحتوى يختلف.</t>
  </si>
  <si>
    <t xml:space="preserve">ولِّد المنطقةَ ① من مكوّنٍ واحدٍ في includes/unified_nav.php لكل الأدوار بالعناصر الستة بالترتيب المنصوص، واحذف صفوفَ nav_items الشخصيةَ لكل دورٍ من seed_reference.sql</t>
  </si>
  <si>
    <t xml:space="preserve">لقطتا سايدبارٍ لدورين مختلفين تُظهران المنطقةَ ① متطابقةً في العناصر والترتيب والأيقونات.</t>
  </si>
  <si>
    <t xml:space="preserve">صفوفُ nav_items للدور 16 (المجموعة 3384) تحوي خمسةَ عناصرَ فقط بلا «موافقاتي» و«التنبيهات»، والعنوانُ الفرعيُّ لا يُطبع لأن المرحلةَ 0 بمجموعةٍ واحدة (شرط count($byGroup)&gt;1) — والنصُّ الحاكمُ في UX يوجب ستةَ عناصرَ ثابتةً حرفيًّا.</t>
  </si>
  <si>
    <t xml:space="preserve">INJ-0340</t>
  </si>
  <si>
    <t xml:space="preserve">§٤-١ «لكلٍّ وجهةٌ حيةٌ موجودةٌ» · ملكيةُ الشاشة</t>
  </si>
  <si>
    <t xml:space="preserve">http://localhost/ems/Procurement/supplier_card_proc.php</t>
  </si>
  <si>
    <t xml:space="preserve">لكل شاشةٍ مالكٌ ومرحلةٌ ووجهةٌ حيةٌ في التنقل — ولا شاشةَ خارج المصفوفة</t>
  </si>
  <si>
    <t xml:space="preserve">شاشتان مبنيتان ومحروستان بلا أيِّ صفٍّ في nav_items لأيِّ دور: Procurement/supplier_card_proc.php (بطاقة المورد بذممه) و Procurement/dashboard_proc.php — تُفتحان بالرابط المباشر فقط</t>
  </si>
  <si>
    <t xml:space="preserve">شاشتان حيتان تعرضان ذممَ الموردين وأرصدتَهم خارج مصفوفة العرض: لا يعرفهما الفاحصُ ولا تُقاس صلاحياتُهما في مراجعة الوصول</t>
  </si>
  <si>
    <t xml:space="preserve">بُنيتا بعد آخر توليدٍ للتنقل ولم تُسجَّلا (خرقُ PR-11)</t>
  </si>
  <si>
    <t xml:space="preserve">database/schema/seed_reference.sql:249; :119; :3674; Procurement/supplier_card_proc.php:20; Procurement/dashboard_proc.php:25</t>
  </si>
  <si>
    <t xml:space="preserve">١) اجرد روابطَ كل الأدوار: لا Procurement/supplier_card_proc.php ولا dashboard_proc.php.
٢) افتح الرابطين مباشرةً: يعملان ويعرضان بياناتِ ذممِ الموردين.</t>
  </si>
  <si>
    <t xml:space="preserve">سجِّل الشاشتين في نظام الشاشات بمالكٍ (المشتريات) ومرحلةٍ ونطاق، وابذر صفَّي nav_items: بطاقةَ المورد ضمن «سجلات وتقارير المشتريات» ولوحةَ المشتريات ضمن «لوحة الإدارة»</t>
  </si>
  <si>
    <t xml:space="preserve">فاحصُ التنقل يعيد صفرَ ملفِ شاشةٍ في Procurement/ بلا صفٍّ في nav_items لدورٍ واحدٍ على الأقل.</t>
  </si>
  <si>
    <t xml:space="preserve">الشاشتان محروستان بـproc_page_perms وبلا منفذٍ حيّ: supplier_card_proc.php بلا أيِّ صفِّ nav_items، وdashboard_proc.php صفُّها 194 معطَّل (active=0) — لكنَّ سطرَ الدليل 3020 خاطئ.</t>
  </si>
  <si>
    <t xml:space="preserve">INJ-0341</t>
  </si>
  <si>
    <t xml:space="preserve">§٧ معاييرُ القبولِ البصري · دلالةُ الشارات والأرقام</t>
  </si>
  <si>
    <t xml:space="preserve">لا مبلغ بلا عملة؛ والشارةُ تدلُّ على معنًى واحدٍ صحيح</t>
  </si>
  <si>
    <t xml:space="preserve">شارةُ «الأدنى» تُحسب بمقارنة unit_price بأولِ صفٍّ في القائمة بلا اعتبارٍ للعملة، رغم أن كلَّ عرضٍ يحمل عملتَه المستقلة (q.currency) — فعرضٌ بعملةٍ منخفضةِ القيمة يُوسم «الأدنى» ويُظلَّل بالأخضر؛ وشرطُ المقارنة &lt;= يمنح الشارةَ لكلِّ العروض المتساويةِ في السعر</t>
  </si>
  <si>
    <t xml:space="preserve">القرارُ الأهمُّ في الوحدة (اختيارُ الأرخص) يُبنى على مقارنةٍ خاطئةٍ عبر عملاتٍ مختلفة؛ المستخدمُ يرسي على «الأدنى» وهو الأغلى فعلًا</t>
  </si>
  <si>
    <t xml:space="preserve">مقارنةُ أسعارٍ خامٍّ بلا تحويلٍ إلى عملةِ الدفاتر ولا سعرِ صرفٍ ومصدره</t>
  </si>
  <si>
    <t xml:space="preserve">Procurement/rfq_compare_award.php:53-57; :121; :122; :124</t>
  </si>
  <si>
    <t xml:space="preserve">١) أدخِل عرضين للبند نفسِه: الأول ١٠٠ بعملة SDG والثاني ٥٠ بعملة USD.
٢) افتح شاشةَ المقارنة: العرضُ الأولُ (١٠٠ SDG) قد يظهر بشارة «الأدنى» رغم أنه أغلى بالمعادل.</t>
  </si>
  <si>
    <t xml:space="preserve">احسب المعادلَ الموحَّدَ لكل عرضٍ (unit_price × سعرُ الصرف) قبل الفرزِ والمقارنة، ورتِّب الاستعلامَ في السطر ٥٧ على المعادل، واعرض عمودَي «سعر الصرف ومصدره» و«المعادل»، وامنح الشارةَ للأدنى الفعليِّ وحدَه</t>
  </si>
  <si>
    <t xml:space="preserve">عرضان بعملتين مختلفتين يُرتَّبان بالمعادل الموحَّد، وشارةُ «الأدنى» تظهر على صفٍّ واحدٍ فقط هو الأقلُّ معادلًا.</t>
  </si>
  <si>
    <t xml:space="preserve">الاستعلامُ يرتّب بـORDER BY q.unit_price بلا تحويلِ عملة (سطر 57) و$best يؤخذ من أولِ صفٍّ (سطر 121) والمقارنةُ &lt;= (سطر 122) فتُمنح الشارةُ لكلِّ المتساوين ولعرضٍ بعملةٍ أدنى قيمة — رغم أن كلَّ صفٍّ يحمل q.currency.</t>
  </si>
  <si>
    <t xml:space="preserve">INJ-0342</t>
  </si>
  <si>
    <t xml:space="preserve">§١-٣ قواعدُ الربط · §٤-١ شروطُ الجاهزية</t>
  </si>
  <si>
    <t xml:space="preserve">شاشات المشتريات الستُّ الموثقة مقابل تسعَ عشرةَ شاشةً في المجلد</t>
  </si>
  <si>
    <t xml:space="preserve">http://localhost/ems/Procurement/dashboard_proc.php</t>
  </si>
  <si>
    <t xml:space="preserve">«الشاشات `6 شاشة`» في §١٨ — ولكل شاشةٍ رمزٌ ومالكٌ ومرحلةٌ في نظام الشاشات (الورقة ٠٦)</t>
  </si>
  <si>
    <t xml:space="preserve">مجلد Procurement/ يحوي ١٩ ملفَ شاشة؛ ستٌّ فقط موثقةٌ للمشتريات (وبأسماءِ ملفاتٍ مختلفة: pr.php/rfq.php/po.php)، وتسعٌ منها مملوكةٌ لإدارة المخازن، وأربعٌ غيرُ مذكورةٍ لأيِّ إدارةٍ (dashboard_proc · supplier_card_proc · warehouse_board · master_data_proc)، وشاشتان موثقتان غيرُ موجودتين (risk_dept_prc · gov_dept_prc)</t>
  </si>
  <si>
    <t xml:space="preserve">مقامُ قياسِ التبنّي للمشتريات خاطئٌ (٦ مقابل ١٩ ملفًا)، ومجلدُ الوحدة يخلط ملكيتَي إدارتين — وهو ما يجعل نسبةَ الإنجاز المُعلنةَ غيرَ قابلةٍ للقياس (MD-01)</t>
  </si>
  <si>
    <t xml:space="preserve">بُنيت شاشاتٌ خارج مسار التغيير RL-05 ولم يُحدَّث نظامُ الشاشات، ولم تُفصل ملفاتُ المخازن إلى مجلدها</t>
  </si>
  <si>
    <t xml:space="preserve">Procurement/ (20 ملفًّا منها proc_helpers.php); /tmp/dict/frd_readable.md:1477-1482</t>
  </si>
  <si>
    <t xml:space="preserve">١) اجرد ملفات Procurement/*.php: ٢٠ ملفًا (منها proc_helpers.php مكتبة).
٢) قارِنها بجدول §١٨-٤ (٦ شاشات).
٣) صنِّف الملفاتِ بالمالك: تسعٌ للمخازن.</t>
  </si>
  <si>
    <t xml:space="preserve">افصِل ملفاتِ المخازن إلى مجلد Warehouse/ بمسارٍ وهجرةِ روابطَ ومرادفات، وسجِّل الشاشاتِ الأربعَ غيرَ الموثقةِ في نظام الشاشات بمالكٍ ومرحلة، وأنشئ الشاشتين الناقصتين، ثم أعِد حسابَ مقام التبنّي</t>
  </si>
  <si>
    <t xml:space="preserve">فاحصُ المطابقة يعيد صفرَ ملفٍ في Procurement/ بلا صفٍّ في نظام الشاشات بمالكٍ صحيح، وصفرَ شاشةٍ موثقةٍ بلا ملف.</t>
  </si>
  <si>
    <t xml:space="preserve">مجلد Procurement/ فيه 19 ملفَّ شاشةٍ (عشرون ملفًّا أحدُها proc_helpers.php مكتبة)، والوثيقةُ تعلن ستَّ شاشاتٍ بأسماءٍ أخرى (pr.php · rfq.php · po.php)، وrisk_dept_prc.php وgov_dept_prc.php غيرُ موجودين.</t>
  </si>
  <si>
    <t xml:space="preserve">INJ-0343</t>
  </si>
  <si>
    <t xml:space="preserve">▐ ١١-١ سجلُّ التدقيق · TABLE 53</t>
  </si>
  <si>
    <t xml:space="preserve">كلُّ كتابةِ مجالٍ تُسجَّل بالقيمة قبل وبعد وبفاعلها — والترسيةُ فعلٌ حاكمٌ لا يُقبل بلا أثرٍ تدقيقي</t>
  </si>
  <si>
    <t xml:space="preserve">لا استدعاءَ لـems_audit_change ولا log_security_event في Procurement/rfq_compare_award.php؛ الأثرُ الوحيدُ عمودُ awarded_by في rfq_awards، وتغييرُ حالةِ supplier_rfqs بلا أيِّ سجل — بينما الشاشةُ الشقيقةُ requests_proc.php تستدعي ems_audit_change في السطر ١٥٩</t>
  </si>
  <si>
    <t xml:space="preserve">أخطرُ فعلٍ في الوحدة (اختيارُ المورد) بلا أثرٍ تدقيقيٍّ قابلٍ للمراجعة: لا تُعرف القيمةُ قبل ولا محاولاتُ الترسيةِ المرفوضة</t>
  </si>
  <si>
    <t xml:space="preserve">مكتبةُ سجل التدقيق مستعملةٌ في شاشةٍ واحدةٍ من الوحدة ولم تُعمَّم على الأفعال الحاكمة الجديدة</t>
  </si>
  <si>
    <t xml:space="preserve">Procurement/rfq_compare_award.php:33; Procurement/rfq_compare_award.php:38; Procurement/requests_proc.php:158; includes/audit_trail.php:8</t>
  </si>
  <si>
    <t xml:space="preserve">١) نفّذ ترسيةً.
٢) ابحث في سجل التدقيق عن صفٍّ لهذا الفعل: لا صف.
٣) grep على Procurement/rfq_compare_award.php عن ems_audit_change: صفرُ نتيجة.</t>
  </si>
  <si>
    <t xml:space="preserve">أضِف بعد نجاح المعاملة في Procurement/rfq_compare_award.php: ems_audit_change($conn,'procurement','rfq_awards','award',$award_id, array('state'=&gt;'quoted'), array('state'=&gt;'awarded','supplier_id'=&gt;…,'unit_price'=&gt;…,'reason'=&gt;$reason), ctx)؛ وسجِّل الرفضَ أيضًا بـlog_security_event عند فشل الحارس</t>
  </si>
  <si>
    <t xml:space="preserve">كلُّ ترسيةٍ (ناجحةٍ أو مرفوضة) تُنتج صفًّا في سجل التدقيق بالفاعل والزمن والقيم قبل وبعد.</t>
  </si>
  <si>
    <t xml:space="preserve">لا ems_audit_change ولا log_security_event في rfq_compare_award.php والترسيةُ تكتب rfq_awards وsupplier_rfqs مباشرةً، بينما الشقيقةُ requests_proc.php تدقّق في السطر 158-161؛ غير أن الصفَّ نفسَه يحمل awarded_by وسببًا إلزاميًّا.</t>
  </si>
  <si>
    <t xml:space="preserve">INJ-0344</t>
  </si>
  <si>
    <t xml:space="preserve">▐ ٩-١ أزواجُ الواجباتِ المتعارضة · SEC-015-ب ② (طلب شراء + ترسية + استلام + صرف)</t>
  </si>
  <si>
    <t xml:space="preserve">دورة المشتريات الكاملة</t>
  </si>
  <si>
    <t xml:space="preserve">«طلب شراء + ترسية + استلام + صرف (شراء صوري: أمرٌ لا مقابل له يُستلَم ويُصرَف على الورق) — تعارضٌ ممنوع» · وفصلُ الواجبات يُنفَّذ عند المعاملة</t>
  </si>
  <si>
    <t xml:space="preserve">الرمزُ `sod_procure_cycle` صفٌّ في جدول `sod_conflicts` لا في `includes/sod_map.php`؛ ودرجةُ approx مصدرُها `proc.award` في sod_map.php:34-35، وقرارُ المالك 2026-08-06 ينصُّ «تُعلَّم تقريبية وتُبلَّغ · مسحٌ يكشف ثم منع». — [مُصحَّح بعد التحقق] الصياغة الأولى: الزوجُ محدَّدٌ في includes/sod_map.php برمز sod_procure_cycle لكن درجتَه 'approx' فيُصنَّف تحذيرًا لا حظرًا (includes/sod_guard.php:77-78)، ويُقيَّم عند منح الصلاحية فقط لا عند المعاملة؛ ودور «إدارة ا</t>
  </si>
  <si>
    <t xml:space="preserve">الشراءُ الصوريُّ ممكنٌ بحسابٍ واحد: يطلب ويرسي ويستلم ويصرف — والحارسُ الموجودُ يكتفي بتحذيرٍ عند منح الصلاحية ولا يوقف المعاملة</t>
  </si>
  <si>
    <t xml:space="preserve">محرّكُ SoD المعامِلي (SegregationOfDutiesGuard) بلا مستدعٍ إنتاجيٍّ واحد، والزوجُ مصنَّفٌ approx فيمرّ</t>
  </si>
  <si>
    <t xml:space="preserve">includes/sod_guard.php:68-78; includes/sod_map.php:34-38; database/schema/seed_reference.sql:759-763</t>
  </si>
  <si>
    <t xml:space="preserve">١) استعلِم role_permissions للدور ١٦ على الموديولات ٦٩ و٧٠ و٧١ و٧٣: can_edit=1 في الأربعة.
٢) بحسابٍ واحدٍ من هذا الدور: أنشئ طلبًا، اعتمِده، أنشئ أمرًا، سجِّل استلامًا، ثم اصرِف — كلُّها تنجح.</t>
  </si>
  <si>
    <t xml:space="preserve">ارفع درجةَ sod_procure_cycle إلى 'exact' في includes/sod_map.php ليحظر المنحَ؛ وأضِف استدعاءَ App\Services\Security\SegregationOfDutiesGuard عند كلٍّ من فعل الترسية والاستلام والصرف يقارن الفاعلَ بمُنشئ المستند الأب ويرفض ٤٠٩</t>
  </si>
  <si>
    <t xml:space="preserve">مستخدمٌ أنشأ طلبَ شراءٍ لا يستطيع ترسيتَه ولا استلامَه ولا صرفَه؛ ومحاولةُ منحِ الأربعِ لدورٍ واحدٍ تُحظر لا تُحذَّر.</t>
  </si>
  <si>
    <t xml:space="preserve">الدورُ 16 يملك can_add/can_edit/can_delete على الشاشات الأربع (69 · 70 · 71 · 73) والحارسُ لا يحجب إلا الدرجةَ `exact` — لكنَّ التصنيفَ «تقريبيٌّ يُبلَّغ ولا يُمنع» قرارُ مالكٍ موثَّق.</t>
  </si>
  <si>
    <t xml:space="preserve">INJ-0345</t>
  </si>
  <si>
    <t xml:space="preserve">▐ ١١-٣ · SCN-124 · SCN-707 · SCN-897</t>
  </si>
  <si>
    <t xml:space="preserve">صندوق ما ينتظر اعتمادي · طلبات الاستثناء · دورة المراجعة الدورية للصلاحيات</t>
  </si>
  <si>
    <t xml:space="preserve">«يجب أن تُعرض شاشةُ «صندوق ما ينتظر اعتمادي» لـالمشتريات بنطاق نطاقُه وسقفُه … ومحجوبٍ عنه: اعتمادُ ما أنشأتُه» · و«طلبات الاستثناء» بنطاق طلباته · و«دورة المراجعة الدورية للصلاحيات» بنطاق حسابات إدارته</t>
  </si>
  <si>
    <t xml:space="preserve">صندوقُ الاعتماد له صفُّ nav_items فعّالٌ (id=6090) لكنه محجوبٌ لغياب can_view للدور ١٦ على الموديول ١٩٢؛ وشاشتا الاستثناءات والمراجعة الدورية بلا أيِّ صفٍّ لهذا الدور — فالإدارةُ بلا صندوقِ اعتمادٍ ولا مسارِ استثناءٍ ولا تصديقِ مديرٍ على فريقه</t>
  </si>
  <si>
    <t xml:space="preserve">مع كون الاعتماد المالي حقلًا حرًّا في نموذج الطلب (DEC-H)، غيابُ صندوقِ الاعتمادِ يعني أن لا مكانَ في النظام يجتمع فيه ما ينتظر قرارَ مديرِ المشتريات — فالقرارُ يقع في الشاشة نفسِها بلا صندوقٍ ولا سقفٍ ولا حجبِ اعتمادِ ما أنشأه</t>
  </si>
  <si>
    <t xml:space="preserve">مصفوفةُ ظهور M-14 لم تُترجَم إلى صفوفِ صلاحياتٍ وتنقلٍ للدور ١٦</t>
  </si>
  <si>
    <t xml:space="preserve">database/schema/seed_reference.sql:4266; nav_items للدور 15 على Governance/exceptions.php و access_review.php</t>
  </si>
  <si>
    <t xml:space="preserve">١) ادخل بدور المشتريات.
٢) اجرد الروابط الـ٢٩: لا صندوقَ اعتمادٍ ولا استثناءاتٍ ولا مراجعةَ صلاحيات.
٣) افتح Finance/approvals_inbox.php مباشرةً: يُعاد التوجيهُ بلا رمزِ سبب.</t>
  </si>
  <si>
    <t xml:space="preserve">أضِف صفَّ role_permissions (16,192,can_view=1,can_edit=1) وصفَّي nav_items إلى Governance/exceptions.php و Governance/access_review.php تحت مجموعة «حوكمة إدارتي»، وفعِّل حجبَ «اعتمادُ ما أنشأتُه» في الصندوق</t>
  </si>
  <si>
    <t xml:space="preserve">مدير المشتريات يفتح صندوقَ الاعتماد ويرى ما ينتظره بنطاقه وسقفه، ولا يرى فيه ما أنشأه بنفسه.</t>
  </si>
  <si>
    <t xml:space="preserve">صفُّ صندوق الاعتماد للدور 16 (id=6090 في السطر 4266) فعّالٌ لكنه محجوبٌ لغياب can_view على الموديول 192، وGovernance/exceptions.php وaccess_review.php لهما صفوفٌ للدور 15 فقط — فلا صندوقَ ولا مسارَ استثناءٍ ولا مراجعةً دوريةً للمشتريات.</t>
  </si>
  <si>
    <t xml:space="preserve">INJ-0346</t>
  </si>
  <si>
    <t xml:space="preserve">أوامر الشراء · طلبات الشراء · كتالوج الأصناف (وسائر شاشات المشتريات)</t>
  </si>
  <si>
    <t xml:space="preserve">العددُ تسعُ شاشاتٍ لا ثمان. — [مُصحَّح بعد التحقق] الصياغة الأولى: ثمانِ شاشاتِ مشترياتٍ تعرض أزرارَ «نسخ / Excel / طباعة» من إضافات DataTables على البيانات المصيَّرة في المتصفح، بلا مرورٍ بـexcel.php ولا بـExcelService::authorize ولا بأيِّ سجلِّ تصدير؛ ولا يوجد جدول</t>
  </si>
  <si>
    <t xml:space="preserve">أسعارُ الشراءِ وبياناتُ الموردين والذممُ تُصدَّر إلى ملفاتٍ خارجيةٍ من أيِّ حسابٍ له حقُّ العرض، بلا صلاحيةٍ وبلا أثر — خطرُ تسريبٍ تجاريٍّ بلا كشف</t>
  </si>
  <si>
    <t xml:space="preserve">اعتمادُ تصديرِ العميل بدل مسار التصدير الخادمي المحكوم</t>
  </si>
  <si>
    <t xml:space="preserve">Procurement/orders_proc.php:629; Procurement/items_proc.php:329; Procurement/issue_proc.php:507; app/Services/Excel/ExcelService.php:63; app/Services/Risk/RiskService.php:975</t>
  </si>
  <si>
    <t xml:space="preserve">١) ادخل بحسابٍ له can_view فقط على أوامر الشراء.
٢) اضغط «📊 Excel»: يُنزَّل ملفٌ بكل الصفوف والأسعار.
٣) ابحث عن أثرٍ للتصدير: لا جدولَ ولا صف.</t>
  </si>
  <si>
    <t xml:space="preserve">أزِل إضافاتِ buttons.html5 من شاشات Procurement/ واستبدِلها بزرٍّ يستدعي excel.php بكيانٍ مسجَّل، وأنشئ جدولَ export_log عامًّا يكتبه ExcelService بالبنود التسعة، واشترِط صلاحيةَ تصديرٍ مستقلةً لا can_view</t>
  </si>
  <si>
    <t xml:space="preserve">التصديرُ لا يقع إلا بصلاحية تصديرٍ صريحة، وكلُّ تصديرٍ يُنتج صفًّا في سجل التصدير بالمستخدم والشاشة والأعمدة وعدد الصفوف.</t>
  </si>
  <si>
    <t xml:space="preserve">تسعُ شاشاتٍ في Procurement/ تُحمّل buttons.html5.min.js وتُصدِّر في المتصفح بلا مرورٍ بـexcel.php ولا ExcelService::authorize، ولا جدولَ سجلِّ تصديرٍ عامًّا في المخطط (الموجودُ risk_export_log وحدَه). أخفضتُ الخطورةَ: التصديرُ محصورٌ بمن يملك can_view على الشاشة وبالصفوف المصيَّرة.</t>
  </si>
  <si>
    <t xml:space="preserve">INJ-0347</t>
  </si>
  <si>
    <t xml:space="preserve">▐ ٥ الحقولُ الحساسة · TABLE 37</t>
  </si>
  <si>
    <t xml:space="preserve">أوامر الشراء · بطاقة المورد</t>
  </si>
  <si>
    <t xml:space="preserve">الحقولُ الحساسةُ (القيمة · مركزُ التكلفة · سعرُ الصرف ومصدرُه · الحسابُ البنكيُّ للمورد) تُحجب في الخادمِ لمن لا منحَ له ويُسجَّل الاطّلاع (GOVX-0994: لا يُرسَل المحجوبُ في الاستجابة أصلًا)</t>
  </si>
  <si>
    <t xml:space="preserve">أعمدةُ القيمةِ والعملةِ وسعرِ الصرفِ ومركزِ التكلفةِ في أوامر الشراء وبطاقةِ المورد تُصيَّر خامًّا لكل من يملك can_view، بلا قناعٍ ولا فحصِ منحٍ فرديٍّ ولا صفٍّ في sensitive_read_log؛ ومكتبةُ SensitiveFieldGuard التي تنفّذ الحجبَ والقناعَ بلا أيِّ مستدعٍ إنتاجي</t>
  </si>
  <si>
    <t xml:space="preserve">أسعارُ الشراء وشروطُ الموردين مكشوفةٌ لكل من يفتح الشاشة بلا حجبٍ ولا سجلِّ اطّلاع — ولا يمكن إثباتُ من اطّلع على سعرِ موردٍ ومتى</t>
  </si>
  <si>
    <t xml:space="preserve">بُني حارسُ الحقول الحساسة ولم يُطبَّق على أيِّ شاشةِ مشتريات (إغلاقٌ عند L1 لا L3)</t>
  </si>
  <si>
    <t xml:space="preserve">Procurement/orders_proc.php:566; Procurement/supplier_card_proc.php:191; app/Services/Security/SensitiveFieldGuard.php:79; app/Services/Security/SensitiveFieldGuard.php:103; includes/sensitive_read_log.php:32</t>
  </si>
  <si>
    <t xml:space="preserve">١) ادخل بحسابٍ له can_view فقط على أوامر الشراء.
٢) افتح الشاشة: القيمةُ والعملةُ ومركزُ التكلفة ظاهرةٌ كاملةً.
٣) استعلِم sensitive_read_log: لا صفَّ لهذا الاطّلاع.</t>
  </si>
  <si>
    <t xml:space="preserve">استدعِ App\Services\Security\SensitiveFieldGuard في Procurement/orders_proc.php و supplier_card_proc.php لإسقاطِ الأعمدة الحساسة من الصفِّ قبل التصيير عند انعدام المنح، واستدعِ ems_log_sensitive_read عند عرضها لمن يملك المنح</t>
  </si>
  <si>
    <t xml:space="preserve">حسابٌ بلا منحٍ لا يتلقى قيمَ الأعمدة الحساسة في استجابة HTML أصلًا، وكلُّ اطّلاعٍ مخوَّلٍ يُنتج صفًّا في سجل الاطّلاع.</t>
  </si>
  <si>
    <t xml:space="preserve">SensitiveFieldGuard بلا أيِّ مستدعٍ إنتاجيٍّ في المستودع كلِّه (المطابقةُ الوحيدةُ خارج الصنف نصٌّ في tools/m14_ac_gate.php)، وصفرُ استدعاءٍ لـems_log_sensitive_read في Procurement/ — فالأعمدةُ الحساسةُ تُصيَّر خامًّا.</t>
  </si>
  <si>
    <t xml:space="preserve">INJ-0348</t>
  </si>
  <si>
    <t xml:space="preserve">▐ ٨ صندوقُ الاعتماد «صندوق ما ينتظر اعتمادي» · محجوبٌ عنه: اعتمادُ ما أنشأتُه</t>
  </si>
  <si>
    <t xml:space="preserve">طلبات الشراء — ثلاثيةُ القرار</t>
  </si>
  <si>
    <t xml:space="preserve">«محجوبٌ عنه: اعتمادُ ما أنشأتُه» — ولا يعتمد أحدٌ ما أنشأه، والقرارُ ثلاثيّ: اعتماد · رفضٌ بسبب · إعادة</t>
  </si>
  <si>
    <t xml:space="preserve">الفجوةُ الحقيقيةُ فصلُ الواجبات في الترسية/الأمر/الاستلام، لا «غيابُ الحارس عن الإعادة والرفض». — [مُصحَّح بعد التحقق] الصياغة الأولى: حارسُ اعتمادِ الذاتِ مستدعًى فعلًا لقرار الاعتماد (السطر ١٤٤-١٤٨) وهذا صحيح — لكنه غيرُ مستدعًى لقراري «إعادة» و«رفض»، ولا لأيِّ فعلٍ لاحقٍ في الدورة (الترسية · الأمر · الاستلام · الصرف)؛ فالمستخدمُ ا</t>
  </si>
  <si>
    <t xml:space="preserve">حجبُ اعتمادِ ما أنشأتُه مطبَّقٌ على خطوةٍ واحدةٍ من ستٍّ، فيُلتفُّ عليه بالانتقال إلى الخطوة التالية — وهو إغلاقٌ عند L2 لا L3</t>
  </si>
  <si>
    <t xml:space="preserve">طُبِّق الحارسُ على أولِ فعلِ اعتمادٍ فقط ولم يُعمَّم على سلسلة الأفعال الحاكمة</t>
  </si>
  <si>
    <t xml:space="preserve">Procurement/requests_proc.php:143-148; Procurement/rfq_compare_award.php:20-32; Procurement/orders_proc.php:133-137</t>
  </si>
  <si>
    <t xml:space="preserve">١) أنشئ طلبَ شراءٍ بحسابك.
٢) حاوِل اعتمادَه: يُرفض بحارس اعتماد الذات ✅.
٣) اذهب لشاشة الترسية وأرسِ عرضًا للطلب نفسِه: ينجح.
٤) أنشئ أمرَ شراءٍ وسجِّل استلامًا: ينجحان.</t>
  </si>
  <si>
    <t xml:space="preserve">عمِّم ems_no_self_approval على أفعال الترسية وإنشاءِ الأمر والاستلام في Procurement/rfq_compare_award.php و orders_proc.php و receipt_custody_proc.php بمقارنةِ الفاعلِ بمُنشئ المستند الأب في السلسلة</t>
  </si>
  <si>
    <t xml:space="preserve">مُنشئُ طلبِ الشراء لا يستطيع ترسيتَه ولا إنشاءَ أمرِه ولا استلامَه، ويُعرض سببُ الرفضِ برمزٍ محكوم.</t>
  </si>
  <si>
    <t xml:space="preserve">الحارسُ مستدعًى لقرار الاعتماد فعلًا (الأسطر 143-148) كما أقرّت الملاحظة، وغيابُه عن «إعادة» و«رفض» ليس خطرَ اعتمادِ ذات؛ الباقي الصحيحُ أنّ الترسيةَ والأمرَ والاستلامَ بلا فصلِ واجباتٍ عن منشئ الطلب.</t>
  </si>
  <si>
    <t xml:space="preserve">INJ-0349</t>
  </si>
  <si>
    <t xml:space="preserve">§٦-٢ صفُّ ١٨ · التابعُ له مديرُ التشغيل · §١٢ فحصُ الأدوار الدوري</t>
  </si>
  <si>
    <t xml:space="preserve">دور «أمين المستودع»</t>
  </si>
  <si>
    <t xml:space="preserve">http://localhost/ems/Settings/roles.php</t>
  </si>
  <si>
    <t xml:space="preserve">«١٨ | `M-06` | إدارة المخازن | التابعُ له: مديرُ التشغيل» — والاسمُ المعتمدُ للوحدة «إدارة المخازن»؛ و«لا يُنشأ دورٌ بلا حسابِ اختبارٍ عاملٍ بثلاثيتِه — الدورُ والموظفُ والمسمّى الوظيفي»</t>
  </si>
  <si>
    <t xml:space="preserve">الدورُ الوحيدُ المقابلُ للوحدة اسمُه «أمين المستودع» (مسمًّى وظيفيٌّ لا وحدةٌ تنظيمية) بـparent_role_id=NULL؛ ولا دورَ باسم «إدارة المخازن» ولا «مدير المخازن» (المعتمِدُ المنصوصُ عليه في §١٩-٣ للمرحلة الرابعة)، فالوحدةُ ممثَّلةٌ بمسمًّى وظيفيٍّ واحدٍ بلا مديرٍ ولا خطِّ تبعية</t>
  </si>
  <si>
    <t xml:space="preserve">لا يمكن تمثيلُ اعتمادِ مدير المخازن ولا تصديقُه على فريقه ولا اشتقاقُ نطاقِ الرؤيةِ من الهيكل؛ ويظهر للمستخدم مسمًّى وظيفيٌّ حيث تتوقع الوثيقةُ وحدةً</t>
  </si>
  <si>
    <t xml:space="preserve">أُنشئ الدورُ بمسمًّى وظيفيٍّ عند بناء شاشات المخازن ولم يُواءَم مع الهيكل العشرينيِّ في CORE-01</t>
  </si>
  <si>
    <t xml:space="preserve">database/schema/seed_reference.sql:18; :43</t>
  </si>
  <si>
    <t xml:space="preserve">١) استعلِم roles: الاسمُ «أمين المستودع» و parent_role_id=NULL.
٢) ابحث عن دورٍ باسم «مدير المخازن» أو «إدارة المخازن»: لا وجود.</t>
  </si>
  <si>
    <t xml:space="preserve">أعِد تسميةَ الدور ٢٥ إلى «إدارة المخازن» واضبط parent_role_id على دور «مدير التشغيل»، وأنشئ دورًا فرعيًّا «أمين المستودع» تابعًا له ودورَ «مدير المخازن» معتمِدًا للجرد، وأنشئ حسابَ اختبارٍ لكلٍّ ضمن الفحص الدوري الملزم</t>
  </si>
  <si>
    <t xml:space="preserve">شجرةُ الأدوار تعرض «إدارة المخازن» تحت مدير التشغيل ولها دوران فرعيان، ولكلٍّ حسابُ اختبارٍ يفتح لوحتَه وسايدبارَه غيرُ فارغ.</t>
  </si>
  <si>
    <t xml:space="preserve">بذرةُ roles تُظهر (25,'أمين المستودع',NULL,...) ولا دورَ باسم «إدارة المخازن» ولا «مدير المخازن» — مطابقٌ للادعاء؛ رقمُ السطر 43 لا 44.</t>
  </si>
  <si>
    <t xml:space="preserve">INJ-0350</t>
  </si>
  <si>
    <t xml:space="preserve">١٩-٣ المرحلة ٤ · «محضر جرد · قيد تسوية»</t>
  </si>
  <si>
    <t xml:space="preserve">«لكل مرحلةٍ مستندٌ يُنتَج ومعتمِدٌ يشهد — ولا مرحلةَ بلا مخرَج» — ومستندُ المرحلة الرابعة «محضر جرد» و«قيد تسوية» والمعتمِدُ «مدير المخازن»</t>
  </si>
  <si>
    <t xml:space="preserve">لا وجودَ لمستندِ محضرِ الجرد في نموذج البيانات: لا جدولَ proc_stock_count ولا proc_count_line ولا أيَّ جدولٍ يمثّل جلسةَ جردٍ برقمها وتاريخها ومعتمِدها؛ المخرَجُ الوحيدُ صفٌّ في proc_stock_move بنوع «تسوية زيادة/عجز» ونصِّ سببٍ في عمود note</t>
  </si>
  <si>
    <t xml:space="preserve">مرحلةٌ حاكمةٌ بلا مستند: لا يمكن إقفالُ جردٍ ولا مقارنةُ جردين ولا إثباتُ من اعتمد الفروقات ومتى — والرقابةُ على المخزون بلا شاهد</t>
  </si>
  <si>
    <t xml:space="preserve">نُفِّذت التسويةُ كحركةِ مخزونٍ مفردةٍ بدل مستندِ جردٍ برأسٍ وسطورٍ وحالةٍ ومعتمِد</t>
  </si>
  <si>
    <t xml:space="preserve">Procurement/wh_count.php:29-31; database/schema/schema.sql:7860 (proc_stock_move)</t>
  </si>
  <si>
    <t xml:space="preserve">١) ابحث في المخطط عن جدولٍ باسم يحوي count أو جرد: صفرُ نتيجة (الموجودُ proc_stock_move فقط).
٢) نفّذ تسويةً من الشاشة: يُدرج صفُّ حركةٍ بلا مرجعِ محضر.</t>
  </si>
  <si>
    <t xml:space="preserve">أضِف جدولَي proc_stock_count (رقم · مخزن · تاريخ · حالة · معتمِد · تاريخ اعتماد) و proc_stock_count_line (صنف · دفتري · فعلي · فرق · سبب) بهجرةٍ معلنة، وأعِد بناءَ Procurement/wh_count.php لتعمل بجلسةِ جردٍ تُفتح وتُدخل وتُعتمد ثم تولّد حركاتِ التسوية دفعةً واحدةً بمرجع المحضر</t>
  </si>
  <si>
    <t xml:space="preserve">جردُ مخزنٍ يُنتج محضرًا برقمٍ وحالةٍ ومعتمِد، ولا تُكتب حركةُ تسويةٍ واحدةٌ قبل اعتماد المحضر، وكلُّ حركةٍ تحمل مرجعَ محضرها.</t>
  </si>
  <si>
    <t xml:space="preserve">صفرُ جدولٍ باسم proc_stock_count أو ما يعادله في المخطط، والمخرَجُ الوحيدُ حركةُ تسويةٍ في proc_stock_move بنصِّ سببٍ — لا محضرَ جردٍ برقمٍ ومعتمِد.</t>
  </si>
  <si>
    <t xml:space="preserve">INJ-0351</t>
  </si>
  <si>
    <t xml:space="preserve">١٩-٢ · ذرّيةُ حركتَي التحويل · ٩-٣ بوابةُ الأفعال (منعُ التكرار)</t>
  </si>
  <si>
    <t xml:space="preserve">بوابةُ الأفعال: «منعُ التكرارِ المُثبَت ⑩» و«فعلُ العكس» عمودان إلزاميان لكل فعل — والرصيدُ لا ينقص بلا سببٍ مثبت</t>
  </si>
  <si>
    <t xml:space="preserve">المرجعُ الرابطُ بين الحركتين يُولَّد بالزمن 'TRF-'.date('ymd-His') فتتصادم تحويلاتُ الثانيةِ الواحدة على المرجع نفسِه؛ ولا مفتاحَ منعِ تكرارٍ ولا قيدَ فريدٍ على proc_stock_move (الجدولُ بلا أيِّ UNIQUE) ولا إعادةَ توجيهٍ بعد الكتابة — فتحديثُ الصفحة يكرر التحويلَ كاملًا؛ ولا فعلَ عكسٍ للتحويل</t>
  </si>
  <si>
    <t xml:space="preserve">تحديثُ الصفحةِ أو ضغطةٌ مزدوجةٌ تنقل الكميةَ مرتين؛ وتحويلان في الثانية نفسِها يحملان المرجعَ ذاتَه فيستحيل تمييزُهما أو عكسُ أحدهما</t>
  </si>
  <si>
    <t xml:space="preserve">مرجعٌ زمنيٌّ بدقة الثانية بدل مفتاحٍ فريد، وغيابُ قيدٍ فريدٍ في القاعدة ونمطِ POST-Redirect-GET</t>
  </si>
  <si>
    <t xml:space="preserve">Procurement/wh_transfer.php:33; Procurement/wh_transfer.php:34; Procurement/wh_transfer.php:38; database/schema/schema.sql:8187; database/schema/schema.sql:8203</t>
  </si>
  <si>
    <t xml:space="preserve">١) نفّذ تحويلًا بكمية ٥.
٢) اضغط F5 وأكِّد إعادةَ الإرسال.
٣) استعلِم proc_stock_move: أربعُ حركاتٍ بدل حركتين، والرصيدُ نقص ١٠ من المصدر.</t>
  </si>
  <si>
    <t xml:space="preserve">ولِّد مرجعًا فريدًا (uniqid أو تسلسلٌ من جدول) وأضِف عمودَ idem_key مع قيد UNIQUE(company_id, idem_key) على proc_stock_move بهجرةٍ معلنة، واختم المعالجَ بإعادةِ توجيهٍ (ems_gov_flash_redirect)، وأضِف فعلَ «عكس التحويل» ينشئ حركتين معاكستين بمرجع reversal_of</t>
  </si>
  <si>
    <t xml:space="preserve">تحديثُ الصفحة بعد التحويل لا يكرره؛ وتحويلان متتاليان في الثانية نفسِها يحملان مرجعين مختلفين؛ وعكسُ تحويلٍ يعيد الرصيدَ ويترك أثرًا مرتبطًا.</t>
  </si>
  <si>
    <t xml:space="preserve">المرجعُ 'TRF-'.date('ymd-His') (السطر 33) يتصادم داخل الثانية الواحدة، وproc_stock_move بلا أيِّ UNIQUE في المخطط ولا في database/migrations/، والمعالجُ لا ينتهي بإعادة توجيه فيتكرر التحويلُ بتحديث الصفحة، ولا فعلَ عكس.</t>
  </si>
  <si>
    <t xml:space="preserve">INJ-0352</t>
  </si>
  <si>
    <t xml:space="preserve">١٩-١ · «◆ ما تملكه: … الإدخالَ» · ضبطُ الرصيد</t>
  </si>
  <si>
    <t xml:space="preserve">«الرصيدُ المتاحُ في المصدر يُحسب من الحركات» — ولا يخرج من المخزن ما ليس فيه</t>
  </si>
  <si>
    <t xml:space="preserve">السباقُ يتطلب تزامنًا حقيقيًّا على الصنف والمخزن نفسِه؛ فالخطرُ قائمٌ لكنه ليس مسارًا يوميًّا. — [مُصحَّح بعد التحقق] الصياغة الأولى: يُقرأ رصيدُ المصدر باستعلامٍ خارج المعاملة (السطر ٢٧-٢٩) ثم تُفتح المعاملةُ وتُكتب الحركتان (السطر ٣٢-٣٧) بلا قفلٍ على صفوف الصنف/المخزن (لا FOR UPDATE ولا قيدُ فحص) — نافذةُ سباقٍ بين القراءة والكتاب</t>
  </si>
  <si>
    <t xml:space="preserve">تحويلان متزامنان لصنفٍ رصيدُه ١٠ بكميةِ ٨ لكلٍّ يمرّان معًا فيصير رصيدُ المصدر سالبًا (−٦) — ورصيدٌ سالبٌ يفسد تقييمَ المخزون وتكلفةَ الصرف بالمتوسط المرجَّح</t>
  </si>
  <si>
    <t xml:space="preserve">فحصُ الكفاية خارج حدود المعاملة بلا قفلٍ متشائم ولا قيدِ سلامةٍ في القاعدة</t>
  </si>
  <si>
    <t xml:space="preserve">Procurement/wh_transfer.php:27; Procurement/wh_transfer.php:30; Procurement/wh_transfer.php:32; Procurement/wh_transfer.php:34</t>
  </si>
  <si>
    <t xml:space="preserve">١) اضبط رصيدَ صنفٍ في مخزنٍ على ١٠.
٢) أرسِل طلبَي تحويلٍ متزامنَين بكمية ٨ لكلٍّ.
٣) استعلِم الرصيدَ المحسوب: −٦.</t>
  </si>
  <si>
    <t xml:space="preserve">انقل استعلامَ الرصيد إلى داخل المعاملة مع SELECT … FOR UPDATE على صفوف proc_stock_move للصنف والمخزن (أو استعمل جدولَ أرصدةٍ مادّيًّا بقفلٍ)، وأعِد الفحصَ قبل الإدراج مباشرةً في Procurement/wh_transfer.php</t>
  </si>
  <si>
    <t xml:space="preserve">تحويلان متزامنان يتجاوزان الرصيدَ: ينجح أحدهما ويُرفض الآخرُ ٤٠٩، ولا يصير الرصيدُ سالبًا في أيِّ حال.</t>
  </si>
  <si>
    <t xml:space="preserve">الأسطر 27 و30 و32 و34 تطابق: قراءةُ الرصيد ومقارنتُه تقعان خارج المعاملة، وbegin_transaction بعدهما، وبلا FOR UPDATE ولا قيدِ فحصٍ على الرصيد.</t>
  </si>
  <si>
    <t xml:space="preserve">INJ-0353</t>
  </si>
  <si>
    <t xml:space="preserve">١٩-٥ الأثرُ العابرُ للإدارات · «حدثٌ منشورٌ يستهلكه من يعنيه»</t>
  </si>
  <si>
    <t xml:space="preserve">التحويل بين المخازن · الجرد · المرتجعات</t>
  </si>
  <si>
    <t xml:space="preserve">«الإداراتُ المتأثرةُ بأفعالها: إدارة الصيانة · المشتريات · إدارة الموقع · المالية والخزينة · النقل والترحيل …» والأثرُ ينتقل بالأحداث</t>
  </si>
  <si>
    <t xml:space="preserve">الأفعالُ الثلاثةُ لا تنشر أيَّ حدث: لا EventPublisher ولا صفَّ في fin_financial_events؛ فتسويةُ الجردِ (وهي أثرٌ ماليٌّ مباشرٌ على قيمة المخزون) لا تصل المالية، وتحويلُ المخزون لا يصل النقلَ ولا الموقع، والمرتجعُ لا يصل الصيانةَ صاحبةَ طلب الصرف</t>
  </si>
  <si>
    <t xml:space="preserve">خمسُ إداراتٍ متأثرةٍ منصوصٌ عليها لا يصلها أثرُ أفعال المخازن؛ وقيدُ التسويةِ الماليُّ (المنصوصُ عليه في §١٩-٢) غيرُ موجودٍ أصلًا</t>
  </si>
  <si>
    <t xml:space="preserve">لم تُدمج أفعالُ المخازن بناقل الأحداث رغم دمجِ فعلِ الصرفِ في الملف نفسِه (proc_publish_issue_cost)</t>
  </si>
  <si>
    <t xml:space="preserve">Procurement/wh_transfer.php:34; Procurement/wh_count.php:29; Procurement/wh_returns.php:31; Procurement/proc_helpers.php:813</t>
  </si>
  <si>
    <t xml:space="preserve">١) نفّذ تسويةَ جردٍ بعجزٍ كبير.
٢) استعلِم fin_financial_events: لا حدث.
٣) استعلِم أيَّ جدولٍ ماليٍّ عن قيدِ تسويةِ مخزون: لا صف.</t>
  </si>
  <si>
    <t xml:space="preserve">أضِف نشرَ أحداث inventory.count.adjusted و inventory.transfer.moved و inventory.return.received من الملفات الثلاثة عبر EventPublisher::publish داخل معاملةِ الكتابة نفسِها بمفاتيح عطالةٍ مركّبة، وسجِّل مستهلكًا ماليًّا لقيد تسوية المخزون</t>
  </si>
  <si>
    <t xml:space="preserve">تسويةُ جردٍ تُنتج حدثًا واحدًا وقيدَ تسويةٍ ماليًّا مقابلًا، وتكرارُ التسوية بالمفتاح نفسِه لا يضاعفه.</t>
  </si>
  <si>
    <t xml:space="preserve">تحقّقت: صفرُ نداءِ نشرٍ في wh_transfer.php وwh_count.php وwh_returns.php. خفّضتُ الخطورة: النظامُ لا يمسك جردًا دائمًا محاسبيًّا أصلًا، والأثرُ المالي للمخازن يمرّ من الصرف (proc_publish_issue_cost) لا من التسوية.</t>
  </si>
  <si>
    <t xml:space="preserve">INJ-0354</t>
  </si>
  <si>
    <t xml:space="preserve">١٩-٤ شاشاتُها وأفعالُها · «المخازن وأنواعها» (`warehouses.php`)</t>
  </si>
  <si>
    <t xml:space="preserve">المخازن وأنواعها</t>
  </si>
  <si>
    <t xml:space="preserve">http://localhost/ems/Procurement/master_data_proc.php</t>
  </si>
  <si>
    <t xml:space="preserve">سجلات وإعدادات المخازن</t>
  </si>
  <si>
    <t xml:space="preserve">«المخازن وأنواعها | `warehouses.php` | ٢٢ عمودًا | فعلٌ واحد | ١ إدارة»</t>
  </si>
  <si>
    <t xml:space="preserve">لا ملفَ باسم warehouses.php في المستودع؛ تعريفُ المخازن مدفونٌ في نصفِ شاشةِ «البيانات المرجعية» Procurement/master_data_proc.php (تديرُ proc_lookup و proc_warehouse معًا)، وهذه الشاشةُ مملوكةٌ لدور المشتريات وحدَه (الموديول ٧٦ بصلاحياتٍ كاملةٍ للدور ١٦) ولا can_view للدور ٢٥ — وصفُّ nav_items لدور المستودع يسمّيها «المخازن وأنواعها» لكنه محجوبٌ بالصلاحية فلا يظهر</t>
  </si>
  <si>
    <t xml:space="preserve">إدارةُ المخازن لا تستطيع تعريفَ مخازنها ولا أنواعِها: الشاشةُ الوحيدةُ التي تفعل ذلك مملوكةٌ للمشتريات ومحجوبةٌ عن أمين المستودع — و«ضوابطُ الاستلام والصرف والجرد والصلاحيات تُشتق من النوع» (M-14 wh.define) فتسقط الاشتقاقاتُ كلُّها</t>
  </si>
  <si>
    <t xml:space="preserve">دُمج سجلُّ المخازن في شاشةِ بياناتٍ مرجعيةٍ مشتركةٍ مملوكةٍ للمشتريات بدل شاشةٍ مستقلةٍ مملوكةٍ للمخازن</t>
  </si>
  <si>
    <t xml:space="preserve">Procurement/master_data_proc.php:4; Procurement/master_data_proc.php:88; database/schema/seed_reference.sql:128; database/schema/seed_reference.sql:766; database/schema/seed_reference.sql:4292; database/schema/schema.sql:8233</t>
  </si>
  <si>
    <t xml:space="preserve">١) ابحث عن warehouses.php: صفرُ نتيجة.
٢) ادخل بدور «أمين المستودع» وافتح «سجلات وإعدادات المخازن»: لا رابطَ «المخازن وأنواعها».
٣) استعلِم role_permissions للموديول ٧٦: الدور ١٦ فقط.</t>
  </si>
  <si>
    <t xml:space="preserve">افصِل قسمَ المخازن من Procurement/master_data_proc.php إلى شاشةٍ مستقلةٍ Warehouse/warehouses.php مملوكةٍ لـM-06 برمزٍ وموديولٍ جديدين، وامنح الدورَ ٢٥ صلاحياتِها الكاملة، وأضِف عمودَ نوعِ المخزن ضابطًا لاشتقاق قواعد الاستلام والصرف والعهدة المزدوجة</t>
  </si>
  <si>
    <t xml:space="preserve">أمينُ المستودع يفتح «المخازن وأنواعها» ويُنشئ مخزنًا ويحدّد نوعَه، وتُشتق منه ضوابطُ الصرفِ والعهدةِ تلقائيًّا.</t>
  </si>
  <si>
    <t xml:space="preserve">لا ملفَ warehouses.php والمخازنُ مدمجةٌ في master_data_proc.php المملوكةِ للوحدة 76 بمنحٍ كاملةٍ للدور 16 وبلا أيِّ صفِّ role_permissions للدور 25 — فصفُّ «المخازن وأنواعها» في سايدبار أمين المستودع محجوبٌ بالصلاحية.</t>
  </si>
  <si>
    <t xml:space="preserve">INJ-0355</t>
  </si>
  <si>
    <t xml:space="preserve">١٩-٤ · مخاطر المخازن · حوكمة إدارة المخازن</t>
  </si>
  <si>
    <t xml:space="preserve">مخاطر المخازن / حوكمة إدارة المخازن</t>
  </si>
  <si>
    <t xml:space="preserve">جدولُ ١٩-٤ يسمّي شاشتين: «مخاطر المخازن» (`risk_dept_inv.php` · ٢٢ عمودًا · ٣ أفعال) و«حوكمة إدارة المخازن» (`gov_dept_inv.php` · ١٥ عمودًا · فعلان)</t>
  </si>
  <si>
    <t xml:space="preserve">الملفان غيرُ موجودين في المستودع؛ والرابطُ الوحيدُ ذو الصلة «مساحة مخاطر الإدارة» في مجموعة «خارج الوثيقة — بانتظار قرار المالك» يفتح Risk/dept_risk_space.php بعنوانٍ عامٍّ وبلا نطاقِ المخازن</t>
  </si>
  <si>
    <t xml:space="preserve">شاشتان من إحدى عشرةَ (١٨٪) غيرُ منفَّذتين؛ ومخاطرُ المخزون (التقادم · الفروقات · المتفجرات بالعهدة المزدوجة) بلا سجلٍّ مقروءٍ بعنوان الإدارة</t>
  </si>
  <si>
    <t xml:space="preserve">مكوّنُ المخاطر بُني عامًّا بلا معاملِ نطاقٍ وعنوان، وشاشةُ الحوكمة النطاقيةُ لم تُبنَ</t>
  </si>
  <si>
    <t xml:space="preserve">Risk/; Governance/; database/schema/seed_reference.sql (nav_items للدور 25 · مجموعة stage_no=99)</t>
  </si>
  <si>
    <t xml:space="preserve">١) ابحث عن risk_dept_inv.php و gov_dept_inv.php: صفرُ نتيجة.
٢) ادخل بدور أمين المستودع: الرابطُ الوحيدُ «مساحة مخاطر الإدارة» في مجموعة «خارج الوثيقة».</t>
  </si>
  <si>
    <t xml:space="preserve">مرِّر معاملَ نطاقٍ dept=inv إلى Risk/dept_risk_space.php وسمِّ الرابطَ «مخاطر المخازن»، وأنشئ Governance/gov_dept_inv.php على نمط Finance/gov_dept_fin.php بأبواب GOV-0358…GOV-0369</t>
  </si>
  <si>
    <t xml:space="preserve">سايدبار المخازن يعرض «مخاطر المخازن» و«حوكمة إدارة المخازن» بنطاق الإدارة وعنوانها.</t>
  </si>
  <si>
    <t xml:space="preserve">لا ملفَّ risk_dept_inv.php ولا gov_dept_inv.php في المستودع، والرابطُ الوحيدُ ذو الصلة للدور 25 هو «مساحة مخاطر الإدارة» → Risk/dept_risk_space.php داخل مجموعة «خارج الوثيقة».</t>
  </si>
  <si>
    <t xml:space="preserve">INJ-0356</t>
  </si>
  <si>
    <t xml:space="preserve">١٩-٤ · «استهلاك المعدة ومعدله» (`consumption_rate.php`)</t>
  </si>
  <si>
    <t xml:space="preserve">استهلاك المعدة ومعدله</t>
  </si>
  <si>
    <t xml:space="preserve">http://localhost/ems/Procurement/consumption_rate.php</t>
  </si>
  <si>
    <t xml:space="preserve">«استهلاك المعدة ومعدله | `consumption_rate.php` | ٢٥ عمودًا | فعلٌ واحد | ٤ إدارات» — والبيانُ يُقرأ من مصدره لا يُعاد إدخالُه</t>
  </si>
  <si>
    <t xml:space="preserve">الشاشةُ من شاشات CMP-03 المولَّدة: نموذجٌ مسطَّحٌ بخمسةٍ وعشرين حقلًا نصيًّا حرًّا يُدخلها المستخدمُ يدويًّا ويُدرجها cmp03_store_insert في جدولِ شاشةٍ بأعمدةِ varchar(300) — بينما بياناتُ الاستهلاك الحقيقيةُ محسوبةٌ فعلًا في App\Services\Procurement\ProcReorderService::consumption من حركات proc_stock_move؛ وحارسُ الشاشةِ الوحيدُ فحصُ وجودِ شركةٍ للمستخدم</t>
  </si>
  <si>
    <t xml:space="preserve">مؤشرُ استهلاكِ المعدة يُكتب بيدٍ بدل أن يُحسب من الحركات: رقمٌ لا مصدرَ له يُعرض لأربع إداراتٍ ويُبنى عليه حدُّ إعادة الطلب — وهو ما يمنعه حكمُ «ولا يُنشر رقمٌ لم يُقَس»</t>
  </si>
  <si>
    <t xml:space="preserve">شاشةٌ مولَّدةٌ على المخزن العام لم تُربط بمحرّك الحساب الموجود في الخدمة</t>
  </si>
  <si>
    <t xml:space="preserve">Procurement/consumption_rate.php:28-30; :93; :132; app/Services/Procurement/ProcReorderService.php:42-53</t>
  </si>
  <si>
    <t xml:space="preserve">١) افتح «استهلاك المعدة ومعدله»: نموذجُ إدخالٍ يدويٌّ بخمسةٍ وعشرين حقلًا.
٢) استعلِم مصدرَ الأرقام: جدولُ شاشةٍ بأعمدةٍ نصية لا حركاتُ المخزون.
٣) قارِن بـProcReorderService::consumption التي تحسب المعدلَ فعلًا.</t>
  </si>
  <si>
    <t xml:space="preserve">أعِد بناءَ Procurement/consumption_rate.php منظرًا محسوبًا من App\Services\Procurement\ProcReorderService::consumption على proc_stock_move مصفّى بالمعدة والفترة، واحذف نموذجَ الإدخال اليدوي، وأضِف حارسَ proc_page_perms</t>
  </si>
  <si>
    <t xml:space="preserve">الشاشةُ تعرض معدلَ الاستهلاك محسوبًا من الحركات لكل معدةٍ وفترة، ولا يوجد فيها حقلُ إدخالٍ يدويٍّ للمعدل.</t>
  </si>
  <si>
    <t xml:space="preserve">consumption_rate.php نموذجُ CMP-03 يدويٌّ يكتب عبر cmp03_store_insert (سطر 93) في جدولِ شاشةٍ varchar، بينما ProcReorderService::consumption (سطر 42-53) يحسب الاستهلاكَ حيًّا من proc_stock_move — أي بيانٌ يُعاد إدخالُه ومصدرُه قائم.</t>
  </si>
  <si>
    <t xml:space="preserve">INJ-0357</t>
  </si>
  <si>
    <t xml:space="preserve">١٩-٣ المرحلة ٢ · «حركة إدخال | المعتمِد: أمين المخزن»</t>
  </si>
  <si>
    <t xml:space="preserve">أرصدة المخزون بحالاتها</t>
  </si>
  <si>
    <t xml:space="preserve">«ثانيًا: الإدخال والرصيد | حركة إدخال | المعتمِد: أمين المخزن | ٢ شاشة» — و«أرصدة المخزون بحالاتها» ٢٩ عمودًا و٣ أفعال</t>
  </si>
  <si>
    <t xml:space="preserve">شاشةُ الأرصدة قائمةُ عرضٍ محسوبةٍ بلا أيِّ فعلٍ من الأفعال الثلاثة المنصوص عليها؛ والشاشةُ الثانيةُ في المرحلة هي «التحويل بين المخازن» لا شاشةَ «حركة إدخال» — فمستندُ المرحلة (حركةُ الإدخال) لا شاشةَ له: الإدخالُ يقع ضمنيًّا داخل شاشة الاستلام/العهدة بلا فعلٍ معلَنٍ ولا اعتماد</t>
  </si>
  <si>
    <t xml:space="preserve">المرحلةُ الثانيةُ بلا مستندٍ ولا معتمِد: لا يوجد في النظام فعلٌ صريحٌ اسمُه «إدخال إلى المخزن» يُعتمد ويُسجَّل — فيصعب فصلُ الاستلامِ المؤقتِ عن الإدخال الفعليِّ في الرصيد</t>
  </si>
  <si>
    <t xml:space="preserve">نُفِّذ الإدخالُ أثرًا جانبيًّا لحفظِ العهدة/الاستلام بدل مستندٍ مستقل</t>
  </si>
  <si>
    <t xml:space="preserve">Procurement/stock_proc.php:26; Procurement/wh_receipt.php:40; Procurement/receipt_custody_proc.php:28; database/schema/seed_reference.sql:3399</t>
  </si>
  <si>
    <t xml:space="preserve">١) افتح «أرصدة المخزون بحالاتها»: عرضٌ فقط بلا أزرارِ أفعال.
٢) ابحث عن شاشةٍ أو فعلٍ اسمُه «إدخال»: لا يوجد.
٣) قارِن بجدول §١٩-٣ المرحلة ٢.</t>
  </si>
  <si>
    <t xml:space="preserve">أضِف فعلَ «إدخال إلى المخزن» في Procurement/wh_receipt.php ينقل العهدةَ المستلَمةَ إلى حركةِ استلامٍ في proc_stock_move بمرجعِ العهدة وباعتمادِ أمين المخزن وبتسجيلٍ في سجل التدقيق، وأضِف الأفعالَ الثلاثةَ المنصوصةَ إلى شاشة الأرصدة (تسوية · تجميد · نقل)</t>
  </si>
  <si>
    <t xml:space="preserve">الاستلامُ المؤقتُ يتحول إلى رصيدٍ بفعلِ إدخالٍ صريحٍ معتمَدٍ مسجَّل، ولا يتغير الرصيدُ بأثرٍ جانبيٍّ لحفظِ نموذج.</t>
  </si>
  <si>
    <t xml:space="preserve">‏stock_proc.php بصفر معالجِ POST بينما الوثيقة frd_readable.md:1567 تعلن ثلاثةَ أفعالٍ و29 عمودًا؛ والشاشةُ الثانيةُ في المرحلة الثانية بسايدبار الدور 25 هي «التحويل بين المخازن» لا شاشةَ حركةِ إدخال (frd_readable.md:1551).</t>
  </si>
  <si>
    <t xml:space="preserve">INJ-0358</t>
  </si>
  <si>
    <t xml:space="preserve">§٤-٢ · المنطقة ② لوحةُ إدارتي</t>
  </si>
  <si>
    <t xml:space="preserve">لوحة أمين المستودع</t>
  </si>
  <si>
    <t xml:space="preserve">http://localhost/ems/Procurement/warehouse_board.php</t>
  </si>
  <si>
    <t xml:space="preserve">«② لوحةُ إدارتي — لوحةُ المؤشرات … حالةُ الإدارةِ قبل تفصيلها» ثابتةُ الموضع</t>
  </si>
  <si>
    <t xml:space="preserve">Procurement/warehouse_board.php مبنيةٌ ومحروسةٌ وتعرض الأصنافَ تحت الحد واستلاماتِ وصرفياتِ اليوم، والدورُ ٢٥ يملك can_view على الموديول ١٩٩ — لكن صفَّ nav_items (id=784) بـactive=0 فلا تظهر؛ ومجموعةُ «لوحة الإدارة» لدور المستودع تحوي أربعةَ روابطَ شخصيةٍ فقط (الرئيسية · المراسلات · مهامي · المراسلات)</t>
  </si>
  <si>
    <t xml:space="preserve">أمينُ المستودعِ يفتح النظامَ على قائمةٍ شخصيةٍ فيها المراسلاتُ مكررةً وبلا أيِّ مؤشرِ نقصٍ أو حركةٍ يومية، ولوحةٌ مبنيةٌ معطَّلةٌ بلا سبب</t>
  </si>
  <si>
    <t xml:space="preserve">nav_items.active=0 لم يُعَد تفعيلُه بعد إعادة توليد سايدبار المراحل</t>
  </si>
  <si>
    <t xml:space="preserve">database/schema/seed_reference.sql:3904</t>
  </si>
  <si>
    <t xml:space="preserve">١) ادخل بدور «أمين المستودع».
٢) افتح مجموعة «لوحة الإدارة»: أربعةُ روابطَ شخصيةٍ لا غير.
٣) افتح http://localhost/ems/Procurement/warehouse_board.php يدويًّا: تعمل.</t>
  </si>
  <si>
    <t xml:space="preserve">فعِّل صفَّ nav_items id=784 وأسنِده إلى مجموعة «لوحة الإدارة» للدور ٢٥ بترتيبٍ أولٍ بعد الرئيسية، وسمِّه «لوحة المخازن» بدل «لوحة الإدارة»</t>
  </si>
  <si>
    <t xml:space="preserve">أولُ رابطٍ إداريٍّ في سايدبار الدور ٢٥ هو «لوحة المخازن» ويفتح warehouse_board.php.</t>
  </si>
  <si>
    <t xml:space="preserve">صفُّ nav id=784 بـactive=0 مطابقٌ للسطر 3904، والدورُ 25 يملك can_view على المودول 199، ومجموعةُ لوحةِ الإدارة لديه لا تحوي إلا روابطَ شخصية.</t>
  </si>
  <si>
    <t xml:space="preserve">INJ-0359</t>
  </si>
  <si>
    <t xml:space="preserve">§٤-٥ القاعدة ٩ · «① مساحةُ عملي ثابتةٌ حرفيًّا — نفسُ الترتيبِ والأسماءِ بين كل الإدارات»</t>
  </si>
  <si>
    <t xml:space="preserve">مساحة عملي (عناصر الدور ٢٥)</t>
  </si>
  <si>
    <t xml:space="preserve">«① مساحةُ عملي: ◆ ثابتةٌ حرفيًّا — نفسُ الترتيبِ والأسماءِ والأيقونات بين كل الإدارات · محتواها: مهامي · طلباتي · موافقاتي · بلاغاتي · إنجازي · التنبيهات»</t>
  </si>
  <si>
    <t xml:space="preserve">دورُ «أمين المستودع» أفقرُ الأدوارِ في المنطقة ①: ثلاثةُ صفوفِ nav_items فعّالةٍ لـ«إنجازي» و«بوابتي» و«طلباتي» محجوبةٌ كلُّها لغياب can_view على الموديولات ١٨٨ و١٨٧ و١١٥ — فلا يبقى إلا «مهامي» و«المراسلات» (مكررة)، مقابل خمسةِ عناصرَ للأدوار ١ و٦ و١٦ و٢٣</t>
  </si>
  <si>
    <t xml:space="preserve">المنطقةُ الثابتةُ حرفيًّا مختلفةٌ اختلافًا حادًّا بين الإدارات: أمينُ المستودعِ لا يرى طلباتِه ولا إنجازَه ولا بوابتَه — ولا يُعرض له سببُ الغياب</t>
  </si>
  <si>
    <t xml:space="preserve">بذرةُ الصلاحياتِ للدور ٢٥ لم تشمل موديولات مساحة عملي رغم بذرِ صفوف التنقل</t>
  </si>
  <si>
    <t xml:space="preserve">database/schema/seed_reference.sql:4273; database/schema/seed_reference.sql:4274; database/schema/seed_reference.sql:4275; includes/unified_nav.php:65</t>
  </si>
  <si>
    <t xml:space="preserve">١) ادخل بدور «أمين المستودع».
٢) عُدَّ روابطَ مجموعة «لوحة الإدارة»: أربعة.
٣) قارِن بدور المشتريات: سبعة.</t>
  </si>
  <si>
    <t xml:space="preserve">أضِف صفوفَ role_permissions للدور ٢٥ على الموديولات ١٨٧ و١٨٨ و١١٥ و١٩٢ بـcan_view=1، وولِّد المنطقةَ ① من مكوّنٍ واحدٍ في includes/unified_nav.php لا من صفوفٍ لكل دور</t>
  </si>
  <si>
    <t xml:space="preserve">سايدبار الدور ٢٥ يعرض المنطقةَ ① بالعناصر الستة نفسِها وبالترتيب نفسِه المعروض لبقية الأدوار.</t>
  </si>
  <si>
    <t xml:space="preserve">الأسطرُ 4273-4275 مطابقةٌ حرفيًّا، وصفرُ صفِّ role_permissions للدور 25 على الموديولات 187 و188 و115 و192 — فتُسقط الثلاثةُ ولا يبقى في المنطقة ① إلا «مهامي» و«المراسلات».</t>
  </si>
  <si>
    <t xml:space="preserve">INJ-0360</t>
  </si>
  <si>
    <t xml:space="preserve">§٣ قواعدُ الجداولِ والأعمدة · «لا عمودَ بلا مصدر» · CM-08</t>
  </si>
  <si>
    <t xml:space="preserve">التحويل بين المخازن · الجرد ومعالجة الفروقات · المرتجعات</t>
  </si>
  <si>
    <t xml:space="preserve">الشاشةُ الطويلةُ تحتاج مناظرَ وزرَّ «إظهار كل الأعمدة» إلزامًا؛ ولكل عمودٍ مصدرٌ؛ وللجدولِ بحثٌ وفرزٌ وترقيم</t>
  </si>
  <si>
    <t xml:space="preserve">الجداولُ الثلاثةُ تحمل data-no-dt (لا بحثَ ولا فرزَ ولا ترقيم)؛ وجدولُ التحويل يعلن ٦ أعمدةِ بياناتٍ + ١٢ عمودًا وظيفيًّا + ١٤ عمودَ حوكمةٍ = ٣٢ رأسًا مقابل ٦ خلايا لكل صف؛ وقائمةُ آخر التحويلات محدودةٌ بـLIMIT 20 صلبٍ بلا ترقيمٍ ولا فلترٍ ولا تاريخ</t>
  </si>
  <si>
    <t xml:space="preserve">أمينُ المستودعِ لا يستطيع البحثَ عن حركةٍ ولا فرزَها ولا رؤيةَ ما قبل العشرين الأخيرة؛ وأعمدةُ الحوكمةِ (مفتاح منع التكرار · معكوس بـ · عكس عن · درجة الأثر) تظهر فارغةً فتوهم بامتثالٍ غير قائم</t>
  </si>
  <si>
    <t xml:space="preserve">حُقنت رؤوسُ CMP-03 قبل ربط المصادر واستُثنيت الجداولُ من مُهيِّئ DataTables</t>
  </si>
  <si>
    <t xml:space="preserve">Procurement/wh_transfer.php:52; :85; Procurement/wh_count.php:75; Procurement/wh_returns.php:79</t>
  </si>
  <si>
    <t xml:space="preserve">١) افتح «التحويل بين المخازن».
٢) لا صندوقَ بحثٍ ولا فرزَ ولا ترقيم.
٣) نفّذ ٢٥ تحويلًا: لا تظهر إلا آخر ٢٠.</t>
  </si>
  <si>
    <t xml:space="preserve">أزِل data-no-dt من الملفات الثلاثة واربِط الأعمدةَ بمصادرها من proc_stock_move، وأضِف زرَّ colvis بنصِّ «إظهار كل الأعمدة»، وبدِّل LIMIT 20 في Procurement/wh_transfer.php:52 بترقيمٍ خادميٍّ وفلترِ فترة</t>
  </si>
  <si>
    <t xml:space="preserve">فريق الواجهات — وحدة المخازن</t>
  </si>
  <si>
    <t xml:space="preserve">جداولُ الشاشات الثلاث قابلةٌ للبحث والفرز والترقيم، ولكل رأسِ عمودٍ خليةٌ بقيمةٍ من الخادم، ويظهر زرُّ «إظهار كل الأعمدة».</t>
  </si>
  <si>
    <t xml:space="preserve">الجداولُ الثلاثةُ تحمل data-no-dt (wh_transfer:85 · wh_count:75 · wh_returns:79) وقائمةُ التحويلات محدودةٌ بـLIMIT 20 صلبٍ (السطر 52)، ومع 12 عمودًا وظيفيًّا و14 حوكميًّا بلا خلايا من الخادم.</t>
  </si>
  <si>
    <t xml:space="preserve">INJ-0361</t>
  </si>
  <si>
    <t xml:space="preserve">§٧ معاييرُ القبولِ البصري · رأسُ العمودِ يصف محتواه</t>
  </si>
  <si>
    <t xml:space="preserve">رأسُ العمودِ يصف محتواه؛ ولا مبلغ بلا عملة؛ والأعمدةُ الحاكمةُ تحمل معناها</t>
  </si>
  <si>
    <t xml:space="preserve">ثلاثةُ رؤوسٍ لا تطابق محتواها في جدول «آخرُ التحويلات»: الرأسُ «رقم الصنف» والخليةُ تعرض اسمَ الصنف؛ الرأسُ «من مخزن» والخليةُ تعرض مخزنَ الحركة (وهو مخزنُ الوجهةِ في صفِّ «تحويل وارد»)؛ والرأسُ «مرجع التفويض» والخليةُ تعرض مرجعَ التحويل TRF-…؛ كما يظهر التحويلُ الواحدُ صفَّين متتاليين بلا تجميعٍ ولا بيانِ أنهما وجهان لحركةٍ واحدة</t>
  </si>
  <si>
    <t xml:space="preserve">قارئُ الجدولِ يقرأ مخزنَ الوجهةِ على أنه مخزنُ المصدر، ويقرأ مرجعَ التحويلِ على أنه مرجعُ تفويضٍ حوكمي — أخطاءُ قراءةٍ تقود إلى قراراتِ جردٍ خاطئة</t>
  </si>
  <si>
    <t xml:space="preserve">رؤوسٌ نُسخت من نموذج المستند بلا مطابقةٍ للاستعلام الفعلي، واستعلامٌ يعرض حركتَي التحويل صفَّين مستقلَّين</t>
  </si>
  <si>
    <t xml:space="preserve">Procurement/wh_transfer.php:50-53; :86; :118; :119; :122</t>
  </si>
  <si>
    <t xml:space="preserve">١) نفّذ تحويلًا من مخزن أ إلى ب.
٢) انظر «آخرُ التحويلات»: صفّان، وفي صفِّ «تحويل وارد» يظهر المخزنُ ب تحت رأس «من مخزن».</t>
  </si>
  <si>
    <t xml:space="preserve">أعِد بناءَ الاستعلام في Procurement/wh_transfer.php:50 ليجمع الحركتين بمرجعٍ واحدٍ في صفٍّ واحد بأعمدة (من مخزن · إلى مخزن · الكمية · المرجع · المُنفِّذ)، وصحِّح رؤوسَ الأعمدة لتطابق المحتوى</t>
  </si>
  <si>
    <t xml:space="preserve">كلُّ تحويلٍ يظهر صفًّا واحدًا يبيّن المصدرَ والوجهةَ صراحةً، وكلُّ رأسِ عمودٍ يطابق قيمةَ خليته.</t>
  </si>
  <si>
    <t xml:space="preserve">الاستعلامُ (:50-52) يعيد `i.name` و`w.name` و`m.note` بينما الرؤوسُ «رقم الصنف» و«من مخزن» و«مرجع التفويض» — عدمُ مطابقةٍ ثلاثيةٌ مؤكَّدة، وكلُّ تحويلٍ صفّان بلا تجميع.</t>
  </si>
  <si>
    <t xml:space="preserve">INJ-0362</t>
  </si>
  <si>
    <t xml:space="preserve">شاشات المخازن الإحدى عشرة مقابل تسعٍ موجودة</t>
  </si>
  <si>
    <t xml:space="preserve">«الشاشات `11 شاشة` · الأفعال `16 فعلًا` · الأعمدة `283`» في §١٩ — ولكل شاشةٍ رمزٌ ومالكٌ ومرحلةٌ في نظام الشاشات</t>
  </si>
  <si>
    <t xml:space="preserve">من إحدى عشرةَ شاشةً منصوصةٍ: تسعٌ موجودةٌ بأسماءِ ملفاتٍ مختلفةٍ عن الوثيقة وتحت نطاقِ المشتريات (items.php→items_proc.php · stock.php→stock_proc.php · issue.php→issue_proc.php · custody.php→receipt_custody_proc.php · warehouses.php→مدمجةٌ في master_data_proc.php)، واثنتان غيرُ موجودتين (risk_dept_inv · gov_dept_inv)، وواحدةٌ موجودةٌ لكنها معطَّلةُ التنقل (wh_returns)، وشاشةٌ زائدةٌ غيرُ موثقةٍ (warehouse_board)</t>
  </si>
  <si>
    <t xml:space="preserve">مقامُ قياسِ التبنّي للمخازن غيرُ قابلٍ للحساب (١١ معلَنةً · ٩ موجودةً · واحدةٌ مدمجةٌ · واحدةٌ معطَّلةٌ · واحدةٌ زائدة)، وهو عينُ العيبِ المقياسيِّ MD-01 المفتوح</t>
  </si>
  <si>
    <t xml:space="preserve">بُنيت الشاشاتُ بأسماءَ تقنيةٍ داخل نطاقِ المشتريات ولم تُنشأ خريطةُ مرادفاتٍ ولا سُجِّلت في نظام الشاشات (خرقُ PR-11 و DEC-A)</t>
  </si>
  <si>
    <t xml:space="preserve">Procurement/items_proc.php:1; Procurement/stock_proc.php:1; Procurement/issue_proc.php:1; Procurement/receipt_custody_proc.php:1; Procurement/warehouse_board.php:1; Procurement/wh_returns.php:1</t>
  </si>
  <si>
    <t xml:space="preserve">١) قارِن جدول §١٩-٤ بمحتوى Procurement/.
٢) ابحث عن items.php و stock.php و issue.php و custody.php و warehouses.php: صفرُ نتيجة بالأسماء الموثقة.</t>
  </si>
  <si>
    <t xml:space="preserve">أنشئ خريطةَ مرادفاتٍ رسميةً في NAV-09 لكل شاشةٍ من التسع، وسجِّل warehouse_board.php وأنشئ الشاشتين الناقصتين وفعِّل wh_returns، ثم أعِد حسابَ مقام التبنّي وابصِمه</t>
  </si>
  <si>
    <t xml:space="preserve">فاحصُ المطابقة يربط كلَّ شاشةٍ في §١٩-٤ بملفٍ حيٍّ عبر خريطة المرادفات، ويعيد صفرَ شاشةٍ موثقةٍ بلا ملفٍ وصفرَ ملفٍ بلا تسجيل.</t>
  </si>
  <si>
    <t xml:space="preserve">أسماءُ التسعِ الموجودةِ تخالف رموزَ §١٩-٤، وrisk_dept_inv وgov_dept_inv غيرُ موجودتين على القرص، وwh_returns بلا منفذِ تنقّلٍ فعّال — فجوةُ تسجيلٍ ومطابقة.</t>
  </si>
  <si>
    <t xml:space="preserve">INJ-0363</t>
  </si>
  <si>
    <t xml:space="preserve">الشاشاتُ الثلاثُ التي تمسُّ الرصيدَ مباشرةً (wh_transfer · wh_count · wh_returns) لا تستدعي ems_audit_change ولا log_security_event على أيِّ مسار؛ الأثرُ الوحيدُ عمودُ created_by في proc_stock_move، ولا قيمةَ «قبل» في أيِّ مكان</t>
  </si>
  <si>
    <t xml:space="preserve">ثلاثُ أفعالٍ تغيّر رصيدَ المخزون وقيمتَه بلا أثرٍ تدقيقيٍّ قابلٍ للمراجعة — لا يمكن إثباتُ من عدّل رصيدًا ولا قيمتُه السابقة، وهو شرطٌ في أيِّ مراجعةِ مخزونٍ خارجية</t>
  </si>
  <si>
    <t xml:space="preserve">مكتبةُ سجل التدقيق مستعملةٌ في شاشةٍ واحدةٍ في المجلد ولم تُعمَّم على الأفعال المؤثرة في الرصيد</t>
  </si>
  <si>
    <t xml:space="preserve">Procurement/wh_transfer.php:34; :36; Procurement/wh_count.php:29; Procurement/wh_returns.php:31; includes/audit_trail.php:20</t>
  </si>
  <si>
    <t xml:space="preserve">١) نفّذ تحويلًا وتسويةً ومرتجعًا.
٢) ابحث في سجل التدقيق عن الأفعال الثلاثة: لا صف.
٣) grep على Procurement/wh_*.php عن ems_audit_change: صفرُ نتيجة.</t>
  </si>
  <si>
    <t xml:space="preserve">أضِف ems_audit_change($conn,'warehouse','proc_stock_move',&lt;الفعل&gt;,$move_id,array('balance'=&gt;$before),array('balance'=&gt;$after,'qty'=&gt;$qty,'reason'=&gt;$why),ctx) بعد كل إدراجٍ في الملفات الثلاثة، على نمط Procurement/requests_proc.php:158</t>
  </si>
  <si>
    <t xml:space="preserve">كلُّ حركةِ مخزونٍ يدويةٍ تُنتج صفًّا في سجل التدقيق يحمل الرصيدَ قبل وبعد والفاعلَ والزمن.</t>
  </si>
  <si>
    <t xml:space="preserve">الشاشاتُ الثلاثُ تكتب في proc_stock_move مباشرةً بلا نداءِ ems_audit_change ولا log_security_event على أيِّ مسار، والأثرُ الوحيدُ عمودُ created_by بلا قيمةِ «قبل».</t>
  </si>
  <si>
    <t xml:space="preserve">INJ-0364</t>
  </si>
  <si>
    <t xml:space="preserve">▐ ١٠ الحرّاس · «الحارسُ يفحص الشاشةَ المقصودةَ لا شاشةً أخرى»</t>
  </si>
  <si>
    <t xml:space="preserve">الاستلام المؤقت قبل الإدخال</t>
  </si>
  <si>
    <t xml:space="preserve">http://localhost/ems/Procurement/wh_receipt.php</t>
  </si>
  <si>
    <t xml:space="preserve">أولًا: الاستلام والفحص</t>
  </si>
  <si>
    <t xml:space="preserve">لكل شاشةٍ رمزُها في سجل الشاشات، والحارسُ يقرأ صلاحيةَ الشاشةِ نفسِها؛ ولا يُمنح وصولٌ بالتبعية</t>
  </si>
  <si>
    <t xml:space="preserve">الشاشةُ مسجَّلةٌ في modules برمزها الخاصِّ (الموديول ٣٠٠ Procurement/wh_receipt.php) لكن حارسَها يقرأ صلاحيةَ شاشةٍ أخرى: proc_page_perms($conn,'Procurement/receipt_custody_proc.php') أي الموديول ٧١</t>
  </si>
  <si>
    <t xml:space="preserve">سحبُ الوصول عن «الاستلام المؤقت قبل الإدخال» لا يمنع فتحَها ما دام المستخدمُ يملك «العهدة»؛ ومصفوفةُ الصلاحياتِ الظاهرةُ في التقارير لا تطابق السلوكَ الفعلي فتُضلِّل مراجعةَ الوصول الدورية</t>
  </si>
  <si>
    <t xml:space="preserve">نسخُ نمطِ الحارسِ من الشاشة الشقيقةِ بلا تبديل رمز الشاشة</t>
  </si>
  <si>
    <t xml:space="preserve">Procurement/wh_receipt.php:31; database/schema/seed_reference.sql:348; database/schema/seed_reference.sql:1967; database/schema/seed_reference.sql:1968; database/schema/seed_reference.sql:123; database/schema/seed_reference.sql:761; database/schema/seed_reference.sql:1399; movement/movement_operations.php:31</t>
  </si>
  <si>
    <t xml:space="preserve">١) اسحب can_view عن الموديول ٣٠٠ لدور أمين المستودع وأبقِ ٧١.
٢) افتح Procurement/wh_receipt.php: تفتح رغم سحب صلاحيتها.</t>
  </si>
  <si>
    <t xml:space="preserve">بدِّل السطر ٣١ في Procurement/wh_receipt.php إلى proc_page_perms($conn,'Procurement/wh_receipt.php',$is_super_admin)، وأضِف فحصًا آليًّا في خط التسليم يقارن رمزَ الشاشة المستعملَ في الحارس بمسار الملف</t>
  </si>
  <si>
    <t xml:space="preserve">سحبُ can_view عن الموديول ٣٠٠ يمنع فتحَ الشاشة بغضِّ النظر عن الموديول ٧١.</t>
  </si>
  <si>
    <t xml:space="preserve">السطر 31 يستدعي proc_page_perms($conn,'Procurement/receipt_custody_proc.php') بينما الشاشةُ مسجَّلةٌ بموديولها الخاص 300 — فالحارسُ يقرأ صلاحيةَ شاشةٍ أخرى.</t>
  </si>
  <si>
    <t xml:space="preserve">INJ-0365</t>
  </si>
  <si>
    <t xml:space="preserve">لكل فعلِ كتابةٍ رمزُ صلاحيةٍ يُفحص في الخادم</t>
  </si>
  <si>
    <t xml:space="preserve">الشاشةُ ضمن الاثنتين والثلاثين شاشةَ CMP-03 التي لم تحصل على الحارس: بوابتُها الوحيدةُ if (!$is_super_admin &amp;&amp; $company_id &lt;= 0) ثم cmp03_store_insert مباشرةً — رغم أن الموديول ٢٩٧ مقصورٌ في مصفوفة الصلاحيات على دور أمين المستودع</t>
  </si>
  <si>
    <t xml:space="preserve">أيُّ مستخدمٍ مسجَّلٍ له شركةٌ يستطيع كتابةَ صفوفِ استهلاكٍ تُعرض لأربع إداراتٍ ويُبنى عليها حدُّ إعادة الطلب</t>
  </si>
  <si>
    <t xml:space="preserve">موجةُ إضافةِ الحرّاس شملت عشرَ شاشاتِ CMP-03 وتخطّت هذه</t>
  </si>
  <si>
    <t xml:space="preserve">Procurement/consumption_rate.php:84; Procurement/consumption_rate.php:93; database/schema/seed_reference.sql:345; Governance/access_review.php:34</t>
  </si>
  <si>
    <t xml:space="preserve">١) ادخل بحسابٍ من إدارةٍ أخرى.
٢) افتح Procurement/consumption_rate.php وأرسِل النموذج.
٣) يُدرج الصفُّ بنجاح.</t>
  </si>
  <si>
    <t xml:space="preserve">أضِف في رأس Procurement/consumption_rate.php: $perms=proc_page_perms($conn,'Procurement/consumption_rate.php',$is_super); ورفضًا عند !can_view، وقبل معالج POST رفضًا عند !can_add — على نمط Governance/access_review.php:34,41</t>
  </si>
  <si>
    <t xml:space="preserve">إرسالُ النموذجِ من حسابٍ بلا can_add على الموديول ٢٩٧ يعيد ٤٠٣ ولا يُدرج صفًّا.</t>
  </si>
  <si>
    <t xml:space="preserve">المعالجُ (سطر 84) يستدعي cmp03_store_insert (سطر 93) وبوابتُه الوحيدةُ company_id&gt;0، وهو يسبق include insidebar. أخفضتُ الخطورةَ لأن الكتابةَ تقع في جدولِ عرضٍ (scr_*) لا يقرؤه اليومَ حسابُ حدِّ إعادة الطلب، والعرضُ محروسٌ مركزيًّا بالموديول 297.</t>
  </si>
  <si>
    <t xml:space="preserve">INJ-0366</t>
  </si>
  <si>
    <t xml:space="preserve">أرصدة المخزون بحالاتها · صرف مواد من المخزن · كتالوج الأصناف</t>
  </si>
  <si>
    <t xml:space="preserve">شاشاتُ المخازن ذاتُ DataTables تعرض أزرارَ «نسخ / Excel / طباعة» تعمل في المتصفح على البيانات المصيَّرة بلا مرورٍ بـexcel.php ولا بـExcelService::authorize ولا بأيِّ سجل؛ والشاشاتُ الثلاثُ الأخرى (wh_transfer · wh_count · wh_returns) بلا أيِّ تصديرٍ إطلاقًا</t>
  </si>
  <si>
    <t xml:space="preserve">أرصدةُ المخزونِ وقيمُه وسنداتُ الصرفِ تُصدَّر من أيِّ حسابٍ له حقُّ العرضِ بلا صلاحيةٍ وبلا أثر؛ وفي المقابل لا يمكن تصديرُ حركاتِ الجردِ والتحويلِ أصلًا لأغراض المراجعة</t>
  </si>
  <si>
    <t xml:space="preserve">اعتمادُ تصديرِ العميلِ في بعض الشاشات وغيابُه في أخرى، بلا مسارٍ خادميٍّ موحَّدٍ ولا سجل</t>
  </si>
  <si>
    <t xml:space="preserve">Procurement/issue_proc.php:507; Procurement/items_proc.php:329; Procurement/wh_transfer.php:85; app/Services/Excel/ExcelService.php:63; app/Services/Risk/RiskService.php:975</t>
  </si>
  <si>
    <t xml:space="preserve">١) ادخل بحسابٍ له can_view على الصرف واضغط «📊 Excel»: يُنزَّل الملف.
٢) ابحث عن أثرِ تصدير: لا جدولَ ولا صف.
٣) افتح «الجرد ومعالجة الفروقات»: لا زرَّ تصديرٍ إطلاقًا.</t>
  </si>
  <si>
    <t xml:space="preserve">وحِّد التصديرَ عبر excel.php بكياناتٍ مسجَّلةٍ لجداول المخازن، وأضِف صلاحيةَ تصديرٍ مستقلةً وجدولَ export_log عامًّا بالبنود التسعة، وأضِف زرَّ تصديرٍ لشاشات الجرد والتحويل والمرتجعات</t>
  </si>
  <si>
    <t xml:space="preserve">كلُّ تصديرٍ من شاشات المخازن يمرُّ بصلاحيةٍ مخصَّصةٍ ويُنتج صفًّا في سجل التصدير، وشاشاتُ الجردِ والتحويلِ لها تصديرٌ محكوم.</t>
  </si>
  <si>
    <t xml:space="preserve">‏issue_proc.php:506-510 و items_proc.php:328-332 تعرّف أزرارَ copy/excel/print في المتصفح بلا مرورٍ بـexcel.php ولا ExcelService::authorize ولا سجل؛ و wh_transfer و wh_count و wh_returns بصفر ذكرٍ لتصدير. خُفّضت لأن المصدِّرَ يملك حقَّ العرض أصلًا فالخللُ في الفصل والتسجيل لا في التسريب.</t>
  </si>
  <si>
    <t xml:space="preserve">INJ-0367</t>
  </si>
  <si>
    <t xml:space="preserve">▐ ١٠-٢ ما تتأثر به من أفعالِ غيرها · `wh.define` WarehouseDefined</t>
  </si>
  <si>
    <t xml:space="preserve">المخازن وأنواعها (داخل البيانات المرجعية)</t>
  </si>
  <si>
    <t xml:space="preserve">«WarehouseDefined | ضوابطُ الاستلام والصرف والجرد والصلاحيات تُشتق من النوع — والمتفجراتُ بعهدةٍ مزدوجة»</t>
  </si>
  <si>
    <t xml:space="preserve">عمودُ proc_warehouse.type موجودٌ ويُدخل من الشاشة، لكن لا يقرؤه أيُّ حارسٍ ولا يشتق منه أيُّ ضابط: التحويلُ والصرفُ والجردُ تعمل بالمنطق نفسِه لكل الأنواع، ولا أثرَ لأيِّ «عهدةٍ مزدوجة» في الكود (لا فحصَ لتوقيعين ولا لدورين على أيِّ حركة)</t>
  </si>
  <si>
    <t xml:space="preserve">نوعُ المخزن حقلٌ وصفيٌّ لا ضابط: مخزنُ الموادِّ الخطرةِ يُصرف منه بنفسِ إجراءِ مخزنِ القرطاسية بلا عهدةٍ مزدوجةٍ ولا اعتمادٍ إضافي</t>
  </si>
  <si>
    <t xml:space="preserve">أُدخل النوعُ حقلَ بياناتٍ ولم يُبنَ عليه أيُّ اشتقاقِ ضوابط</t>
  </si>
  <si>
    <t xml:space="preserve">Procurement/master_data_proc.php:88; Procurement/master_data_proc.php:37; Procurement/issue_proc.php:116; Procurement/wh_transfer.php:18; database/schema/schema.sql:8233</t>
  </si>
  <si>
    <t xml:space="preserve">١) عرِّف مخزنًا من نوعٍ حسّاس.
٢) اصرِف منه: الإجراءُ نفسُه بلا اعتمادٍ إضافيٍّ ولا توقيعٍ ثانٍ.
٣) grep عن «عهدة مزدوجة» أو dual custody: صفرُ نتيجة.</t>
  </si>
  <si>
    <t xml:space="preserve">أضِف في Procurement/proc_helpers.php دالةَ wh_controls_for_type($type) تعيد ضوابطَ الاستلام والصرف والجرد (عددُ الموقّعين · اشتراطُ اعتمادٍ · دوريةُ الجرد)، واستدعِها في issue_proc.php و wh_transfer.php و wh_count.php قبل الكتابة، مع اشتراطِ موافقتين لأنواع المخازن الخطرة</t>
  </si>
  <si>
    <t xml:space="preserve">الصرفُ من مخزنٍ حسّاسٍ يتطلب اعتمادَ شخصين مختلفين ويُرفض بموافقةٍ واحدة، بينما مخزنٌ عاديٌّ يبقى بإجراءٍ واحد.</t>
  </si>
  <si>
    <t xml:space="preserve">`proc_warehouse.type` يُدخل من الشاشة (:88) ولا يقرؤه أيُّ حارسٍ في الصرف أو التحويل أو الجرد، ولا أثرَ لعهدةٍ مزدوجةٍ (صفرُ فحصٍ لتوقيعين) في أيِّ حركة.</t>
  </si>
  <si>
    <t xml:space="preserve">INJ-0368</t>
  </si>
  <si>
    <t xml:space="preserve">▐ ٥ الحقولُ الحساسة · TABLE 37 (القيمة · مركز التكلفة)</t>
  </si>
  <si>
    <t xml:space="preserve">صرف مواد من المخزن · أرصدة المخزون بحالاتها</t>
  </si>
  <si>
    <t xml:space="preserve">الحقولُ الحساسةُ (القيمة · مركزُ التكلفة) تُحجب في الخادم لمن لا منحَ له ويُسجَّل الاطّلاع؛ و GOVX-0994: لا يُرسَل المحجوبُ في الاستجابة أصلًا</t>
  </si>
  <si>
    <t xml:space="preserve">قيمةُ الصرفِ (total_cost) وتكلفةُ الوحدة تُصيَّر خامًّا لكل من يملك can_view، ورأسُ عمودٍ باسم «مركز التكلفة المحمَّل» موجودٌ في الجدول ويُترك فارغًا؛ ولا استدعاءَ لـSensitiveFieldGuard ولا لـems_log_sensitive_read في أيِّ شاشةِ مخازن</t>
  </si>
  <si>
    <t xml:space="preserve">تكلفةُ المخزونِ وقيمُ الصرفِ مكشوفةٌ لكل من يفتح الشاشة بلا حجبٍ ولا سجلِّ اطّلاع، ولا يمكن إثباتُ من اطّلع على تكلفةِ صنفٍ ومتى</t>
  </si>
  <si>
    <t xml:space="preserve">حارسُ الحقول الحساسة مبنيٌّ (SensitiveFieldGuard) بلا أيِّ مستدعٍ إنتاجيٍّ — إغلاقٌ عند L1 لا L3</t>
  </si>
  <si>
    <t xml:space="preserve">Procurement/issue_proc.php:420; :472; app/Services/Security/SensitiveFieldGuard.php:79; includes/sensitive_read_log.php:32</t>
  </si>
  <si>
    <t xml:space="preserve">١) ادخل بحسابٍ له can_view على الصرف فقط.
٢) افتح الشاشة: قيمُ التكلفة ظاهرةٌ كاملة.
٣) استعلِم sensitive_read_log: لا صف.</t>
  </si>
  <si>
    <t xml:space="preserve">استدعِ App\Services\Security\SensitiveFieldGuard في Procurement/issue_proc.php و stock_proc.php لإسقاطِ أعمدة القيمة والتكلفة من الصفوف قبل التصيير عند انعدام المنح، واستدعِ ems_log_sensitive_read عند عرضها للمخوَّلين، واملأ عمودَ «مركز التكلفة المحمَّل» من مشروع السند</t>
  </si>
  <si>
    <t xml:space="preserve">حسابٌ بلا منحٍ لا يتلقى قيمَ التكلفة في استجابة HTML أصلًا، وكلُّ اطّلاعٍ مخوَّلٍ يُنتج صفًّا في سجل الاطّلاع.</t>
  </si>
  <si>
    <t xml:space="preserve">تحقّقت: `total_cost` يُصيَّر خامًّا لكل من يملك can_view، ورأسُ «مركز التكلفة المحمَّل» موجودٌ بخلايا «—»، وصفرُ نداءٍ لـSensitiveFieldGuard أو ems_log_sensitive_read في شاشات المخازن (بينما تستعملهما شاشاتٌ أخرى مثل Employees/employee_card.php وexcel.php).</t>
  </si>
  <si>
    <t xml:space="preserve">INJ-0369</t>
  </si>
  <si>
    <t xml:space="preserve">§١٢ المتطلباتُ العامةُ الملزمة · ◆ قرارٌ حاكم ٤ «دورٌ لا تُفتح لوحتُه — والسببُ لا يُعرض»</t>
  </si>
  <si>
    <t xml:space="preserve">دور «إدارة الموقع (قديم — مدمج في 6)»</t>
  </si>
  <si>
    <t xml:space="preserve">«◆ وفحصٌ دوريٌّ ملزم: يفتح كلَّ دورٍ بحسابِه ويثبت أن لوحتَه تُفتح وسايدبارَه غيرُ فارغ — وأيُّ دورٍ يفشل عيبٌ حاجب» · والشاهد «صفرُ دورٍ يفشل»</t>
  </si>
  <si>
    <t xml:space="preserve">الدورُ 5 هو الوحيدُ بصفرِ روابطَ نشطةٍ في البذرة. — [مُصحَّح بعد التحقق] الصياغة الأولى: الدور ٥ «إدارة الموقع (قديم — مدمج في 6)» ما زال status=1 (فعّالًا) وله سبعةٌ وعشرون صفَّ nav_items كلُّها active=0 — فسايدبارُه فارغٌ تمامًا ولا يُعرض له سببٌ؛ وهو أحدُ ستةِ أدوارٍ من خمسةٍ وثلاثين ل</t>
  </si>
  <si>
    <t xml:space="preserve">دورٌ فعّالٌ في القاعدة يفتح بحسابٍ ولا يرى شيئًا ولا يُعرض له سببٌ — وهو حرفيًّا العيبُ الحاكمُ المرصودُ في CORE-01 وشرطُ قبولِه «صفرُ دورٍ يفشل»؛ ووجودُ دورَي موقعٍ متوازيين يفتح بابَ منحِ صلاحياتٍ للدور المهجور (كما وقع فعلًا للموديول ١٥٢)</t>
  </si>
  <si>
    <t xml:space="preserve">دُمج الدورُ ٥ في الدور ٦ بتعطيل صفوف التنقل بدل تعطيل الدور نفسِه وترحيل صلاحياته</t>
  </si>
  <si>
    <t xml:space="preserve">database/schema/seed_reference.sql:22; database/schema/seed_reference.sql:3594; database/schema/seed_reference.sql:3789; database/schema/seed_reference.sql:3836; database/schema/seed_reference.sql:204; database/schema/seed_reference.sql:1145; database/schema/seed_reference.sql:1146</t>
  </si>
  <si>
    <t xml:space="preserve">١) استعلِم roles id=5: status=1 والاسمُ يقول «قديم — مدمج في 6».
٢) استعلِم nav_items للدور ٥: ٢٧ صفًّا كلُّها active=0.
٣) ادخل بحسابٍ دورُه ٥: لوحةٌ بلا سايدبار وبلا رسالةِ سبب.</t>
  </si>
  <si>
    <t xml:space="preserve">اضبط roles.status=0 للدور ٥ ورحِّل صفوفَ role_permissions المتبقيةَ له (ومنها الموديول ١٥٢) إلى الدور ٦ بهجرةٍ معلنة، وأضِف إلى main/role_board.php رسالةَ سببٍ برمزٍ محكومٍ عند فراغ السايدبار بدل الشاشة الفارغة</t>
  </si>
  <si>
    <t xml:space="preserve">الفحصُ الدوريُّ للأدوار يعيد صفرَ دورٍ فعّالٍ بسايدبارٍ فارغ، وأيُّ دورٍ بلا وحدةٍ يعرض سببًا صريحًا برمزٍ محكوم.</t>
  </si>
  <si>
    <t xml:space="preserve">الدورُ 5 status=1 وله 27 صفَّ nav_items كلُّها active=0 فسايدبارُه فارغٌ بلا سببٍ معروض. لكن مسحًا للأدوار 1-32 يُظهر أنه الدورُ الوحيدُ بصفرِ عناصرَ نشطة لا «ستةٌ من خمسةٍ وثلاثين»، واسمُ الدور نفسُه يعلن أنه قديمٌ مدمج ⇒ P2.</t>
  </si>
  <si>
    <t xml:space="preserve">INJ-0370</t>
  </si>
  <si>
    <t xml:space="preserve">٢٠-١ · «◆ ما تملكه: … صفَّ الوحدة … إثباتَ الوصول» · ٢٠-٣ مستنداتُ المراحل</t>
  </si>
  <si>
    <t xml:space="preserve">سجل الوردية · الإنتاج والقياس · أذون دخول وخروج المعدات</t>
  </si>
  <si>
    <t xml:space="preserve">http://localhost/ems/Operations/site_gate_equip.php</t>
  </si>
  <si>
    <t xml:space="preserve">ثانيًا: أذون الدخول والخروج</t>
  </si>
  <si>
    <t xml:space="preserve">«لكل مرحلةٍ مستندٌ يُنتَج ومعتمِدٌ يشهد» — والمستنداتُ: جدولُ ورديات · إذنُ دخولٍ أو خروج · صف وحدة · سجل قياس · محضر اعتماد</t>
  </si>
  <si>
    <t xml:space="preserve">جداولُ نصيةٌ بلا مفاتيحَ أجنبيةٍ ومعتمِدٌ يُكتب باليد — مع أن تاريخَ الاعتماد DATE وأن مُنشئ الصف مختومٌ من الجلسة؛ وهو دَينٌ موثَّقٌ في تعليقات الشاشات. — [مُصحَّح بعد التحقق] الصياغة الأولى: مستنداتُ الموقعِ الستةُ تُخزَّن في جداولِ scr_* المولَّدةِ بأعمدةِ varchar(300) بلا استثناء: التواريخُ نصوصٌ (entry_date varchar) والمعداتُ نصوصٌ (code_equipment varchar) والمواقعُ نصوصٌ (site_name va</t>
  </si>
  <si>
    <t xml:space="preserve">مصدرُ حقيقةِ إدارة الموقعِ نصوصٌ حرةٌ غيرُ مرتبطة: لا يمكن ربطُ إذنِ دخولِ معدةٍ بأمرِ ترحيلها ولا صفِّ وحدةٍ بمشروعها ولا التحققُ من هويةِ المعتمِد — ومن يكتب الصفَّ يكتب اسمَ معتمِدِه، فالاعتمادُ غيرُ قابلٍ للإثبات</t>
  </si>
  <si>
    <t xml:space="preserve">مولِّدُ شاشات CMP-03 أنشأ لكل شاشةٍ جدولًا مسطَّحًا من سلاسلَ نصيةٍ يعكس تصميمَ المستندِ الورقيِّ بلا نمذجةِ علاقاتٍ ولا أنواعِ بيانات</t>
  </si>
  <si>
    <t xml:space="preserve">database/schema/schema.sql:10135-10166,10169-10180; includes/cmp03_local_store.php:41-42; Operations/site_gate_equip.php:80-95</t>
  </si>
  <si>
    <t xml:space="preserve">١) استعلِم SHOW CREATE TABLE scr_shift_log: كلُّ الأعمدة varchar(300) و approver_name نصٌّ حر.
٢) أنشئ سجلَّ ورديةٍ واكتب في «المعتمِد» أيَّ اسم: يُحفظ كما هو.
٣) حاوِل ربطَ إذنِ دخولِ معدةٍ بأمرِ ترحيلها: لا عمودَ ولا مفتاح.</t>
  </si>
  <si>
    <t xml:space="preserve">أضِف بهجرةٍ معلنةٍ أعمدةً معرَّفةً وأنواعًا صحيحةً إلى جداول scr_* الستة (project_id · site_id · equipment_id · employee_id مفاتيحَ أجنبيةً، وentry_date DATE، وapproved_by INT مشتقًّا من الجلسة لا من الإدخال)، وحدِّث includes/cmp03_local_store.php ليملأ approved_by من الجلسة ويرفض كتابةَ اسمِ معتمِدٍ يدويًّا</t>
  </si>
  <si>
    <t xml:space="preserve">إذنُ دخولِ معدةٍ يرتبط بمعدةٍ من سجل المعدات وبموقعٍ من سجل المواقع، وهويةُ المعتمِدِ تُشتق من الحساب المعتمِد ولا تُكتب يدويًّا.</t>
  </si>
  <si>
    <t xml:space="preserve">المخططُ كما وُصف: أعمدةُ scr_shift_log/scr_site_gate_equip كلُّها varchar(300) بلا مفاتيحَ أجنبية وapprover_name نصٌّ حر. لكن approved_date نوعُه DATE لا نص، وcreated_by/created_by_name يُملآن من الجلسة في cmp03_store_insert (includes/cmp03_local_store.php:41-42) فأثرُ المُنشئ محفوظ. وهو دَينُ الموجة ٢ المعلَنُ في رأس كلِّ شاشةٍ لا عيبٌ خفي.</t>
  </si>
  <si>
    <t xml:space="preserve">INJ-0371</t>
  </si>
  <si>
    <t xml:space="preserve">٢٠-٣ المرحلة ٣ «ثالثًا: تجهيز الموارد | تخصيصٌ ميداني | ٥ شاشة»</t>
  </si>
  <si>
    <t xml:space="preserve">سجل المشغّلين · جاهزية المعدات للتشغيل · وثائق المعدات والمشغّلين</t>
  </si>
  <si>
    <t xml:space="preserve">ثالثًا: تجهيز الموارد</t>
  </si>
  <si>
    <t xml:space="preserve">«ثالثًا: تجهيز الموارد | تخصيصٌ ميداني | المعتمِد: مدير الموقع | ٥ شاشة»</t>
  </si>
  <si>
    <t xml:space="preserve">المرحلةُ الثالثةُ تعرض شاشتين فقط (سجل المعدات · تكليف المشغّل على المعدة)؛ وثلاثةُ صفوفِ nav_items فعّالةٍ محجوبةٌ لغياب can_view للدور ٦ على الموديولات ٥٩ (سجل المشغّلين) و١٩٦ (جاهزية المعدات) و١٤١ (وثائق المعدات والمشغّلين) — والمجموعةُ «الجاهزية والوثائق» (link_groups.id=3279) تفرغ بالكامل فلا تُعرض</t>
  </si>
  <si>
    <t xml:space="preserve">مديرُ الموقعِ يجهّز موارده بلا رؤيةِ جاهزيةِ المعداتِ ولا وثائقِها ولا سجلِّ مشغّليها — فيُخصَّص للعمل ما ليس جاهزًا أو ما وثائقُه منتهية، وهو خطرٌ تشغيليٌّ وقانونيٌّ مباشر</t>
  </si>
  <si>
    <t xml:space="preserve">صفوفُ تنقلٍ فعّالةٌ بلا صفوفِ صلاحيةٍ مقابلةٍ للدور ٦، والمجموعةُ الفارغةُ لا تُعرض فيختفي نصفُ المرحلة بلا إشعار</t>
  </si>
  <si>
    <t xml:space="preserve">database/schema/seed_reference.sql:4053; database/schema/seed_reference.sql:4055; database/schema/seed_reference.sql:4056; database/schema/seed_reference.sql:2915; includes/unified_nav.php:65</t>
  </si>
  <si>
    <t xml:space="preserve">١) ادخل بدور إدارة الموقع.
٢) افتح «ثالثًا: تجهيز الموارد»: رابطان.
٣) قارِن بجدول §٢٠-٣ المرحلة ٣ (٥ شاشات).
٤) استعلِم nav_items للمجموعة 3279: صفّان فعّالان محجوبان.</t>
  </si>
  <si>
    <t xml:space="preserve">أضِف صفوفَ role_permissions (6,59) و(6,196) و(6,141) بـcan_view=1 بزاويةِ قراءةٍ لمديرِ الموقع، أو أزِل صفوفَ nav_items إن كان القرارُ غيرَ ذلك — ولا يُترك الصفُّ فعّالًا محجوبًا</t>
  </si>
  <si>
    <t xml:space="preserve">مجموعتا المرحلة الثالثة تعرضان خمسَ شاشاتٍ مطابقةً لجدول §٢٠-٣، وفاحصُ التنقل يعيد صفرَ صفٍّ فعّالٍ محجوبٍ بالصلاحية للدور ٦.</t>
  </si>
  <si>
    <t xml:space="preserve">تحققتُ من الصفوف: nav_items 5878 (موديول 59) و5880 (196) و5881 (141) فعّالةٌ للدور 6 وبلا can_view، فتُسقَط وتفرغ المجموعة 3279 «الجاهزية والوثائق» — والمعروضُ في المرحلة الثالثة شاشتان فقط.</t>
  </si>
  <si>
    <t xml:space="preserve">INJ-0372</t>
  </si>
  <si>
    <t xml:space="preserve">٢٠-٤ · مخاطر الموقع · حوكمة إدارة الموقع</t>
  </si>
  <si>
    <t xml:space="preserve">مخاطر الموقع / حوكمة إدارة الموقع</t>
  </si>
  <si>
    <t xml:space="preserve">جدولُ ٢٠-٤ يسمّي شاشتين: «مخاطر الموقع» (`risk_dept_sit.php` · ٢٢ عمودًا · ٣ أفعال) و«حوكمة إدارة الموقع» (`gov_dept_sit.php` · ١٥ عمودًا · فعلان)</t>
  </si>
  <si>
    <t xml:space="preserve">الملفان غيرُ موجودين في المستودع؛ والمعروضُ رابطان في مجموعة «خارج الوثيقة — بانتظار قرار المالك»: «مخاطرُ الميدان» (Risk/risk_field.php) و«مساحة مخاطر الإدارة» (Risk/dept_risk_space.php) — كلاهما بعنوانٍ عامٍّ لا بعنوان الإدارة، ولا شاشةَ حوكمةٍ نطاقيةً إطلاقًا</t>
  </si>
  <si>
    <t xml:space="preserve">شاشتان من إحدى عشرةَ (١٨٪) غيرُ منفَّذتين؛ ومخاطرُ الموقعِ — وهي أخطرُ المخاطرِ الميدانيةِ (سلامةُ الأفراد والمعدات) — بلا سجلٍّ مقروءٍ بعنوان الإدارة، وتظهر تحت عنوانٍ يقول إنها خارجُ الوثيقة</t>
  </si>
  <si>
    <t xml:space="preserve">بُني مكوّنُ المخاطر عامًّا بلا معاملِ نطاقٍ وعنوان، ولم تُبنَ شاشةُ الحوكمة النطاقية</t>
  </si>
  <si>
    <t xml:space="preserve">Risk/dept_risk_space.php:1; Risk/risk_field.php:1</t>
  </si>
  <si>
    <t xml:space="preserve">١) ابحث عن risk_dept_sit.php و gov_dept_sit.php: صفرُ نتيجة.
٢) ادخل بدور إدارة الموقع: رابطان للمخاطر في مجموعة «خارج الوثيقة».</t>
  </si>
  <si>
    <t xml:space="preserve">مرِّر معاملَ نطاقٍ dept=sit إلى Risk/dept_risk_space.php وسمِّ الرابطَ «مخاطر الموقع» وانقله إلى مجموعةٍ من مجموعات الإدارة، وأنشئ Governance/gov_dept_sit.php على نمط Finance/gov_dept_fin.php بأبواب GOV-0358…GOV-0369</t>
  </si>
  <si>
    <t xml:space="preserve">سايدبار إدارة الموقع يعرض «مخاطر الموقع» و«حوكمة إدارة الموقع» بنطاق الإدارة وعنوانها، ولا يعرض أيَّ رابطٍ في مجموعة stage_no=99.</t>
  </si>
  <si>
    <t xml:space="preserve">تحقّقت: لا risk_dept_sit.php ولا gov_dept_sit.php في المستودع، والمعروضُ رابطان عامّان في مجموعة «خارج الوثيقة».</t>
  </si>
  <si>
    <t xml:space="preserve">INJ-0373</t>
  </si>
  <si>
    <t xml:space="preserve">٢٠-٥ الأثرُ العابرُ للإدارات · «الجهةُ المتحمِّلة»</t>
  </si>
  <si>
    <t xml:space="preserve">«الإداراتُ المتأثرةُ بأفعالها: … المبيعات والعقود · المالية والخزينة · إدارة الموردين …» والأثرُ ينتقل بالأحداث</t>
  </si>
  <si>
    <t xml:space="preserve">الجهةُ المتحمِّلةُ تُخزَّن سلسلةً نصيةً في timesheet.fault_department من مصفوفةٍ ثابتةٍ مكتوبةٍ في PHP ('العميل','المورد','الصيانة','التشغيل','المشغّل','قوةٌ قاهرة') — بلا مفتاحٍ أجنبيٍّ إلى عميلٍ أو موردٍ بعينه وبلا حدثٍ منشور؛ فلا يمكن ربطُ التوقفِ بعقدِ العميلِ ولا بمطالبةِ المورد</t>
  </si>
  <si>
    <t xml:space="preserve">إسنادُ التوقفِ لا يصل الإداراتِ المتأثرةَ ولا يولّد مطالبةً ولا خصمًا: القيمةُ نصٌّ عامٌّ («المورد») لا يحدد أيَّ مورد، فتُدار المطالباتُ خارج النظام</t>
  </si>
  <si>
    <t xml:space="preserve">نُمذجت الجهةُ المتحمِّلةُ قائمةً نصيةً ثابتةً بدل مرجعٍ إلى الطرف، ولا حدثَ منشورًا عند الإسناد</t>
  </si>
  <si>
    <t xml:space="preserve">Operations/stops_unattributed.php:19-27; :37; database/schema/schema.sql:12027</t>
  </si>
  <si>
    <t xml:space="preserve">١) أسنِد توقفًا إلى «المورد».
٢) استعلِم timesheet: القيمةُ نصٌّ «المورد» بلا معرّف.
٣) استعلِم fin_financial_events أو أيَّ مطالبة: لا أثر.</t>
  </si>
  <si>
    <t xml:space="preserve">أضِف عمودَي fault_party_type و fault_party_id إلى timesheet بهجرةٍ معلنة، واجعل الشاشةَ تختار الطرفَ بعينه، وانشر حدث operations.stop.attributed بعد الإسناد ليستهلكه محرّكُ المطالبات/الخصومات</t>
  </si>
  <si>
    <t xml:space="preserve">إسنادُ توقفٍ إلى موردٍ بعينه يُنتج حدثًا يحمل معرّفَ المورد، وتظهر مطالبةٌ أو خصمٌ مقترحٌ في الوحدة المعنية.</t>
  </si>
  <si>
    <t xml:space="preserve">`fault_department` عمودُ varchar(255) يُملأ من مصفوفةٍ ثابتةٍ في PHP (:37) بلا مفتاحٍ أجنبيٍّ ولا حدثٍ منشور، ولا مستهلكَ له في app/ ولا Contracts/ ولا Suppliers/.</t>
  </si>
  <si>
    <t xml:space="preserve">INJ-0374</t>
  </si>
  <si>
    <t xml:space="preserve">٢٠-٥ · سلسلة حركة/ترحيل → موقع → تشغيل</t>
  </si>
  <si>
    <t xml:space="preserve">أذون دخول وخروج المعدات</t>
  </si>
  <si>
    <t xml:space="preserve">«◆ ما تملكه: … إثباتَ الوصول» — و«إثباتُ الوصولِ يعتمده مشرفُ الموقع» (§١٧-١) — والأثرُ ينتقل بالأحداث</t>
  </si>
  <si>
    <t xml:space="preserve">شاشةُ أذونِ دخولِ المعدات (وهي موضعُ إثباتِ وصولِ المعدةِ إلى الموقع) جدولٌ نصيٌّ مستقلٌّ بلا أيِّ عمودٍ يربطها بأمرِ الترحيل (transfer_orders) ولا بالمعدة (equipments): الحقولُ code_equipment و type_equipment و source_equipment و doc_reference كلُّها varchar؛ وفي المقابل تؤكّد وحدةُ النقلِ الوصولَ بنفسها من شاشتها — فالطرفان لا يلتقيان</t>
  </si>
  <si>
    <t xml:space="preserve">السلسلةُ الحاكمةُ «حركة/ترحيل → موقع → تشغيل» مقطوعةٌ عند قفزةِ الموقع: لا يمكن مطابقةُ أمرِ ترحيلٍ بإذنِ دخولٍ في الموقع، ولا إثباتُ أن ما غادر هو ما وصل — وهو شرطُ اعتمادِ التكلفةِ على المشروع</t>
  </si>
  <si>
    <t xml:space="preserve">نُمذجت شاشةُ الأذون مستندًا ورقيًّا مسطَّحًا بلا مراجعَ، ولم يُنشر ولا يُستهلك أيُّ حدثِ وصولٍ بين النقل والموقع</t>
  </si>
  <si>
    <t xml:space="preserve">database/schema/schema.sql:10169-10180; Operations/site_gate_equip.php:88</t>
  </si>
  <si>
    <t xml:space="preserve">١) أنشئ أمرَ ترحيلٍ لمعدةٍ وأكِّد وصولَه من شاشة النقل.
٢) افتح «أذون دخول وخروج المعدات»: لا يظهر أيُّ إذنٍ مولَّدٍ ولا مرجعٌ لأمر الترحيل.
٣) استعلِم scr_site_gate_equip: لا عمودَ order_id ولا equipment_id.</t>
  </si>
  <si>
    <t xml:space="preserve">أضِف عمودَي transfer_order_id و equipment_id (مفتاحين أجنبيين) إلى scr_site_gate_equip، واجعل وصولَ أمرِ الترحيل ينشر حدثًا يستهلكه الموقعُ فيولّد إذنَ دخولٍ مسودةً ينتظر اعتمادَ مشرف الموقع — وبه يقع إثباتُ الوصولِ عند مالكه</t>
  </si>
  <si>
    <t xml:space="preserve">أمرُ ترحيلٍ واصلٌ يولّد إذنَ دخولٍ مسودةً في الموقع مرتبطًا برقم الأمر والمعدة، ولا يُقفل الأمرُ قبل اعتماد مشرف الموقع لإذن الدخول.</t>
  </si>
  <si>
    <t xml:space="preserve">أعمدةُ scr_site_gate_equip كلُّها varchar بلا transfer_order_id ولا equipment_id، والشاشةُ تحفظ عبر cmp03_store_insert — فلا التقاءَ بين إثبات وصول النقل وإذن دخول الموقع.</t>
  </si>
  <si>
    <t xml:space="preserve">INJ-0375</t>
  </si>
  <si>
    <t xml:space="preserve">٢٠-٣ المرحلة ٧ «سابعًا: إقفال اليوم | تقرير إقفال يومي | ٤ شاشة»</t>
  </si>
  <si>
    <t xml:space="preserve">سابعًا: إقفال اليوم</t>
  </si>
  <si>
    <t xml:space="preserve">«سابعًا: إقفال اليوم | تقرير إقفال يومي | المعتمِد: مدير الموقع | ٤ شاشة»</t>
  </si>
  <si>
    <t xml:space="preserve">المجموعةُ المعروضةُ باسم «سابعًا: إقفال اليوم» تحوي «الإقفال الشهري للوحدة» (Operations/monthly_close.php) و«ميزانية إدارتي» و«إنجاز الإدارة» و«مركز التقارير» — أي إقفالًا شهريًّا وتقاريرَ ماليةً بدل تقريرِ الإقفالِ اليومي؛ وmonthly_close.php من شاشات CMP-03 غيرِ المحروسة التي تُدرج صفًّا في مخزنٍ مولَّد</t>
  </si>
  <si>
    <t xml:space="preserve">مستندُ المرحلة السابعة («تقرير إقفال يومي») غيرُ موجود: يُقفل اليومُ بلا تقريرٍ ولا اعتماد، ويُعرض بدلَه إقفالٌ شهريٌّ لا صلةَ له بدورة اليوم — فتنتهي دورةُ الموقعِ بلا مخرَجٍ يوميّ</t>
  </si>
  <si>
    <t xml:space="preserve">أُسندت شاشةُ الإقفالِ الشهريِّ إلى مرحلةِ الإقفالِ اليوميِّ لعدم وجود شاشةٍ للتقرير اليومي، وحُشيت المجموعةُ بتقارير مالية</t>
  </si>
  <si>
    <t xml:space="preserve">database/schema/seed_reference.sql:2923-2924; Operations/monthly_close.php:94-104; :142</t>
  </si>
  <si>
    <t xml:space="preserve">١) ادخل بدور إدارة الموقع وافتح «سابعًا: إقفال اليوم».
٢) الروابطُ الأربعةُ: الإقفال الشهري · ميزانية إدارتي · إنجاز الإدارة · مركز التقارير.
٣) ابحث عن تقريرِ إقفالٍ يوميّ: لا وجود.</t>
  </si>
  <si>
    <t xml:space="preserve">أنشئ شاشةَ «تقرير إقفال اليوم» (Site/site_day_close.php) تجمع ما سُجّل واعتُمد في اليوم وتُقفله بتقريرٍ برقمٍ ومعتمِدٍ وتاريخ، وأسنِدها إلى المجموعة 3287، وانقل ميزانيةَ الإدارةِ وإنجازَها إلى منطقة التقارير الثابتة، وأضِف حارسًا إلى monthly_close.php</t>
  </si>
  <si>
    <t xml:space="preserve">المرحلةُ السابعةُ تعرض تقريرَ إقفالٍ يوميًّا يُنتج مستندًا معتمَدًا، ولا يمكن إقفالُ اليومِ قبل اعتماد ما سُجّل فيه.</t>
  </si>
  <si>
    <t xml:space="preserve">مجموعتا المرحلة السابعة (3287 · 3288 بعنوان «سابعًا: إقفال اليوم») تحويان الإقفالَ الشهريَّ والميزانيةَ والإنجازَ ومركزَ التقارير — ولا تقريرَ إقفالٍ يومي؛ وكتابةُ monthly_close (:103) تسبق insidebar (:142).</t>
  </si>
  <si>
    <t xml:space="preserve">INJ-0376</t>
  </si>
  <si>
    <t xml:space="preserve">٢٠-٣ المرحلة ١ «أولًا: جدول العمل والورديات | ٣ شاشة»</t>
  </si>
  <si>
    <t xml:space="preserve">جدول عمل المنجم · جدول الورديات · خطة عمل الغد</t>
  </si>
  <si>
    <t xml:space="preserve">http://localhost/ems/Operations/site_work_calendar.php</t>
  </si>
  <si>
    <t xml:space="preserve">«أولًا: جدول العمل والورديات | جدولُ عملٍ معتمد · جدولُ ورديات | المعتمِد: مدير الموقع | ٣ شاشة»</t>
  </si>
  <si>
    <t xml:space="preserve">المرحلةُ الأولى تعرض شاشتين (جدول عمل المنجم · جدول الورديات) والثالثةُ «خطة عمل الغد» محجوبةٌ بالصلاحية؛ والشاشتان المعروضتان من نمط CMP-03 غيرِ المحروس ولا تُنتجان «جدولَ عملٍ معتمدًا» بل صفوفًا نصيةً بحالةٍ يكتبها المُنشئ — فالمستندُ المعتمَدُ للمرحلة غيرُ موجود</t>
  </si>
  <si>
    <t xml:space="preserve">المرحلةُ الأولى بلا مخرَجٍ معتمَد: جدولُ العملِ وجدولُ الوردياتِ صفوفٌ نصيةٌ بلا اعتمادٍ ولا دورةِ حالات، وخطةُ الغدِ (وهي الوحيدةُ ذاتُ محرّكِ حالاتٍ حقيقيٍّ عبر DailyPlanService) محجوبةٌ عن مالكها</t>
  </si>
  <si>
    <t xml:space="preserve">بُنيت شاشتا الجدولين بالمولِّد العام بلا دورةِ حالاتٍ، وحُجبت الشاشةُ الثالثةُ بالصلاحية</t>
  </si>
  <si>
    <t xml:space="preserve">database/schema/seed_reference.sql (role_permissions للموديول 152: الدوران 3 و5 فقط); includes/unified_nav.php:70-77; Operations/site_work_calendar.php:79</t>
  </si>
  <si>
    <t xml:space="preserve">١) ادخل بدور إدارة الموقع وافتح المرحلة الأولى: شاشتان.
٢) أنشئ جدولَ ورديات: صفٌّ بحالةٍ «مسودة» يكتبها المُنشئ ولا يوجد فعلُ اعتماد.
٣) «خطة عمل الغد» غيرُ معروضة.</t>
  </si>
  <si>
    <t xml:space="preserve">امنح الدورَ ٦ صلاحيةَ الموديول ١٥٢، وأضِف دورةَ حالاتٍ وفعلَ اعتمادٍ محروسًا إلى Operations/site_work_calendar.php و site_shift_plan.php يكتب approved_by من الجلسة، أو ادمِج الجدولين في محرّك DailyPlanService الذي يملك حالاتٍ فعلًا</t>
  </si>
  <si>
    <t xml:space="preserve">المرحلةُ الأولى تعرض ثلاثَ شاشات، وجدولُ العملِ وجدولُ الوردياتِ لا يصيران نافذين إلا بفعلِ اعتمادٍ من مدير الموقع مسجَّلٍ بهويته وتاريخه.</t>
  </si>
  <si>
    <t xml:space="preserve">صفُّ «خطة عمل الغد» للدور 6 حيٌّ في المجموعة 3274 لكنّ role_permissions بلا صفٍّ للزوج (6 × موديول 152) — والاستعلامُ في unified_nav.php:70-77 يشترط can_view=1 فيُسقطه، فتظهر شاشتان من ثلاث؛ والشاشتان الظاهرتان نموذجا CMP-03 بلا فعلِ اعتمادٍ ولا حالة.</t>
  </si>
  <si>
    <t xml:space="preserve">INJ-0377</t>
  </si>
  <si>
    <t xml:space="preserve">§٤ الفلاتر · فلترُ الفترةِ وفلترُ الموقع</t>
  </si>
  <si>
    <t xml:space="preserve">التوقفات وتحديد المتحمِّل · سجل الوردية · الإنتاج والقياس</t>
  </si>
  <si>
    <t xml:space="preserve">شريطُ فلاترَ موحَّدٌ بعدّادِ المفعَّل وتفريغٍ بضغطة — ومنه فلترُ الفترةِ وفلترُ الموقع</t>
  </si>
  <si>
    <t xml:space="preserve">لا فلترَ فترةٍ ولا موقعٍ في أيٍّ من شاشات الموقع؛ وشاشةُ التوقفاتِ تعرض آخرَ ١٠٠ صفٍّ بـLIMIT صلبٍ مرتَّبةً بالتاريخ تنازليًّا بلا ترقيمٍ ولا فلتر — فالتوقفُ الأقدمُ من المئةِ الأخيرة غيرُ قابلٍ للإسنادِ من الشاشة إطلاقًا</t>
  </si>
  <si>
    <t xml:space="preserve">توقفاتٌ قديمةٌ بلا مسؤولٍ تبقى بلا إسنادٍ للأبد لأنها خارج المئة الأخيرة — أثرٌ مباشرٌ على المطالبات والخصومات؛ ولا يمكن حصرُ إنتاجِ موقعٍ بفترةٍ لإقفالٍ شهري</t>
  </si>
  <si>
    <t xml:space="preserve">سقفٌ صلبٌ في الاستعلام بلا ترقيمٍ ولا فلاتر، وغيابُ مكوّنِ شريطِ الفلاتر</t>
  </si>
  <si>
    <t xml:space="preserve">Operations/stops_unattributed.php:31-35</t>
  </si>
  <si>
    <t xml:space="preserve">١) أنشئ ١٥٠ صفَّ تايم شيتٍ بتوقفاتٍ بلا مسؤول.
٢) افتح «التوقفات وتحديد المتحمِّل»: تظهر ١٠٠ فقط.
٣) ابحث عن ترقيمٍ أو فلترِ فترة: لا شيء.</t>
  </si>
  <si>
    <t xml:space="preserve">بدِّل LIMIT 100 في Operations/stops_unattributed.php:35 بترقيمٍ خادميٍّ عبر includes/datatable_server.php، وأضِف فلترَي فترةٍ وموقعٍ خادميين إلى شاشات الموقع الثلاث مع عدّادِ الفلاترِ المفعَّلة</t>
  </si>
  <si>
    <t xml:space="preserve">فريق الواجهات — وحدة إدارة الموقع</t>
  </si>
  <si>
    <t xml:space="preserve">كلُّ توقفٍ بلا مسؤولٍ قابلٌ للوصول عبر الترقيم أو الفلتر مهما قدُم، وتحديدُ فترةٍ وموقعٍ يصفّي من الخادم.</t>
  </si>
  <si>
    <t xml:space="preserve">تحقّقت: استعلامُ التوقفات `ORDER BY t.date DESC LIMIT 100` صلبٌ بلا ترقيمٍ ولا فلترِ فترةٍ أو موقع — فالأقدمُ من المئة غيرُ قابلٍ للإسناد من الشاشة.</t>
  </si>
  <si>
    <t xml:space="preserve">INJ-0378</t>
  </si>
  <si>
    <t xml:space="preserve">§٥-١٢ الجوالُ والميدانيُّ · دون اتصالٍ والمزامنة (CM-50)</t>
  </si>
  <si>
    <t xml:space="preserve">الشاشةُ الميدانيةُ دون اتصال: «◆ الحفظُ قبل الشبكة» ومفتاحُ منع التكرار وعرضُ التعارض (CM-50)</t>
  </si>
  <si>
    <t xml:space="preserve">الشاشةُ تعرض شارةَ مزامنةٍ (EmsUI.syncChip) تقرأ navigator.onLine وحسب؛ ومسحُ Timesheet/*.php عن localStorage أو indexedDB أو serviceWorker يعيد صفرًا، ولا يوجد service worker في المستودع كلِّه — فالشارةُ تجميليةٌ و«الحفظُ قبل الشبكة» غيرُ منفَّذٍ إطلاقًا</t>
  </si>
  <si>
    <t xml:space="preserve">أكثرُ شاشاتِ الموقعِ استعمالًا في الميدان (٦ أفعالٍ و٨ إداراتٍ عارضة) تفقد الإدخالَ عند انقطاع الشبكة في المنجم — فتُسجَّل الساعاتُ والإنتاجُ لاحقًا من الذاكرة أو لا تُسجَّل</t>
  </si>
  <si>
    <t xml:space="preserve">بُنيت شارةُ الحالةِ ولم تُبنَ طبقةُ العمل دون اتصال (إغلاقٌ عند L1)</t>
  </si>
  <si>
    <t xml:space="preserve">Timesheet/timesheet.php:901; assets/js/ems-components.js:98</t>
  </si>
  <si>
    <t xml:space="preserve">١) افتح تسجيلَ التايم شيت على جهازٍ محمول.
٢) اقطع الشبكة وأدخِل ساعاتِ ورديةٍ واضغط حفظ.
٣) يفشل الطلبُ ولا يُحفظ محليًّا ولا يُعاد إرسالُه عند عودة الشبكة.</t>
  </si>
  <si>
    <t xml:space="preserve">أضِف طابورَ إرسالٍ محليًّا (IndexedDB) لنموذج التايم شيت بمفتاح عطالةٍ (موقع+تاريخ+وردية+مشغّل)، وعاملَ خدمةٍ يعيد الإرسالَ عند عودة الشبكة، وعرضَ تعارضٍ عند اختلاف النسخة — واربِط الشارةَ بحالة الطابور لا بـnavigator.onLine</t>
  </si>
  <si>
    <t xml:space="preserve">إدخالُ ورديةٍ بلا شبكةٍ يُحفظ محليًّا ويظهر «بانتظار المزامنة»، وعند عودة الشبكة يُرسَل مرةً واحدةً بلا تكرار، ويُعرض التعارضُ إن عُدّل الصفُّ من جهازٍ آخر.</t>
  </si>
  <si>
    <t xml:space="preserve">لا service worker في المستودع ولا تخزينَ محليًّا في أيِّ ملفٍّ من Timesheet/، وEmsUI.syncChip تقرأ navigator.onLine فحسب — فالشارةُ تجميليةٌ و«الحفظُ قبل الشبكة» غيرُ منفَّذ.</t>
  </si>
  <si>
    <t xml:space="preserve">INJ-0379</t>
  </si>
  <si>
    <t xml:space="preserve">§٥-٢ الحالاتُ الأربعُ لكل فعلٍ حاكم · §٤-٢ العيوبُ الحاجبة</t>
  </si>
  <si>
    <t xml:space="preserve">أفعال إدارة الموقع (الاعتماد · الإسناد · الإذن)</t>
  </si>
  <si>
    <t xml:space="preserve">لكل فعلٍ حاكمٍ أربعُ حالاتِ اختبار: الناجحةُ · المرفوضةُ بالحارس · المكررةُ (العطالة) · المعكوسة</t>
  </si>
  <si>
    <t xml:space="preserve">اختبارُ tests/daily_plan_test.php يغطي خطةَ الغد وحدَها (وهي الشاشةُ المحجوبةُ عن الدور)؛ ولا اختبارَ لإسناد التوقفات ولا لأذونِ الدخول والخروج ولا لسجلِّ الوردية ولا للاعتماد؛ والحالاتُ «المرفوضةُ بالحارس» و«المعكوسة» غيرُ قابلةٍ للاختبار في الشاشات الست لأن الحارسَ والعكسَ غيرُ موجودَين</t>
  </si>
  <si>
    <t xml:space="preserve">أفعالُ إدارةِ الموقعِ الحاكمةُ بلا دليلٍ حي؛ وبوابةُ الأفعالِ لا تُغلق — والوحدةُ الأعمقُ في الهيكل هي الأقلُّ تغطيةً بالاختبار</t>
  </si>
  <si>
    <t xml:space="preserve">لم تُكتب اختباراتُ الحالات الأربع لأفعال الشاشات المولَّدة، والأفعالُ نفسُها ناقصةُ الحارسِ والعطالةِ والعكس</t>
  </si>
  <si>
    <t xml:space="preserve">tests/daily_plan_test.php:1; tests/org_screens_http_test.php:1; Operations/stops_unattributed.php:17; Operations/site_gate_equip.php:79</t>
  </si>
  <si>
    <t xml:space="preserve">١) اجرد tests/ عن site_gate أو shift_log أو stops_unattributed: صفرُ نتيجة.
٢) tests/daily_plan_test.php يغطي شاشةً محجوبةً عن دور الموقع.</t>
  </si>
  <si>
    <t xml:space="preserve">أضِف tests/site_actions_test.php يغطي لكلٍّ من إسناد التوقف وإذنِ الدخول وسجلِّ الوردية ومحضرِ الاعتماد: الحالةَ الناجحةَ والمرفوضةَ بالحارس والمكررةَ والمعكوسة، بعد تنفيذ الحرّاس والعطالة والعكس</t>
  </si>
  <si>
    <t xml:space="preserve">فريق ضمان الجودة — وحدة إدارة الموقع</t>
  </si>
  <si>
    <t xml:space="preserve">حزمةُ الاختبارات تُنجح الحالاتِ الأربعَ لأفعال الموقع الأربعة وتفشل عند إزالة أيِّ حارسٍ أو مفتاحِ عطالة.</t>
  </si>
  <si>
    <t xml:space="preserve">لا ملفَّ اختبارٍ في tests/ يذكر stops_unattributed ولا site_gate_* ولا shift_log لهذه الأفعال، وdaily_plan_test.php يغطي خطةَ الغد وحدَها — فالحالاتُ الأربعُ غيرُ مغطاة.</t>
  </si>
  <si>
    <t xml:space="preserve">INJ-0380</t>
  </si>
  <si>
    <t xml:space="preserve">▐ ٢ الصلاحيات · «لا فعلَ بلا رمزِ صلاحيةٍ محكوم» (والحكمُ الرابع fail-closed)</t>
  </si>
  <si>
    <t xml:space="preserve">سجل الوردية · الإنتاج والقياس · جدول الورديات · جدول عمل المنجم · أذون دخول وخروج المعدات · أذون دخول وخروج المشغّلين</t>
  </si>
  <si>
    <t xml:space="preserve">http://localhost/ems/Operations/shift_log.php</t>
  </si>
  <si>
    <t xml:space="preserve">أيُّ مستخدمٍ مصادَقٍ له شركةٌ يستطيع **إدراجَ** صفوفٍ في هذه السجلات (لا فتحَها للعرض)، والصفوفُ تُخزَّن في جداول scr_* بلا أيِّ مستهلكٍ تشغيليّ. — [مُصحَّح بعد التحقق] الصياغة الأولى: ستُّ شاشاتٍ من شاشات إدارة الموقع التسع من نمط CMP-03 غيرِ المحروس: البوابةُ الوحيدةُ في كلٍّ منها if (!$is_super_admin &amp;&amp; $company_id &lt;= 0) ثم cmp03_store_insert مباشرةً — أي أن أيَّ مستخدمٍ مسجَّلٍ </t>
  </si>
  <si>
    <t xml:space="preserve">ستُّ مستنداتٍ ميدانيةٍ حاكمةٍ (سجلُّ الوردية · الإنتاجُ والقياس · جدولُ الورديات · جدولُ عمل المنجم · إذنُ دخول المعدات · إذنُ دخول المشغّلين) مفتوحةٌ للكتابة لكل مستخدمي النظام — والأذونُ منها ضابطُ دخولِ المعداتِ والأفرادِ إلى الموقع، أي ضابطٌ أمنيٌّ ميداني</t>
  </si>
  <si>
    <t xml:space="preserve">موجةُ إضافةِ الحرّاس شملت عشرَ شاشاتِ CMP-03 وتخطّت اثنتين وثلاثين منها، ومنها هذه الستُّ كلُّها</t>
  </si>
  <si>
    <t xml:space="preserve">Operations/shift_log.php:89; :128; Operations/production.php:97; :136; Operations/site_shift_plan.php:88; Operations/site_work_calendar.php:88; Operations/site_gate_equip.php:88; Operations/site_gate_person.php:88</t>
  </si>
  <si>
    <t xml:space="preserve">١) ادخل بحسابٍ من إدارةٍ لا علاقةَ لها بالموقع.
٢) افتح Operations/site_gate_equip.php وأرسِل النموذج بإذنِ دخولِ معدة.
٣) يُدرج الصفُّ بنجاح بلا أيِّ فحصِ صلاحية.</t>
  </si>
  <si>
    <t xml:space="preserve">أضِف في رأس كلٍّ من الملفات الستة: $p = check_page_permissions($conn, &lt;رمز الشاشة&gt;); if (empty($p['can_view'])) رفضٌ ٤٠٣؛ وقبل معالج POST: if (empty($p['can_add'])) رفضٌ بـGOV-PERM-403 — على نمط Governance/access_review.php:34 و:41</t>
  </si>
  <si>
    <t xml:space="preserve">إرسالُ النموذج في أيٍّ من الشاشات الست من حسابٍ بلا can_add يعيد ٤٠٣ ولا يُدرج صفًّا.</t>
  </si>
  <si>
    <t xml:space="preserve">الكتابةُ غيرُ المحروسةِ محقَّقةٌ في الستة (cmp03_store_insert نحو السطر 88-97 قبل insidebar نحو السطر 127-136)، لكنّ الشاشاتِ الستَّ كلَّها مسجَّلةٌ في modules فالعرضُ محروسٌ بالحارس المركزي، والجداولُ المكتوبةُ scr_shift_log وscr_production وscr_site_gate_* لا مستهلكَ لها في المستودع — فالأثرُ تلويثُ سجلاتٍ عرضيةٍ لا ضبطُ دخولٍ ميدانيٍّ فعليّ.</t>
  </si>
  <si>
    <t xml:space="preserve">INJ-0381</t>
  </si>
  <si>
    <t xml:space="preserve">▐ ٤ من يرى ماذا (Visibility) · النطاق «ما يخصُّ موقعَه هو»</t>
  </si>
  <si>
    <t xml:space="preserve">سجل الوردية · الإنتاج والقياس · جدول الورديات · أذون الدخول والخروج</t>
  </si>
  <si>
    <t xml:space="preserve">«النطاق | ما يحدده: أيُّ صفوفٍ تُقرأ | المثال: ما يخصُّ موقعَه هو · ما يخصُّ إدارتَه · كلُّ الكيان» — ودورُ إدارة الموقع role_scope='mine'</t>
  </si>
  <si>
    <t xml:space="preserve">الشاشاتُ المعنيةُ سجلاتُ عرضٍ مولَّدةٌ (CMP-03) لا مصدرَ الحقيقة التشغيليَّ (التايم شيت والعمليات)، والتسريبُ داخلَ الكيان الواحد بين مواقعه لا بين الشركات. — [مُصحَّح بعد التحقق] الصياغة الأولى: دالةُ القراءةِ cmp03_store_rows تصفّي بالكيان (company_id) وحدَه ولا تعرف مفهومَ الموقع؛ وجداولُ scr_* تحمل site_name نصًّا لا معرّفًا فلا يمكن الترشيحُ به أصلًا — فمديرُ موقعٍ يفتح «سجل الوردية» فيرى</t>
  </si>
  <si>
    <t xml:space="preserve">تسريبُ بياناتِ مواقعَ بين مديري المواقع: كلُّ مديرِ موقعٍ يرى إنتاجَ وورديّاتِ وأذونَ كلِّ المواقع، وهو خرقٌ مباشرٌ لنطاق role_scope='mine' المعلَن للدور</t>
  </si>
  <si>
    <t xml:space="preserve">طبقةُ CMP-03 بُنيت بترشيحِ كيانٍ واحدٍ فقط ولم تُنمذَج طبقةُ نطاقِ الموقع، وحقلُ الموقعِ نصيٌّ لا مفتاح</t>
  </si>
  <si>
    <t xml:space="preserve">includes/cmp03_local_store.php:67-80; Operations/shift_log.php:96; database/schema/schema.sql:10140; database/schema/seed_reference.sql:23</t>
  </si>
  <si>
    <t xml:space="preserve">١) أنشئ سجلَّ ورديةٍ لموقع «أ» بحسابِ مدير الموقع أ.
٢) ادخل بحساب مدير الموقع ب.
٣) افتح «سجل الوردية»: يظهر سجلُّ الموقع أ.</t>
  </si>
  <si>
    <t xml:space="preserve">أضِف عمودَ site_id (مفتاحًا أجنبيًّا) إلى جداول scr_* لشاشات الموقع، ومرِّر نطاقَ مواقعِ المستخدم إلى cmp03_store_rows في includes/cmp03_local_store.php ليصفّي بالموقع، واشتق نطاقَ المواقع من التكليفات التنظيمية (org_assignments)</t>
  </si>
  <si>
    <t xml:space="preserve">مديرُ الموقع أ لا يرى أيَّ صفٍّ يخصُّ الموقع ب في أيٍّ من شاشات الموقع الست، ويُثبت ذلك باختبارِ نطاقٍ آلي.</t>
  </si>
  <si>
    <t xml:space="preserve">cmp03_store_rows (includes/cmp03_local_store.php:73) ترشّح بـcompany_id وحدَه، وجداولُ scr_* تحفظ الموقعَ نصًّا (schema.sql:10140 site_name varchar(300)) فلا مفتاحَ يُرشَّح به — فدورُ الموقع (role_scope='mine') يرى سجلاتِ كلِّ المواقع.</t>
  </si>
  <si>
    <t xml:space="preserve">INJ-0382</t>
  </si>
  <si>
    <t xml:space="preserve">شاشات إدارة الموقع — منفذ التصدير</t>
  </si>
  <si>
    <t xml:space="preserve">التصديرُ فعلٌ محكومٌ بصلاحيةٍ مخصَّصةٍ ويُكتب له سجلُّ تصديرٍ بتسعةِ بنودٍ إلزامًا؛ و«⑤ التقاريرُ والتصدير» منطقةٌ ثابتة</t>
  </si>
  <si>
    <t xml:space="preserve">لا وجودَ لأيِّ استدعاءٍ لـexcel.php ولا لأيِّ زرِّ تصديرٍ في شاشات إدارة الموقع الست ولا في Operations/stops_unattributed.php — فبياناتُ الإنتاجِ والوردياتِ والأذونِ لا تُصدَّر إطلاقًا؛ وفي المقابل لا يوجد سجلُّ تصديرٍ عامٌّ في النظام أصلًا</t>
  </si>
  <si>
    <t xml:space="preserve">لا يمكن استخراجُ تقريرِ إنتاجٍ أو ورديّاتٍ أو أذونِ دخولٍ لفترةٍ إلى ملفٍ رسمي — فتُنقل الأرقامُ يدويًّا إلى جداولَ خارجَ النظام، وتضيع سلسلةُ الدليل</t>
  </si>
  <si>
    <t xml:space="preserve">لم تُعرَّف كياناتُ تصديرٍ لشاشات الموقع في سجل ExcelService، ومولِّدُ CMP-03 لا يطبع زرَّ تصدير</t>
  </si>
  <si>
    <t xml:space="preserve">Operations/shift_log.php:1; Operations/production.php:1; Operations/stops_unattributed.php:1; excel.php:70</t>
  </si>
  <si>
    <t xml:space="preserve">١) grep على Operations/site*.php و shift_log.php و production.php عن excel.php: صفرُ نتيجة.
٢) افتح «الإنتاج والقياس»: لا زرَّ تصدير.</t>
  </si>
  <si>
    <t xml:space="preserve">عرِّف كياناتِ تصديرٍ لجداول scr_* الخاصة بالموقع في app/Services/Excel، وأضِف زرَّ تصديرٍ يستدعي excel.php ويمرّر الفلاترَ والمنظر، وأنشئ جدولَ export_log عامًّا بالبنود التسعة</t>
  </si>
  <si>
    <t xml:space="preserve">تصديرُ سجلِّ الوردياتِ لفترةٍ يُنتج ملفًا مطابقًا للفلاتر ويُسجَّل في سجل التصدير بالمستخدم والأعمدة وعدد الصفوف.</t>
  </si>
  <si>
    <t xml:space="preserve">تحقّقت: صفرُ استدعاءٍ لـexcel.php أو ems_excel_header_actions أو زرِّ تصديرٍ في Operations/shift_log.php و production.php و stops_unattributed.php.</t>
  </si>
  <si>
    <t xml:space="preserve">INJ-0383</t>
  </si>
  <si>
    <t xml:space="preserve">▐ ١١-١ سجلُّ التدقيق · TABLE 53 · ▐ ٩ فصلُ الواجبات</t>
  </si>
  <si>
    <t xml:space="preserve">شاشات إدارة الموقع الست المولَّدة</t>
  </si>
  <si>
    <t xml:space="preserve">كلُّ كتابةِ مجالٍ تُسجَّل بالقيمة قبل وبعد؛ ولا يعتمد أحدٌ ما أنشأه</t>
  </si>
  <si>
    <t xml:space="preserve">شاشاتُ الموقعِ الستُّ تُدرج صفوفًا عبر cmp03_store_insert بلا أيِّ استدعاءٍ لسجل التدقيق، وبلا فعلِ تعديلٍ أو حذفٍ أصلًا (إدراجٌ فقط)، وبعمودِ حالةٍ نصيٍّ status يملؤه المُنشئ؛ وحقلُ «المعتمِد — الاسم والصفة» نصٌّ حرٌّ يكتبه المُنشئُ نفسُه — فلا فصلَ بين مُنشئٍ ومعتمِدٍ ولا أثرَ تدقيقيٍّ لأيِّ تغيير</t>
  </si>
  <si>
    <t xml:space="preserve">مستنداتُ الموقعِ لا تُصحَّح ولا تُعتمد ولا تُدقَّق: الصفُّ الخاطئُ يبقى إلى الأبد بلا تعديلٍ ولا نقض، والاعتمادُ اسمٌ مكتوبٌ لا شهادةُ حساب — فيسقط شاهدُ «الاعتمادِ الأول» كلُّه</t>
  </si>
  <si>
    <t xml:space="preserve">مولِّدُ CMP-03 يُنتج فعلَ إدراجٍ واحدًا بلا دورةِ حالاتٍ ولا اعتمادٍ ولا تدقيق</t>
  </si>
  <si>
    <t xml:space="preserve">Operations/shift_log.php:89; includes/cmp03_local_store.php:31; database/schema/schema.sql:10153; database/schema/schema.sql:10158; includes/audit_trail.php:8</t>
  </si>
  <si>
    <t xml:space="preserve">١) أنشئ سجلَّ ورديةٍ واكتب في «المعتمِد» اسمَ مديرِ الموقع.
٢) ابحث عن زرِّ تعديلٍ أو حذفٍ أو اعتماد: لا شيء.
٣) ابحث في سجل التدقيق عن الصف: لا أثر.</t>
  </si>
  <si>
    <t xml:space="preserve">أضِف إلى شاشات الموقع الست دورةَ حالاتٍ (مسودة ← معتمَد) بفعلِ اعتمادٍ محروسٍ يكتب approved_by من الجلسة، وفعلَ تعديلٍ ونقضٍ بسببٍ، واستدعِ ems_audit_change في كل كتابة</t>
  </si>
  <si>
    <t xml:space="preserve">سجلُّ الورديةِ يُنشأ مسودةً ولا يصير معتمَدًا إلا بفعلِ اعتمادٍ من حسابٍ مخوَّلٍ غيرِ المُنشئ، وكلُّ تغييرٍ يُنتج صفَّ تدقيقٍ بالقيمة قبل وبعد.</t>
  </si>
  <si>
    <t xml:space="preserve">‏shift_log.php:89 يُدرج عبر cmp03_store_insert بصفر ems_audit_change وبلا فعلِ تعديلٍ أو حذف، والمخططُ يؤكد approver_name و status نصَّين يملؤهما المُنشئ (schema.sql:10153-10158). عددُ الشاشات أكبرُ من ستٍّ فعلًا (عشرُ شاشاتٍ في Operations/ تستعمل المخزن نفسه).</t>
  </si>
  <si>
    <t xml:space="preserve">INJ-0384</t>
  </si>
  <si>
    <t xml:space="preserve">AR-05 · الحارسُ في الخادم بثلاث طبقات</t>
  </si>
  <si>
    <t xml:space="preserve">ملف الخطر RSK-xxxxxx</t>
  </si>
  <si>
    <t xml:space="preserve">http://localhost/ems/Risk/risk_card.php</t>
  </si>
  <si>
    <t xml:space="preserve">FRD §١٢-٣ المرحلة ٣: «ثالثًا: التقييمُ والتحدي — المستند: تقييمٌ متأصلٌ ومتبقٍّ مؤرَّخ · المعتمِد: مالكُ الخطرِ **بتحدي المخاطر**» — فالتحدي المستقلُّ ركنٌ في التقييم.</t>
  </si>
  <si>
    <t xml:space="preserve">عمودُ `risk_assessments.challenged_by` مقبولٌ في المعالج (`risk_actions.php:151`) لكنّه لا يُرسَل من أيِّ نموذج: نموذجُ التقييمِ في `risk_card.php:140-158` لا يحوي حقلَ المتحدي. كما أنَّ `risk_assessments.approved_by` لا يُكتب أبدًا — إدراجُ التقييمِ في `RiskService.php:320-323` يُغفله.</t>
  </si>
  <si>
    <t xml:space="preserve">مرحلةُ «التقييم والتحدي» تُنفَّذ بلا تحدٍّ ولا اعتماد — فيصبح التقييمُ إقرارًا ذاتيًّا من إدارةِ المخاطرِ بلا طرفٍ ثانٍ، وهو ما يُبطل قيمةَ الدرجةِ في مصفوفةِ القبول.</t>
  </si>
  <si>
    <t xml:space="preserve">الحقولُ أُنشئت ولم تُوصَل بواجهة؛ لا فعلَ «تحدٍّ» ولا «اعتماد تقييم».</t>
  </si>
  <si>
    <t xml:space="preserve">Risk/risk_actions.php:151; Risk/risk_card.php:140; :158; app/Services/Risk/RiskService.php:320; :323</t>
  </si>
  <si>
    <t xml:space="preserve">١) افتح `Risk/risk_card.php?id=&lt;خطر&gt;` بدور 28.
٢) املأ نموذجَ التقييمِ واحفظ.
٣) استعلم `SELECT challenged_by, approved_by FROM risk_assessments ORDER BY id DESC LIMIT 1` → القيمتان NULL دائمًا.</t>
  </si>
  <si>
    <t xml:space="preserve">أضِف في `Risk/risk_card.php` حقلَ «المتحدي المستقل» (select من مستخدمي الدور 29) وحقلَ «معتمِد التقييم»، وأرسلهما ضمن `risk_assess`؛ وأضِف في `RiskService.php:320` عمودَي `challenged_by, approved_by` إلى جملةِ الإدراج، واشترط ألّا يكون المتحدي هو المقيِّم نفسَه.</t>
  </si>
  <si>
    <t xml:space="preserve">احفظ تقييمًا بمتحدٍّ = المقيِّم: يجب الرفض. وبمتحدٍّ مختلف: يجب أن يُكتب `challenged_by` ويظهر في نسخِ التقييم التاريخية.</t>
  </si>
  <si>
    <t xml:space="preserve">‏challenged_by مقبولٌ في risk_actions.php:151 لكنّه لا يَرِد في أيِّ نموذجٍ (نموذجُ التقييم في risk_card.php:140-158 بلا الحقل)، وapproved_by موجودٌ عمودًا في risk_assessments لكنه ليس في جملةِ الإدراج (RiskService.php:320-323) ولا UPDATE على الجدول.</t>
  </si>
  <si>
    <t xml:space="preserve">INJ-0385</t>
  </si>
  <si>
    <t xml:space="preserve">§١٢ و٢٣-٣ المرحلة ٢ · «خطرٌ مسجَّلٌ بمالكٍ ووحدة»</t>
  </si>
  <si>
    <t xml:space="preserve">سجل المخاطر المركزي</t>
  </si>
  <si>
    <t xml:space="preserve">http://localhost/ems/Risk/risk_register.php</t>
  </si>
  <si>
    <t xml:space="preserve">M-14 TABLE 36 يُلزم عمود «مالكُ الخطر» في سجل المخاطر، و TABLE 37 يصنّفه حقلًا حساسًا · و FRD يجعل «مالكَ الخطر» معتمِدَ المرحلةِ ٣ والمرحلةِ ٦.</t>
  </si>
  <si>
    <t xml:space="preserve">مالكُ الخطر لا يُسنَد من أيِّ شاشةٍ فيبقى العمودُ فارغًا والحالةُ owner_assigned غيرَ مبلوغة، دون أن يتوقف باقي دورة الخطر. — [مُصحَّح بعد التحقق] الصياغة الأولى: العمودُ `risk_register.risk_owner_user_id` لا يُكتب من أيِّ شاشة: نموذجُ الإنشاء (`risk_register.php:194-204`) لا يحوي حقلَ مالكٍ، والفرزُ لا يرسله، ولا يوجد فعلُ «إسناد مالك» بين الأفعالِ الستةِ والع</t>
  </si>
  <si>
    <t xml:space="preserve">أحدُ الأدوارِ الأربعةِ الحاكمةِ في M-16 غيرُ موجودٍ عمليًّا: لا يُعرف مَن يملك الخطرَ، والحالةُ `owner_assigned` غيرُ قابلةٍ للبلوغ، وعمودُ «مالكُ الخطر» في السجلِّ يُطبع «—» دائمًا.</t>
  </si>
  <si>
    <t xml:space="preserve">العمودُ أُنشئ في المخطط وأُدخل في توقيعِ `createRisk` لكن لم يُبنَ له مسلكُ إدخالٍ ولا فعلُ إسناد.</t>
  </si>
  <si>
    <t xml:space="preserve">Risk/risk_register.php:195-204; Risk/risk_actions.php:96-514; Risk/risk_actions.php:135; app/Services/Risk/RiskService.php:250,258</t>
  </si>
  <si>
    <t xml:space="preserve">١) بدور 28 افتح `Risk/risk_register.php` واضغط «خطر جديد».
٢) لاحظ غيابَ حقلِ «مالك الخطر» في النموذج.
٣) احفظ الخطرَ وافتح السجل: عمود «مالك الخطر» يعرض «—».
٤) ابحث في `Risk/risk_actions.php` عن `case` لإسناد المالك: لا يوجد.</t>
  </si>
  <si>
    <t xml:space="preserve">أضِف في `Risk/risk_actions.php` حالةً `risk_assign_owner` تستدعي دالةً جديدةً `RiskService::assignRiskOwner($conn,$co,$riskId,$ownerUserId,$actor)` تكتب `risk_owner_user_id` وتنقل `state` إلى `owner_assigned` وتُطلق `RiskOwnerAssigned`، وأضِف حقلَ الاختيارِ في نموذجِ `risk_register.php:202` وزرًّا في `risk_card.php`.</t>
  </si>
  <si>
    <t xml:space="preserve">أنشئ خطرًا وأسنِد له مالكًا من الشاشة: يجب أن يمتلئ `risk_register.risk_owner_user_id` وتصير الحالةُ `owner_assigned` ويظهر الاسمُ في عمود «مالك الخطر».</t>
  </si>
  <si>
    <t xml:space="preserve">تحققتُ: نموذجُ الإنشاء (risk_register.php:195-204) بلا حقلِ مالك، ولا حالةَ 'risk_assign_owner' بين الحالاتِ الستِّ والعشرين في risk_actions.php، و risk_actions.php:135 يقرأ حقلًا لا مرسِلَ له. لكن لا انتقالَ حالةٍ في RiskService يشترط owner_assigned، فدورةُ الخطر (تقييم · قبول · إغلاق) تكتمل والعمودُ يبقى «—» فحسب.</t>
  </si>
  <si>
    <t xml:space="preserve">INJ-0386</t>
  </si>
  <si>
    <t xml:space="preserve">§١٢ و٢٣-٤ شاشاتُها وأفعالُها</t>
  </si>
  <si>
    <t xml:space="preserve">«التفصيلُ الكاملُ في ملف التتبعِ — الورقتان ٠٦ و٠٧» — ولكلِّ فعلٍ عقدٌ سداسيٌّ: الرمزُ والفاعلُ وما يُكتب والحدثُ والمستهلكُ وفعلُ العكس؛ فالفعلُ الذي لا مسلكَ له في الواجهةِ فعلٌ غيرُ منفَّذ.</t>
  </si>
  <si>
    <t xml:space="preserve">الفعلُ `risk_merge` منفَّذٌ كاملًا في المعالج (`Risk/risk_actions.php:470`) وفي الخدمة (`app/Services/Risk/RiskService.php:1063`)، لكن بحثًا شاملًا في كلِّ ملفات PHP و JS خارج `tools/` لا يُظهر أيَّ مُرسِلٍ له: لا زرَّ ولا نموذجَ ولا نداءَ fetch.</t>
  </si>
  <si>
    <t xml:space="preserve">الدمجُ مبنيٌّ في الخدمةِ ولا زرَّ له في أيِّ شاشة — فالمخاطرُ المكرَّرةُ تُرصد ولا تُدمج أبدًا، ويبقى السجلُّ متضخِّمًا بصفوفٍ متطابقة</t>
  </si>
  <si>
    <t xml:space="preserve">بُني المعالجُ والخدمةُ قبل الواجهة، ولم تُستكمل الشاشةُ المقابلة — ولا فاحصَ يربط أفعالَ المعالجِ بمُرسِليها.</t>
  </si>
  <si>
    <t xml:space="preserve">Risk/risk_actions.php:470-474</t>
  </si>
  <si>
    <t xml:space="preserve">١) افتح `Risk/risk_register.php` بدور 28.
٢) ابحث في الصفحةِ عن زرٍّ أو نموذجٍ يرسل `do=risk_merge`: لا يوجد.
٣) نفِّذ `grep -rn "risk_merge" --include=*.php --include=*.js .` خارج `tools/`: النتيجةُ سطرُ المعالجِ وحدَه.</t>
  </si>
  <si>
    <t xml:space="preserve">أضِف في `Risk/risk_register.php` زرًّا/نموذجًا يرسل `do=risk_merge` بحقولِه المطلوبة إلى `Risk/risk_actions.php` مع `csrf_token`، وأظهِره بشرطِ `can_edit` وسلطةِ الدورِ المناسبة.</t>
  </si>
  <si>
    <t xml:space="preserve">من الشاشةِ نفسِها نفِّذ `risk_merge` بنجاح وتحقَّق من أثرِه في القاعدةِ ومن الحدثِ المنشور.</t>
  </si>
  <si>
    <t xml:space="preserve">`case 'risk_merge'` منفَّذٌ في :470 ويستدعي `RiskService::mergeRisks`، وبحثٌ شاملٌ في كل PHP وJS خارج tools/ لا يعطي أيَّ مُرسِلٍ للقيمة — فالفعلُ بلا مسلكٍ في الواجهة.</t>
  </si>
  <si>
    <t xml:space="preserve">INJ-0387</t>
  </si>
  <si>
    <t xml:space="preserve">المراجعات وقرارات القبول</t>
  </si>
  <si>
    <t xml:space="preserve">http://localhost/ems/Risk/risk_reviews.php</t>
  </si>
  <si>
    <t xml:space="preserve">الفعلُ `risk_review` منفَّذٌ كاملًا في المعالج (`Risk/risk_actions.php:383`) وفي الخدمة (`app/Services/Risk/RiskService.php:693`)، لكن بحثًا شاملًا في كلِّ ملفات PHP و JS خارج `tools/` لا يُظهر أيَّ مُرسِلٍ له: لا زرَّ ولا نموذجَ ولا نداءَ fetch.</t>
  </si>
  <si>
    <t xml:space="preserve">المرحلةُ الدوريةُ للمراجعةِ لا يمكن تنفيذُها من الواجهة — الشاشةُ تسرد ما استحق ولا تسمح بقرار</t>
  </si>
  <si>
    <t xml:space="preserve">Risk/risk_actions.php:383-389; app/Services/Risk/RiskService.php:693; Risk/risk_reviews.php:1</t>
  </si>
  <si>
    <t xml:space="preserve">١) افتح `Risk/risk_reviews.php` بدور 28.
٢) ابحث في الصفحةِ عن زرٍّ أو نموذجٍ يرسل `do=risk_review`: لا يوجد.
٣) نفِّذ `grep -rn "risk_review" --include=*.php --include=*.js .` خارج `tools/`: النتيجةُ سطرُ المعالجِ وحدَه.</t>
  </si>
  <si>
    <t xml:space="preserve">أضِف في `Risk/risk_reviews.php` زرًّا/نموذجًا يرسل `do=risk_review` بحقولِه المطلوبة إلى `Risk/risk_actions.php` مع `csrf_token`، وأظهِره بشرطِ `can_edit` وسلطةِ الدورِ المناسبة.</t>
  </si>
  <si>
    <t xml:space="preserve">من الشاشةِ نفسِها نفِّذ `risk_review` بنجاح وتحقَّق من أثرِه في القاعدةِ ومن الحدثِ المنشور.</t>
  </si>
  <si>
    <t xml:space="preserve">الفعلُ risk_review منفَّذٌ في المعالج والخدمة وصفرُ مرسِلٍ له في أيِّ ملفِّ PHP أو JS خارج tools/ وtests/ — فعلٌ بلا مسلك.</t>
  </si>
  <si>
    <t xml:space="preserve">INJ-0388</t>
  </si>
  <si>
    <t xml:space="preserve">شهية المخاطر وحدود التحمل</t>
  </si>
  <si>
    <t xml:space="preserve">http://localhost/ems/Risk/risk_appetite.php</t>
  </si>
  <si>
    <t xml:space="preserve">الفعلُ `appetite_set` منفَّذٌ كاملًا في المعالج (`Risk/risk_actions.php:414`) وفي الخدمة (`app/Services/Risk/RiskService.php:826`)، لكن بحثًا شاملًا في كلِّ ملفات PHP و JS خارج `tools/` لا يُظهر أيَّ مُرسِلٍ له: لا زرَّ ولا نموذجَ ولا نداءَ fetch.</t>
  </si>
  <si>
    <t xml:space="preserve">حقُّ الرئيسِ الحصريُّ في تحديدِ الشهيةِ غيرُ قابلٍ للممارسةِ من النظام — والشاشةُ تُصفِّر can_edit/can_add صراحةً</t>
  </si>
  <si>
    <t xml:space="preserve">Risk/risk_actions.php:414; app/Services/Risk/RiskService.php:826; tools/m16_e2e_actions.php:122; Risk/risk_appetite.php:1</t>
  </si>
  <si>
    <t xml:space="preserve">١) افتح `Risk/risk_appetite.php` بدور 28.
٢) ابحث في الصفحةِ عن زرٍّ أو نموذجٍ يرسل `do=appetite_set`: لا يوجد.
٣) نفِّذ `grep -rn "appetite_set" --include=*.php --include=*.js .` خارج `tools/`: النتيجةُ سطرُ المعالجِ وحدَه.</t>
  </si>
  <si>
    <t xml:space="preserve">أضِف في `Risk/risk_appetite.php` زرًّا/نموذجًا يرسل `do=appetite_set` بحقولِه المطلوبة إلى `Risk/risk_actions.php` مع `csrf_token`، وأظهِره بشرطِ `can_edit` وسلطةِ الدورِ المناسبة.</t>
  </si>
  <si>
    <t xml:space="preserve">من الشاشةِ نفسِها نفِّذ `appetite_set` بنجاح وتحقَّق من أثرِه في القاعدةِ ومن الحدثِ المنشور.</t>
  </si>
  <si>
    <t xml:space="preserve">بحثٌ شاملٌ عن appetite_set يعيد ثلاثةَ مواضعَ فقط: المعالج (Risk/risk_actions.php:414) وأداةُ الفحص tools/m16_e2e_actions.php:122,128 — وصفرُ نموذجٍ أو زرٍّ في Risk/risk_appetite.php.</t>
  </si>
  <si>
    <t xml:space="preserve">INJ-0389</t>
  </si>
  <si>
    <t xml:space="preserve">مؤشرات الخطر الرئيسة (KRI)</t>
  </si>
  <si>
    <t xml:space="preserve">http://localhost/ems/Risk/risk_kris.php</t>
  </si>
  <si>
    <t xml:space="preserve">الفعلُ `kri_threshold` منفَّذٌ كاملًا في المعالج (`Risk/risk_actions.php:433`) وفي الخدمة (`app/Services/Risk/RiskService.php:939`)، لكن بحثًا شاملًا في كلِّ ملفات PHP و JS خارج `tools/` لا يُظهر أيَّ مُرسِلٍ له: لا زرَّ ولا نموذجَ ولا نداءَ fetch.</t>
  </si>
  <si>
    <t xml:space="preserve">حدودُ المؤشراتِ لا تُغيَّر من الواجهة — فتبقى على قيمِ البذرةِ أو تُعدَّل بالقاعدةِ مباشرة</t>
  </si>
  <si>
    <t xml:space="preserve">Risk/risk_actions.php:433; app/Services/Risk/RiskService.php:939; Risk/risk_kris.php:1</t>
  </si>
  <si>
    <t xml:space="preserve">١) افتح `Risk/risk_kris.php` بدور 28.
٢) ابحث في الصفحةِ عن زرٍّ أو نموذجٍ يرسل `do=kri_threshold`: لا يوجد.
٣) نفِّذ `grep -rn "kri_threshold" --include=*.php --include=*.js .` خارج `tools/`: النتيجةُ سطرُ المعالجِ وحدَه.</t>
  </si>
  <si>
    <t xml:space="preserve">أضِف في `Risk/risk_kris.php` زرًّا/نموذجًا يرسل `do=kri_threshold` بحقولِه المطلوبة إلى `Risk/risk_actions.php` مع `csrf_token`، وأظهِره بشرطِ `can_edit` وسلطةِ الدورِ المناسبة.</t>
  </si>
  <si>
    <t xml:space="preserve">من الشاشةِ نفسِها نفِّذ `kri_threshold` بنجاح وتحقَّق من أثرِه في القاعدةِ ومن الحدثِ المنشور.</t>
  </si>
  <si>
    <t xml:space="preserve">الفعلُ kri_threshold قائمٌ في المعالج (risk_actions.php:433) وفي الخدمة (RiskService::setKriThreshold سطر 939)، وبحثٌ في كل ملفات php/js خارج tools/ لا يُظهر أيَّ مُرسِلٍ له.</t>
  </si>
  <si>
    <t xml:space="preserve">INJ-0390</t>
  </si>
  <si>
    <t xml:space="preserve">§١٢ و٢٣-٢ الدورةُ المستنديةُ الحاكمة</t>
  </si>
  <si>
    <t xml:space="preserve">كشفُ التكرارِ في M-16 يمنع النسخَ لكن يبقي بابَ التسجيلِ المشروعِ مفتوحًا بقرارٍ مسبَّب — ولا مرحلةَ بلا مخرَج.</t>
  </si>
  <si>
    <t xml:space="preserve">`force_duplicate` مقبولٌ في المعالج (`risk_actions.php:120` و`:136`) ومُحترَمٌ في الخدمة (`RiskService.php:236`) لكن لا نموذجَ يرسله: نموذجُ الإنشاء (`risk_register.php:194-206`) وسكربتُ الفرزِ (`risk_signals.php:139-152`) لا يحويانه. والنتيجةُ أنَّ خطرًا مشابهًا مشروعًا لا يمكن تسجيلُه إطلاقًا.</t>
  </si>
  <si>
    <t xml:space="preserve">حاجزُ التكرارِ يتحول من ضابطٍ إلى مانعٍ مطلق: عند اصطدامِ الخطرِ الجديدِ بمفتاحِ التكرار تظهر رسالةٌ «مطابق قائم» ولا سبيلَ لتجاوزها — فيُسجَّل الخطرُ خارجَ النظام أو لا يُسجَّل.</t>
  </si>
  <si>
    <t xml:space="preserve">زرُّ التجاوزِ المسبَّبُ لم يُبنَ في الواجهة رغم دعمِ الخادمِ له.</t>
  </si>
  <si>
    <t xml:space="preserve">Risk/risk_actions.php:120; :136; app/Services/Risk/RiskService.php:236; Risk/risk_register.php:194; :206; :227</t>
  </si>
  <si>
    <t xml:space="preserve">١) أنشئ خطرًا بوحدةٍ وسببٍ جذريٍّ ونطاقٍ معيَّن.
٢) أنشئ خطرًا آخرَ بالقيمِ نفسِها ضمن نافذةِ التكرار.
٣) تظهر رسالةُ «⚠ مطابق قائم — RSK-…» ولا يوجد زرٌّ «سجِّله رغم التشابه».</t>
  </si>
  <si>
    <t xml:space="preserve">في `Risk/risk_register.php` بعد السطر 227 أظهِر زرَّ «تسجيلٌ رغم التشابه» يطلب سببًا نصيًّا ويُعيد الإرسالَ مع `force_duplicate=1&amp;force_reason=…`؛ وفي `RiskService::createRisk` سجِّل السببَ في عمودٍ جديدٍ `force_reason` وأطلِق حدثًا `RiskDuplicateForced`.</t>
  </si>
  <si>
    <t xml:space="preserve">بعد ظهورِ تحذيرِ التكرار اضغط «تسجيلٌ رغم التشابه» واكتب سببًا: يجب أن يُنشأ الخطرُ ويُسجَّل السببُ ويُنشر الحدث.</t>
  </si>
  <si>
    <t xml:space="preserve">‏force_duplicate مقبولٌ في risk_actions.php:120 و:136 ومُحترَمٌ في RiskService.php:236، ومسحُ php وjs يُظهر صفرَ نموذجٍ يرسله — وcreateRisk يعيد قائمةَ المتشابهات بلا إنشاءٍ عند غيابه، فيتعذّر التسجيلُ المشروع.</t>
  </si>
  <si>
    <t xml:space="preserve">INJ-0391</t>
  </si>
  <si>
    <t xml:space="preserve">§١٢ و٢٣-٥ الأثرُ العابرُ للإدارات · فعلُ العكس</t>
  </si>
  <si>
    <t xml:space="preserve">«عقدُ كلِّ فعل: سداسيٌّ: الرمزُ والفاعلُ وما يُكتب والحدثُ والمستهلكُ **وفعلُ العكس**» — فلكلِّ فعلٍ عكسُه.</t>
  </si>
  <si>
    <t xml:space="preserve">العمودانِ `risk_acceptances.withdrawn_by` و`withdrawn_at` (`database/schema/schema.sql:8667-8668`) يُقرآنِ ويُصيَّرانِ في الشاشة (`risk_acceptance.php:33` و`:119`) لكن لا سطرَ في المستودعِ يكتبهما: لا فعلَ `acceptance_withdraw` في `risk_actions.php` ولا دالةَ في `RiskService`.</t>
  </si>
  <si>
    <t xml:space="preserve">قبولُ الخطرِ قرارٌ نهائيٌّ لا رجعةَ فيه: لو تبيَّن خطأُ القبولِ أو تغيَّرت الظروفُ فلا سبيلَ لسحبِه إلا بتعديلٍ مباشرٍ على القاعدة.</t>
  </si>
  <si>
    <t xml:space="preserve">أعمدةُ العكسِ أُنشئت في المخططِ وصُيِّرت في الشاشةِ قبل بناءِ الفعل.</t>
  </si>
  <si>
    <t xml:space="preserve">database/schema/schema.sql:8667; :8668; Risk/risk_acceptance.php:33; :119; Risk/risk_actions.php:363</t>
  </si>
  <si>
    <t xml:space="preserve">١) افتح `Risk/risk_acceptance.php`: يظهر عمودا «سُحب بواسطة» و«تاريخ السحب» فارغين.
٢) ابحث عن زرِّ سحبٍ: لا يوجد.
٣) `grep -n withdrawn_by Risk/ app/Services/Risk/` → قراءةٌ فقط.</t>
  </si>
  <si>
    <t xml:space="preserve">أضِف `case 'acceptance_withdraw'` في `Risk/risk_actions.php` يستدعي `RiskService::withdrawAcceptance($conn,$co,$acceptanceId,$reason,$uid)` بشرطِ سلطةٍ ≥ سلطةِ القبولِ الأصلي، يكتب `withdrawn_by/at`، يعيد `risk_register.state` إلى `reassessment`، ويُطلق `RiskAcceptanceWithdrawn`.</t>
  </si>
  <si>
    <t xml:space="preserve">اسحب قبولًا بسببٍ مكتوب: تمتلئ الأعمدةُ، وتعود حالةُ الخطرِ إلى `reassessment`، ويُنشر الحدث.</t>
  </si>
  <si>
    <t xml:space="preserve">العمودان قائمان في المخطط (8667-8668) ويُقرآن ويُصيَّران (:33 · :42-44 · :101 · :119) ولا سطرَ واحدٍ في المستودع كلِّه يكتبهما — لا فعلٌ في المعالج ولا دالةٌ في الخدمة.</t>
  </si>
  <si>
    <t xml:space="preserve">INJ-0392</t>
  </si>
  <si>
    <t xml:space="preserve">§٤-٥ قواعدُ السايدبار · NAV-09</t>
  </si>
  <si>
    <t xml:space="preserve">المخاطر المالية / مخاطر الحوكمة والالتزام</t>
  </si>
  <si>
    <t xml:space="preserve">http://localhost/ems/Risk/risk_dept_fin.php</t>
  </si>
  <si>
    <t xml:space="preserve">M-14 TABLE 33/35 تسمّي شاشة «مخاطر الحوكمة والالتزام» (`risk_dept_gov.php`) ضمن مجموعةِ المرحلةِ «مخاطرُ الإدارة» — أي شاشةٌ يجب أن تكون في قائمةِ دورِها.</t>
  </si>
  <si>
    <t xml:space="preserve">الملفّان `Risk/risk_dept_fin.php` و`Risk/risk_dept_gov.php` موجودانِ ومسجَّلانِ مودولين 345/346 ومُمنَحانِ للأدوار، لكن لا صفَّ لهما في `nav_items` إطلاقًا — بحثٌ في `database/schema/seed_reference.sql` عن مسارَيهما لا يُرجع أيَّ صفِّ تنقُّل.</t>
  </si>
  <si>
    <t xml:space="preserve">شاشتانِ تسمّيهما M-14 نصًّا غيرُ قابلتين للوصولِ من القائمة — والمبنيُّ الذي لا يُبلَغ كالمعدوم.</t>
  </si>
  <si>
    <t xml:space="preserve">أُنشئ الغلافانِ الرقيقانِ وسُجِّلا في `modules` دون توليدِ صفوفِ `nav_items` المقابلة.</t>
  </si>
  <si>
    <t xml:space="preserve">Risk/risk_dept_fin.php:14; :24; Risk/risk_dept_gov.php:11; :23; database/schema/seed_reference.sql:2190; :2195</t>
  </si>
  <si>
    <t xml:space="preserve">١) ادخل بدور 17 (المالية) أو 15 (الصلاحيات).
٢) افحص السايدبار كاملًا: لا يوجد رابطٌ «المخاطر المالية» ولا «مخاطر الحوكمة والالتزام».
٣) الشاشتانِ تفتحان بالمسارِ المباشرِ فقط.</t>
  </si>
  <si>
    <t xml:space="preserve">أضِف صفَّي `nav_items` للدورين 17 و15 بالبابِ ومجموعةِ المرحلةِ المناسبة (`module_id` 345/346، `permission_code` بمسارِ الملف، `active=1`) عبر هجرةٍ مولَّدةٍ من NAV-09 لا يدويًّا.</t>
  </si>
  <si>
    <t xml:space="preserve">بدور 17 يظهر «المخاطر المالية» في السايدبار ويفتح `Risk/risk_dept_fin.php` مضبوطًا على وحدةِ المالية.</t>
  </si>
  <si>
    <t xml:space="preserve">بحثٌ في كل صفوف nav_items لا يُرجع أيَّ صفٍّ لمسارَي Risk/risk_dept_fin.php وRisk/risk_dept_gov.php رغم تسجيلهما في modules (345/346) ومنحِهما للأدوار.</t>
  </si>
  <si>
    <t xml:space="preserve">INJ-0393</t>
  </si>
  <si>
    <t xml:space="preserve">§٦ الحالاتُ الخمس · الشاشةُ القارئة</t>
  </si>
  <si>
    <t xml:space="preserve">شهية المخاطر وحدود التحمل / المراجعات وقرارات القبول</t>
  </si>
  <si>
    <t xml:space="preserve">الإطار الحاكم</t>
  </si>
  <si>
    <t xml:space="preserve">FRD §١٢-٣ المرحلة ٨: «ثامنًا: الحوكمةُ والإطار — المستند: محضرُ لجنةٍ **وشهيةٌ معتمدة** · المعتمِد: ◆ الرئيسُ التنفيذيُّ للشهية» — فالشاشةُ موضعُ اعتمادٍ لا عرضٍ فقط.</t>
  </si>
  <si>
    <t xml:space="preserve">`Risk/risk_appetite.php:11` يُصفِّر صراحةً `can_edit` و`can_add` («العرض قراءة — والتغيير قرار مالك خارج الشاشة»)، و`Risk/risk_reviews.php:11-25` شاشةُ سردٍ فقط بلا فعلٍ — بينما الفعلانِ `appetite_set` و`risk_review` مبنيّانِ في الخادم.</t>
  </si>
  <si>
    <t xml:space="preserve">مرحلتانِ من مراحلِ M-16 الثمانِ بلا مخرَجٍ من داخلِ النظام: الشهيةُ لا تُعتمد والمراجعةُ الدوريةُ لا تُقرَّر — فتُدار خارجَ النظامِ بلا أثرِ تدقيق.</t>
  </si>
  <si>
    <t xml:space="preserve">عُطِّلت أزرارُ الكتابةِ في الشاشتين انتظارًا لبناءِ النماذجِ ولم تُستكمل.</t>
  </si>
  <si>
    <t xml:space="preserve">Risk/risk_appetite.php:10; :11; Risk/risk_reviews.php:11; :25; Risk/risk_actions.php:383; :414</t>
  </si>
  <si>
    <t xml:space="preserve">١) بحساب الرئيس (دور 9) افتح `Risk/risk_appetite.php`: لا زرَّ تعديلٍ ولا إضافة.
٢) افتح `Risk/risk_reviews.php`: قائمةُ ما استُحقَّ بلا زرِّ قرار.</t>
  </si>
  <si>
    <t xml:space="preserve">أزِل التصفيرَ في `Risk/risk_appetite.php:11` واربط زرَّ «اعتماد الشهية» بـ`do=appetite_set` بشرطِ دورِ الرئيس؛ وأضِف في `Risk/risk_reviews.php` عمودَ إجراءٍ يرسل `do=risk_review` بقرارٍ ونتائجَ مكتوبة.</t>
  </si>
  <si>
    <t xml:space="preserve">بحساب الرئيس تُعتمد شهيةٌ جديدةٌ من الشاشةِ ويُنشر الحدث؛ وبحساب دور 28 تُسجَّل مراجعةٌ دوريةٌ بقرارٍ من شاشةِ المراجعات.</t>
  </si>
  <si>
    <t xml:space="preserve">risk_appetite.php:11 يُصفّر can_edit وcan_add بتعليقٍ صريح «العرض قراءة — والتغيير قرار مالك خارج الشاشة»، بينما الفعلان appetite_set (risk_actions.php:414) وrisk_review (:383) مبنيّان في الخادم بلا مُرسِلٍ من الشاشتين.</t>
  </si>
  <si>
    <t xml:space="preserve">INJ-0394</t>
  </si>
  <si>
    <t xml:space="preserve">GOVX-0974-أ · «زرُّ التصديرِ CM-14 واعيًا بالمنظرِ · ويعرض الخياراتِ الثمانيةَ قبل التنفيذ»</t>
  </si>
  <si>
    <t xml:space="preserve">تقارير المخاطر والتحليلات</t>
  </si>
  <si>
    <t xml:space="preserve">http://localhost/ems/Risk/risk_reports.php</t>
  </si>
  <si>
    <t xml:space="preserve">الإطار والحوكمة</t>
  </si>
  <si>
    <t xml:space="preserve">«كلُّ شاشةِ بياناتٍ … توفّر زرَّ التصديرِ CM-14 واعيًا بالمنظرِ · ويعرض الخياراتِ الثمانيةَ قبل التنفيذ. (اختبارُ خيارات: الثمانيةُ متاحةٌ … ولكلٍّ ناتجٌ مختلفٌ مقيس)» · و«RSK risk.report.export: سجلُّ تصديرٍ بتسعةِ بنودٍ — والحقولُ الحساسةُ محجوبةٌ بالصلاحية».</t>
  </si>
  <si>
    <t xml:space="preserve">`Risk/risk_reports.php` يجمع ويعرض ويسجّل التصديرَ بتسعةِ بنودٍ في `risk_export_log`، لكن **بلا نافذةِ الخياراتِ الثمانيةِ** ولا وعيٍ بالمنظر: لا استدعاءَ لـ`ems_excel_header_actions` ولا لإطارِ التصديرِ الموحَّد (بخلافِ `Clients/commercial_risks.php:407` الذي يستدعيه). وسائرُ شاشاتِ `Risk/` العشرين بلا زرِّ تصديرٍ إطلاقًا.</t>
  </si>
  <si>
    <t xml:space="preserve">أربعٌ وعشرون شاشةً في وحدةٍ حاكمةٍ بلا زرِّ تصديرٍ محكوم: يُخرج المستخدمُ البياناتِ بالنسخِ اليدويِّ (بلا سجلِّ اطّلاعٍ ولا حجبِ حقولٍ حساسة)، أو لا يستطيع إخراجَها فيلجأ إلى طلبِ تقريرٍ من التقنية.</t>
  </si>
  <si>
    <t xml:space="preserve">بُني سجلُّ التصديرِ ولم يُوصَل بإطارِ التصديرِ الموحَّدِ ذي الخياراتِ الثمانية.</t>
  </si>
  <si>
    <t xml:space="preserve">Risk/risk_reports.php:36-41; :50; Clients/commercial_risks.php:407; includes/excel_ui.php:1</t>
  </si>
  <si>
    <t xml:space="preserve">١) افتح `Risk/risk_reports.php`: لا زرَّ تصديرٍ في الترويسة.
٢) افتح `Risk/risk_register.php` (٣٦ عمودًا): لا زرَّ تصدير.
٣) قارِنها بـ`Clients/commercial_risks.php` التي تعرض أزرارَ الإطارِ الموحَّد.</t>
  </si>
  <si>
    <t xml:space="preserve">سجِّل كياناتِ المخاطرِ في `app/Services/Excel/ExcelRegistry.php` (تصديرًا فقط، بلا استيراد)، ونادِ `ems_excel_header_actions()` في ترويسةِ `Risk/risk_reports.php` و`Risk/risk_register.php` و`Risk/risk_acceptance.php`؛ واربِط سجلَّ `risk_export_log` بمسارِ `excel.php` كي يُكتب لكلِّ تصديرٍ لا للتصديرِ اليدويِّ وحدَه.</t>
  </si>
  <si>
    <t xml:space="preserve">كلُّ شاشةِ بياناتٍ في `Risk/` تعرض زرَّ التصديرِ بالخياراتِ الثمانية؛ وكلُّ تصديرٍ يُنتج صفًّا في `risk_export_log` بتسعةِ بنودٍ ويحجب الحقولَ الحساسةَ لغيرِ المخوَّل.</t>
  </si>
  <si>
    <t xml:space="preserve">تحقّقت: `Risk/risk_reports.php` يسجّل التصديرَ في `risk_export_log` لكنه لا يستدعي `ems_excel_header_actions` ولا الإطارَ الموحّد — بخلاف `Clients/commercial_risks.php:407` الذي يستدعيه؛ وسائرُ شاشات Risk/ بلا زرِّ تصدير.</t>
  </si>
  <si>
    <t xml:space="preserve">INJ-0395</t>
  </si>
  <si>
    <t xml:space="preserve">TABLE 45 (risk.gov.view) · النطاقُ الإداري</t>
  </si>
  <si>
    <t xml:space="preserve">http://localhost/ems/Risk/dept_risk_space.php?tab=kris</t>
  </si>
  <si>
    <t xml:space="preserve">النطاقُ الإداريُّ شرطُ عرضٍ بنيويٌّ — «بنطاقِ الإدارةِ» — ولا يُبنى على مطابقةِ نصوص.</t>
  </si>
  <si>
    <t xml:space="preserve">تبويبُ المؤشراتِ يرشِّح بمطابقةٍ نصيةٍ ضبابية: `AND dept_ar LIKE '%&lt;أول عشرة أحرف من اسم الوحدة&gt;%'` (`dept_risk_space.php:98-101`)؛ وإذا فشل جلبُ اسمِ الوحدةِ (`$unitName === ''`) يسقط الشرطُ كليًّا فتُعرض **كلُّ** مؤشراتِ الشركة.</t>
  </si>
  <si>
    <t xml:space="preserve">عرضٌ خاطئٌ في الحالتين: مؤشراتُ إدارةٍ أخرى تظهر إن تشابهت الأسماءُ، وكلُّ المؤشراتِ تظهر إن لم يُقرأ اسمُ الوحدة — والاستعلامُ في السطر 17 بلا `company_id` فيزيد احتمالَ الفراغ.</t>
  </si>
  <si>
    <t xml:space="preserve">`risk_kris` تحمل اسمَ الإدارةِ نصًّا (`dept_ar`) بدل مفتاحٍ إلى `org_units`.</t>
  </si>
  <si>
    <t xml:space="preserve">Risk/dept_risk_space.php:14-18; :98-101</t>
  </si>
  <si>
    <t xml:space="preserve">١) ادخل بدورِ إدارةٍ اسمُ وحدتِها يشبه اسمَ وحدةٍ أخرى في أولِ عشرةِ أحرف.
٢) افتح `Risk/dept_risk_space.php?tab=kris`: تظهر مؤشراتُ الإدارتين.
٣) احذف اسمَ الوحدةِ من `org_units` (أو اجعل `unit_id` غيرَ مطابق): تظهر كلُّ مؤشراتِ الشركة.</t>
  </si>
  <si>
    <t xml:space="preserve">أضِف عمودَ `org_unit_id` إلى `risk_kris` بهجرةٍ تملأه من `dept_ar`، وبدِّل شرطَ `dept_risk_space.php:100` إلى `AND k.org_unit_id = {$unit}`، واجعل الفشلَ مغلقًا (`AND 1=0`) لا مفتوحًا.</t>
  </si>
  <si>
    <t xml:space="preserve">بحساب إدارةٍ بعينها: تُعرض مؤشراتُها وحدَها؛ وبإجبارِ `$unitName=''` لا تُعرض أيُّ مؤشرات (لا الكل).</t>
  </si>
  <si>
    <t xml:space="preserve">تحقّقت حرفيًّا: تبويبُ المؤشرات يرشِّح بـ`dept_ar LIKE '%&lt;أول عشرة أحرف&gt;%'` وإذا كان `$unitName === ''` يسقط الشرطُ فتُعرض كلُّ مؤشرات الشركة (والاستعلامُ لا يستعمل مرشِّحَ النطاق `$w` المستعمل في بقية التبويبات).</t>
  </si>
  <si>
    <t xml:space="preserve">INJ-0396</t>
  </si>
  <si>
    <t xml:space="preserve">GOV-0370-ب · اختبارُ منع الأفعال السبعة</t>
  </si>
  <si>
    <t xml:space="preserve">http://localhost/ems/Risk/risk_actions.php</t>
  </si>
  <si>
    <t xml:space="preserve">«اختبارُ منع: كلُّ محاولةٍ من السبعِ تُرفض في الخادمِ برمزٍ وسبب» — والمنعُ في الخادمِ لا في الواجهة (CORE AR-05).</t>
  </si>
  <si>
    <t xml:space="preserve">لا فعلَ من أفعالِ `risk_actions.php` يفحص نطاقَ الإدارة: `RiskService::requireRisk` (`RiskService.php:286-294`) يفحص `company_id` فقط. وفعلُ `incident_log` محروسٌ بـ`$canSignal` (`risk_actions.php:391-392`) وهو `can_view` على `dept_risk_space` — أي كلُّ رؤساءِ الإداراتِ الخمسةَ عشرَ — ويقبل أيَّ `realized_risk_id`، فيدفع خطرَ إدارةٍ أخرى قسرًا إلى حالة `reassessment` (`RiskService.php:806-810`).</t>
  </si>
  <si>
    <t xml:space="preserve">إدارةٌ تشغيليةٌ تُغيّر حالةَ خطرٍ لا تملكه بمجرَّد تسجيلِ واقعةٍ عليه — وهو تغييرٌ في تقييمِ خطرٍ جوهريٍّ يمنعه GOV-0370-ب صراحة.</t>
  </si>
  <si>
    <t xml:space="preserve">حارسُ الملكيةِ بُني للقراءةِ (`risk_scope_sql`) ولم يُنقل إلى مسالكِ الكتابة.</t>
  </si>
  <si>
    <t xml:space="preserve">Risk/risk_actions.php:391; :392; app/Services/Risk/RiskService.php:286; :294; :806; :810</t>
  </si>
  <si>
    <t xml:space="preserve">١) بحساب دور 25 أرسل POST إلى `Risk/risk_actions.php` بـ`do=incident_log&amp;realized_risk_id=&lt;خطرٌ للمالية&gt;&amp;itype=واقعة&amp;title=…&amp;occurred_at=…`.
٢) الاستجابة `{"ok":true}`.
٣) استعلم `SELECT state FROM risk_register WHERE id=&lt;الخطر&gt;` → صارت `reassessment`.</t>
  </si>
  <si>
    <t xml:space="preserve">في `RiskService::requireRisk` أضِف وسيطي `$actorUnit,$actorFull` واشترط `owner_unit_id = $actorUnit` لغيرِ أصحابِ المحفظةِ الكاملة، وارمِ `RSK-403-SCOPE`؛ ومرِّرهما من `Risk/risk_actions.php` بعد حسابِهما بالدالتين `risk_full_portfolio()` و`risk_role_org_unit()`.</t>
  </si>
  <si>
    <t xml:space="preserve">بحساب دورٍ خارجَ إدارةِ الخطر أرسل `incident_log` بـ`realized_risk_id` لخطرِ إدارةٍ أخرى: يجب 403 `RSK-403-SCOPE` وبقاءُ `state` كما هو.</t>
  </si>
  <si>
    <t xml:space="preserve">requireRisk يفحص company_id فقط وincident_log محروسٌ بـ$canSignal (can_view على مساحة مخاطر الإدارة)، وrealized_risk_id يقلب حالةَ خطرِ إدارةٍ أخرى إلى reassessment — تجاوزُ نطاقٍ داخل الكيان لا تسريبَ بيانات.</t>
  </si>
  <si>
    <t xml:space="preserve">INJ-0397</t>
  </si>
  <si>
    <t xml:space="preserve">TABLE 37 · الحقلُ الحساس «مالكُ الخطر» + TABLE 46 سجلُّ الاطّلاع</t>
  </si>
  <si>
    <t xml:space="preserve">M-14 يصنّف «مالكُ الخطر» حقلًا حساسًا في شاشاتِ المخاطر (TABLE 37)، ويُلزم «سجلُّ اطّلاعٍ لكل حساس» (TABLE 46 · بيانُ المطابقة).</t>
  </si>
  <si>
    <t xml:space="preserve">الحقلُ مصنَّفٌ حساسًا في M-14 ضمن شاشة «مخاطر الحوكمة والالتزام» تحديدًا (m14_readable.md:59) — والملاحظةُ تعمّمه على سجل المخاطر وبطاقته. — [مُصحَّح بعد التحقق] الصياغة الأولى: العمودُ يُصيَّر بلا أيِّ حارسٍ ولا تسجيلِ اطّلاع: `risk_register.php:124` و`:148-149` يستعملان `$V()` وهي `risk_col_visible()` — أداةُ كثافةِ أعمدةٍ (CM-09) لا فحصَ صلاحية؛ و`risk_card.php:89` يصيّره </t>
  </si>
  <si>
    <t xml:space="preserve">اطّلاعٌ على حقلٍ حساسٍ بلا أثر: لا يمكن الإجابةُ عن «مَن اطّلع على مالكي المخاطر ومتى» — وهو سؤالُ المراجعةِ الأول.</t>
  </si>
  <si>
    <t xml:space="preserve">الشاشاتُ استعملت أداةَ إخفاءِ الأعمدةِ البصريةَ ظنًّا أنها حارسُ حساسية، ولم تُسجَّل حقولُ `Risk` في `scr_sensitive_fields`.</t>
  </si>
  <si>
    <t xml:space="preserve">Risk/_risk_views.php:105-113; Risk/risk_register.php:120; :124; :148-149; Risk/risk_card.php:89</t>
  </si>
  <si>
    <t xml:space="preserve">١) افتح `Risk/risk_register.php` بأيِّ دورٍ له can_view.
٢) لاحظ ظهورَ عمود «مالك الخطر».
٣) استعلم `SELECT COUNT(*) FROM sensitive_read_log WHERE field_ref LIKE 'risk_register%'` → صفر دائمًا.</t>
  </si>
  <si>
    <t xml:space="preserve">① أدرِج صفوفَ `scr_sensitive_fields` لـ`risk_register.risk_owner_user_id` و`risk_controls.owner_user_id` بحالة «معتمد» و`log_views_flag='نعم'`. ② في `Risk/risk_register.php:148` و`risk_card.php:89` لُفَّ التصييرَ بـ`SensitiveFieldGuard::canRead()` ونادِ `ems_log_sensitive_read()` قبل الطباعة.</t>
  </si>
  <si>
    <t xml:space="preserve">افتح السجلَّ بدورٍ مخوَّل: يظهر الاسمُ ويُكتب صفٌّ في `sensitive_read_log`؛ وبدورٍ غيرِ مخوَّل: يظهر «●●●» ولا يُكتب اسمٌ في مصدرِ الصفحة.</t>
  </si>
  <si>
    <t xml:space="preserve">`risk_col_visible` أداةُ منظرٍ لا صلاحية (`_risk_views.php:105-113`)، و`risk_card.php:89` يصيّر مالكَ الخطر بلا شرط، ولا استدعاءَ لـ`SensitiveFieldGuard` ولا كتابةَ في `sensitive_read_log` من مجلد Risk.</t>
  </si>
  <si>
    <t xml:space="preserve">INJ-0398</t>
  </si>
  <si>
    <t xml:space="preserve">SEC-025 · الصلاحياتُ والنطاق</t>
  </si>
  <si>
    <t xml:space="preserve">الدورُ المخوَّلُ بالعرضِ يرى ما مُنح له — «الدورُ يحدد الروابطَ التي تتبع له، والصلاحيةُ تحدد أتظهر الصفحةُ أم لا».</t>
  </si>
  <si>
    <t xml:space="preserve">الدورُ 30 «مشرف المخاطر» يملك `can_view` على المودولات 321-340 و345/346 و307 (٢٣ منحة) لكنه غائبٌ عن خريطةِ المحفظةِ الكاملة (`_risk_common.php:41`) وعن خريطةِ وحداتِ الأدوار (`:47-63`)، فيُنتج `risk_scope_sql` الشرطَ `AND 1=0`؛ وغائبٌ أيضًا عن `_risk_authority.php:12` فتكون سلطتُه `''` ولا يقبل ولا يغلق شيئًا.</t>
  </si>
  <si>
    <t xml:space="preserve">دورٌ كاملُ المنحِ يرى عشرينَ شاشةً فارغةً تمامًا ولا يستطيع أيَّ فعل — منحةٌ بلا أثرٍ تُضلّل مراجعةَ الصلاحيات.</t>
  </si>
  <si>
    <t xml:space="preserve">أُضيف الدورُ 30 إلى `roles` و`role_permissions` ولم يُضَف إلى الخرائطِ الثلاثِ المكتوبةِ يدويًّا في كودِ المخاطر.</t>
  </si>
  <si>
    <t xml:space="preserve">Risk/_risk_common.php:41; :45-66; :100; Risk/_risk_authority.php:12; database/schema/seed_reference.sql:48</t>
  </si>
  <si>
    <t xml:space="preserve">١) ادخل بحساب دور 30.
٢) افتح `Risk/risk_register.php`: القائمةُ فارغةٌ («لا مخاطر مسجلة في نطاقك»).
٣) جرِّب `do=risk_accept`: يعود `RSK-403: لا سلطة قبول لدورك`.</t>
  </si>
  <si>
    <t xml:space="preserve">حدِّد قصدَ الدور: إن كان مشرفًا على المحفظةِ كاملةً أضِف `'30'` إلى `risk_full_portfolio()` في `Risk/_risk_common.php:41` وإلى `risk_actor_authority_map()` برتبة `analyst`؛ وإلا فاسحب منحَه الـ٢٣ من `role_permissions`. والأفضلُ استبدالُ الخرائطِ الثلاثِ بجدولٍ واحدٍ `risk_role_scope`.</t>
  </si>
  <si>
    <t xml:space="preserve">بحساب دور 30: إمّا يرى السجلَّ ويستطيع الأفعالَ المخوَّلة، وإمّا لا يرى الشاشةَ أصلًا — ولا حالةَ ثالثةَ «شاشةٌ ظاهرةٌ فارغةٌ بلا فعل».</t>
  </si>
  <si>
    <t xml:space="preserve">الدورُ 30 غائبٌ عن risk_full_portfolio (السطر 41) وعن risk_role_org_unit (45-66) وعن risk_actor_authority_map (_risk_authority.php:12) فيصير شرطُه AND 1=0 وسلطتُه فارغة — رغم اثنتين وعشرين منحةَ عرض.</t>
  </si>
  <si>
    <t xml:space="preserve">INJ-0399</t>
  </si>
  <si>
    <t xml:space="preserve">TABLE 49 (مرجع التفويض) · «بأي صفةٍ اعتمد»</t>
  </si>
  <si>
    <t xml:space="preserve">القبولُ في المستوى «متوسط» يقع من «مالكِ الخطرِ بمراجعةِ محللِ المخاطر» — طرفانِ لا طرفٌ واحد.</t>
  </si>
  <si>
    <t xml:space="preserve">`RiskService.php:588-592` يقبل الفرعَ المتوسطَ إن كانت رتبةُ الفاعلِ ≥ 2 **أو** وُجد `analystReviewBy`؛ ورتبةُ `analyst` هي 2 — فالمحللُ وحدَه (دور 29) يجتاز الشرطَ بلا أيِّ مشاركةٍ من المالكِ وبلا `analyst_review_by`.</t>
  </si>
  <si>
    <t xml:space="preserve">فصلُ الواجباتِ في الدرجةِ الأكثرِ شيوعًا يسقط: طرفٌ واحدٌ يقبل خطرًا متوسطًا في أيِّ إدارةٍ من الشركة.</t>
  </si>
  <si>
    <t xml:space="preserve">شرطُ «طرفين» كُتب `if ($have &lt; 2 &amp;&amp; empty($analystReviewBy))` وهو يمرُّ برتبةٍ عاليةٍ منفردة.</t>
  </si>
  <si>
    <t xml:space="preserve">app/Services/Risk/RiskService.php:585-593</t>
  </si>
  <si>
    <t xml:space="preserve">١) بحساب دور 29 أرسل `do=risk_accept` لخطرٍ «متوسط» بلا `analyst_review_by`.
٢) الاستجابة `{"ok":true}` وصفٌّ في `risk_acceptances` بـ`analyst_review_by = NULL`.</t>
  </si>
  <si>
    <t xml:space="preserve">بدِّل الشرطَ في `RiskService.php:590` إلى: قبولُ «متوسط» يتطلب أن يكون الفاعلُ مالكَ الخطرِ **و**أن يكون `analyst_review_by` مستخدمًا فعّالًا بدور 28/29 مختلفًا عن الفاعل؛ ولا يُقبل بغيرِ ذلك مهما علت الرتبة (عدا `ceo`).</t>
  </si>
  <si>
    <t xml:space="preserve">قبولُ خطرٍ «متوسط» بلا `analyst_review_by` يُرفض 403؛ ومع مراجعٍ = الفاعلِ نفسِه يُرفض؛ ومع مراجعٍ مختلفٍ من دور 29 يُقبل.</t>
  </si>
  <si>
    <t xml:space="preserve">شرطُ المستوى المتوسط يمرّ بـ$have&gt;=2 وحده ورتبةُ analyst تساوي 2، فيقبل المحلّلُ منفردًا بلا مالكِ الخطر وبلا analyst_review_by خلافًا لمصفوفة الاعتماد.</t>
  </si>
  <si>
    <t xml:space="preserve">INJ-0400</t>
  </si>
  <si>
    <t xml:space="preserve">RSK risk.committee.close · «◆ المحضرُ معتمدٌ لا يُعدَّل — والتصحيحُ محضرٌ لاحقٌ يشير إليه»</t>
  </si>
  <si>
    <t xml:space="preserve">لجنة المخاطر</t>
  </si>
  <si>
    <t xml:space="preserve">http://localhost/ems/Risk/risk_committee.php</t>
  </si>
  <si>
    <t xml:space="preserve">«◆ المحضرُ معتمدٌ لا يُعدَّل — والتصحيحُ محضرٌ لاحقٌ يشير إليه» — والمنعُ في الخادمِ بقيدٍ لا باتفاق.</t>
  </si>
  <si>
    <t xml:space="preserve">حراسةُ الاعتمادِ سليمةٌ (`Risk/risk_committee.php:38-52`: الرئيسُ حصرًا + `AND state='draft'` يمنع الاعتمادَ مرتين). لكن **لا حارسَ على تعديلِ المحضرِ المعتمد**: لا مسلكَ تعديلٍ في الشاشةِ ولا قادحَ قاعدةٍ يمنع `UPDATE` على `risk_committee` بحالة `approved` — بخلافِ `exec_decisions` المحميةِ بقادحِ BR-CEO-08 (`Portal/ceo_risk.php:8`). وأيُّ منحةِ `can_edit` أو استيرادِ Excel أو مسلكٍ لاحقٍ يفتح التعديلَ بلا مانع.</t>
  </si>
  <si>
    <t xml:space="preserve">مستندُ المرحلةِ الثامنةِ — محضرُ لجنةِ المخاطرِ المعتمدُ من الرئيس — غيرُ محصَّنٍ بنيويًّا: يمكن تغييرُ قراراتِه بعد الاعتمادِ بلا أثرٍ ولا نسخةٍ سابقة.</t>
  </si>
  <si>
    <t xml:space="preserve">اعتُمد على غيابِ مسلكِ التعديلِ في الشاشةِ بدل قيدٍ في القاعدةِ — حمايةٌ بالصدفةِ لا بالحارس.</t>
  </si>
  <si>
    <t xml:space="preserve">Risk/risk_committee.php:38-52; database/migrations/2026_11_14_m00_exec_tables.sql:220 (النظيرُ المحصَّن)</t>
  </si>
  <si>
    <t xml:space="preserve">١) أنشئ محضرًا واعتمِده بحساب الرئيس.
٢) استعلم قادحاتِ `risk_committee`: لا قادحَ منعِ تعديل.
٣) نفِّذ `UPDATE risk_committee SET resolutions_ar='...' WHERE state='approved'`: ينجح.</t>
  </si>
  <si>
    <t xml:space="preserve">أضِف قادحَ `BEFORE UPDATE ON risk_committee` يرفض أيَّ تعديلٍ على صفٍّ بحالة `approved` عدا أعمدةِ الربطِ بالمحضرِ اللاحق؛ وأضِف في `Risk/risk_committee.php` زرَّ «محضرُ تصحيحٍ لاحق» يُنشئ محضرًا جديدًا بـ`parent_ref` إلى الأصل.</t>
  </si>
  <si>
    <t xml:space="preserve">`UPDATE` على محضرٍ معتمدٍ يُرفض على مستوى القاعدة؛ وزرُّ التصحيحِ يُنشئ محضرًا جديدًا مرتبطًا بالأصلِ بالمرجعِ الأب.</t>
  </si>
  <si>
    <t xml:space="preserve">لا قادحَ BEFORE UPDATE على risk_committee في المخطط ولا في الهجرات، بخلاف exec_approvals/exec_decisions المحميتين بقادح BR-CEO-08؛ وحارسُ الاعتماد نفسُه سليمٌ (AND state='draft' سطر 43-46). رقمُ السطر schema.sql:8951 يقع في جدول risk_register لا risk_committee.</t>
  </si>
  <si>
    <t xml:space="preserve">INJ-0401</t>
  </si>
  <si>
    <t xml:space="preserve">§٢٦-١ نوع ٦ · تنبيه</t>
  </si>
  <si>
    <t xml:space="preserve">المراسلات والتنبيهات</t>
  </si>
  <si>
    <t xml:space="preserve">http://localhost/ems/Portal/notifications.php</t>
  </si>
  <si>
    <t xml:space="preserve">«تنبيه: إشعارٌ بمعلومةٍ أو اقترابِ موعد — لا يتحول مهمةً إلا بفعلٍ مطلوب» — أي أنَّ الأحداثَ الجوهريةَ تُنتج تنبيهًا لصاحبِ الشأن.</t>
  </si>
  <si>
    <t xml:space="preserve">الجدولُ `personal_notifications` لا يُكتب إلا من `WorkItemService::notifyUser` (`WorkItemService.php:536`)، ونداءاتُها محصورةٌ في: `RequestService` (الطلبات)، `AchievementService` (الإنجاز)، `RoutingEngine:421` (التوجيه المالي)، `FinRequests/_finreq_helpers.php:988`، `chats/send_message.php:73`، وداخلَ `WorkItemService` نفسِه. فلا تُنتج أفعالُ المخاطرِ — ومنها **تصعيدُ خطرٍ حرجٍ إلى الرئيس** — أيَّ تنبيهٍ شخصيّ؛ ولا أفعالُ المراجعةِ الداخليةِ ولا الحوكمةِ ولا الأسطولِ ولا العقود.</t>
  </si>
  <si>
    <t xml:space="preserve">لا يعلم صاحبُ الشأنِ بما يخصُّه إلا بفتحِ الشاشةِ المعنيةِ يدويًّا: تصعيدٌ للرئيسِ لا يُنبَّه به، وملاحظةُ مراجعةٍ تنتظر ردَّ الإدارةِ لا تصل، ومهلةٌ تقترب لا تُذكِّر.</t>
  </si>
  <si>
    <t xml:space="preserve">قناةُ التنبيهِ الشخصيِّ بُنيت داخلَ محرّكِ العملِ وارتبطت بمساراتِه وحدَها بدل أن تكون مستهلكًا عامًّا للأحداث.</t>
  </si>
  <si>
    <t xml:space="preserve">app/Services/Work/WorkItemService.php:532; :536; app/Services/Work/RequestService.php:163; app/Services/Finance/RoutingEngine.php:421; chats/send_message.php:73; app/Services/Risk/RiskService.php:1085; Portal/notifications.php:79</t>
  </si>
  <si>
    <t xml:space="preserve">١) اجعل تقييمَ خطرٍ يبلغ «حرج» فيُنشأ تصعيدٌ آليٌّ إلى الرئيس (`RiskService.php:351-354`).
٢) ادخل بحساب الرئيس (دور 9) وافتح `Portal/notifications.php`.
٣) لا تنبيهَ إطلاقًا.
٤) استعلم `SELECT COUNT(*) FROM personal_notifications WHERE title LIKE '%تصعيد%'` → صفر.</t>
  </si>
  <si>
    <t xml:space="preserve">في `app/Services/Risk/RiskService::escalate` (السطر 1085) أضِف نداءَ `WorkItemService::notifyUser` لكلِّ مستخدمٍ في الدورِ المستهدَفِ بـ`requires_action=true`؛ والأفضلُ إنشاءُ مستهلكٍ عامٍّ يحوّل كلَّ حدثٍ مُعلَّمٍ `notifies:[roles]` إلى تنبيهاتٍ شخصية.</t>
  </si>
  <si>
    <t xml:space="preserve">بعد تصعيدِ خطرٍ إلى `ceo` يظهر تنبيهٌ في `Portal/notifications.php` لحساب الرئيس بنوع `action` ورابطٍ إلى `Risk/risk_board.php`.</t>
  </si>
  <si>
    <t xml:space="preserve">الكتابةُ الوحيدةُ في personal_notifications هي WorkItemService.php:536، ومستدعو notifyUser محصورون في WorkItemService و RequestService و AchievementService و RoutingEngine:421 و _finreq_helpers.php:988 و chats/send_message.php:73؛ وRiskService::escalate (1085-1099) يكتفي بـRiskEvents::fire بلا تنبيهٍ شخصيّ.</t>
  </si>
  <si>
    <t xml:space="preserve">INJ-0402</t>
  </si>
  <si>
    <t xml:space="preserve">§٢٦ «صندوقٌ واحدٌ يجمع كلَّ ما ينتظر قراره من كل الإدارات»</t>
  </si>
  <si>
    <t xml:space="preserve">موافقاتي — صندوق ما ينتظر اعتمادي</t>
  </si>
  <si>
    <t xml:space="preserve">«موافقة: قرارٌ مطلوبٌ ضمن سلسلةِ اعتماد» — والشاشةُ تجمع «عناصرَ من مصادرها الأصلية في الإدارات» كلِّها لا من ثلاثةِ مصادر.</t>
  </si>
  <si>
    <t xml:space="preserve">الصندوقُ يقرأ ثلاثةَ منابعَ فقط: `unit_entries` بحالاتٍ خمسٍ مربوطةٍ بخريطةِ أدوارٍ صلبة (`approvals_inbox.php:41-47`)، و`requests` بحاملها (`:78-83`)، و`approval_links` (`:96+`). فلا يظهر فيه: قبولُ خطرٍ ينتظر الرئيسَ، ولا اعتمادُ محضرِ لجنةِ المخاطر، ولا ردُّ إدارةٍ على ملاحظةِ مراجعة، ولا اعتمادُ ميثاقِ المراجعةِ أو خطتها، ولا ترسيةُ عرضٍ في المشتريات، ولا اعتمادُ عقدٍ أو استثناءٍ حوكميّ.</t>
  </si>
  <si>
    <t xml:space="preserve">«صندوقُ الاعتمادِ الموحَّد» ليس موحَّدًا: صاحبُ القرارِ لا يعرف ما ينتظره إلا بتفقُّدِ كلِّ شاشةٍ على حدة، وتتراكم القراراتُ المتأخرةُ بلا مؤشرِ مهلة.</t>
  </si>
  <si>
    <t xml:space="preserve">بُني الصندوقُ على المنابعِ الثلاثةِ المتاحةِ وقتَ إنشائِه ولم يُعرَّف عقدٌ عامٌّ «عنصرُ اعتمادٍ معلَّق» تسجّل فيه الإداراتُ نفسَها.</t>
  </si>
  <si>
    <t xml:space="preserve">Portal/approvals_inbox.php:41-47; :78-83; :96; Risk/risk_committee.php:43-48; Audit/iaf_findings.php:40-48</t>
  </si>
  <si>
    <t xml:space="preserve">١) أنشئ محضرَ لجنةِ مخاطرَ ينتظر اعتمادَ الرئيس (`Risk/risk_committee.php`).
٢) ادخل بحساب الرئيس وافتح `Portal/approvals_inbox.php`.
٣) المحضرُ غيرُ موجودٍ في الصندوق.</t>
  </si>
  <si>
    <t xml:space="preserve">عرِّف جدولًا/عقدًا واحدًا `pending_approvals(source_module, source_ref, decision_role_id, decision_user_id, due_at, jump_url)` تكتب فيه كلُّ إدارةٍ عند نشوءِ قرارٍ معلَّق، واقرأ منه في `Portal/approvals_inbox.php` بجانبِ المنابعِ الثلاثة؛ وأضِف مستهلكَ أحداثٍ يملؤه من `RiskCommitteeMinutesRaised` و`AuditFindingRaised` و`RFQAwaitingAward` وغيرِها.</t>
  </si>
  <si>
    <t xml:space="preserve">لكلِّ قرارٍ معلَّقٍ في أيِّ إدارةٍ يظهر سطرٌ في `Portal/approvals_inbox.php` لصاحبِ القرارِ بزرِّ قفزٍ إلى موضعِ الفعل؛ ويُختبر بخمسةِ أنواعِ قراراتٍ من خمسِ إدارات.</t>
  </si>
  <si>
    <t xml:space="preserve">الصندوقُ يقرأ ثلاثةَ منابعَ فقط: unit_entries بخريطة أدوارٍ صلبة (:41-47) وrequests بحاملها (:78-83) وapproval_links (:96)، فلا يظهر فيه اعتمادُ محضر لجنة المخاطر (Risk/risk_committee.php:43-48) ولا ردُّ ملاحظة المراجعة (Audit/iaf_findings.php:40-48).</t>
  </si>
  <si>
    <t xml:space="preserve">INJ-0403</t>
  </si>
  <si>
    <t xml:space="preserve">§٢٦-٣ المصادرُ الثمانية</t>
  </si>
  <si>
    <t xml:space="preserve">«يُشتق من ثمانيةِ مصادرَ فقط» — والثمانيةُ مذكورةٌ بأسمائها وشروطِها ومن يُنسب إليه كلٌّ منها.</t>
  </si>
  <si>
    <t xml:space="preserve">`AchievementService::derive` يُنادى من أربعةِ مواضعَ فقط، تغطي ثلاثةَ مصادرَ من الثمانية: `task` (من `WorkItemService.php:262`)، `request` (من `RequestService.php:382`)، `work_order` (من `Maintenance/orders.php:308` و`:315`). والمصادرُ الخمسةُ الباقيةُ — `approval` · `unit` · `claim` · `ticket` · `corrective` — معرَّفةٌ في الثابتِ `SOURCES` (`AchievementService.php:16`) ولا مُشتِقَّ لها في أيِّ مكان.</t>
  </si>
  <si>
    <t xml:space="preserve">خمسةٌ من ثمانيةِ مصادرِ الإنجازِ لا تُنتج شيئًا: المعتمِدُ لا يُنسب إليه اعتمادُه، ومشغّلُ الوحدةِ لا يُنسب إليه إنتاجُه، ومعالِجُ البلاغِ لا يُنسب إليه إغلاقُه — فالمؤشرُ الشخصيُّ منحازٌ بنيويًّا لمن يعمل بالمهامِّ والطلباتِ فقط.</t>
  </si>
  <si>
    <t xml:space="preserve">وُصلت المصادرُ الثلاثةُ التي كانت جاهزةً وقتَ بناءِ المحرّكِ ولم تُستكمل البقية.</t>
  </si>
  <si>
    <t xml:space="preserve">app/Services/Work/AchievementService.php:16; :83; :95</t>
  </si>
  <si>
    <t xml:space="preserve">١) اعتمِد مستندًا ضمن اختصاصك (مصدر ٣).
٢) استعلم `SELECT * FROM achievement_records WHERE source_kind='approval'` → صفر صفوف.
٣) كرِّر لـ`unit` و`claim` و`ticket` و`corrective`: صفرٌ في الجميع.</t>
  </si>
  <si>
    <t xml:space="preserve">أضِف نداءَ `AchievementService::derive` عند: اعتمادِ خطوةٍ في `app/Services/Work/RequestService` و`approval_links` (`approval`)، وإقفالِ وحدةٍ في سلسلةِ `unit_entries` (`unit`)، واعتمادِ المستخلصِ في `Contracts/claims.php` (`claim`)، وإغلاقِ بلاغٍ بتأكيدِ غيرِ المنفِّذ في `app/Services/Tickets/TicketRouter` (`ticket`)، وتحققِ الإجراءِ التصحيحيِّ في `app/Services/Audit/InternalAuditService` (`corrective`).</t>
  </si>
  <si>
    <t xml:space="preserve">لكلٍّ من المصادرِ الثمانيةِ سيناريو اختبارٍ يُنتج صفًّا واحدًا في `achievement_records` بـ`source_kind` الصحيحِ وبدليلٍ غيرِ فارغ.</t>
  </si>
  <si>
    <t xml:space="preserve">`derive` يُنادى من `WorkItemService:262` و`RequestService:382` و`Maintenance/orders.php:308,315` فقط، والنداءان الداخليان (:83 · :95) كلاهما `source_kind='task'` — فثلاثةُ مصادرَ من ثمانية.</t>
  </si>
  <si>
    <t xml:space="preserve">INJ-0404</t>
  </si>
  <si>
    <t xml:space="preserve">§٢٦-١ نوع ٦ · «لا يتحول مهمةً إلا بفعلٍ مطلوب» · AC-WFM-08</t>
  </si>
  <si>
    <t xml:space="preserve">تعليقُ الخدمةِ نفسِه ينقل الحكم: «requires_action يولّد مهمةً مرتبطةً — التنبيهُ الذي يتطلب فعلًا ولا يتحول مهمةً خرقٌ (AC-WFM-08)».</t>
  </si>
  <si>
    <t xml:space="preserve">`WorkItemService::notifyUser` تكتب `requires_action` في الصفِّ (`WorkItemService.php:539,543`) لكنّها **لا تولّد مهمةً** إطلاقًا؛ التحويلُ يدويٌّ فقط بزرِّ `ntf_to_task` في `Portal/notifications.php:48-71`. فتنبيهٌ بفعلٍ مطلوبٍ يبقى تنبيهًا حتى يتفضّل المستخدمُ بتحويلِه.</t>
  </si>
  <si>
    <t xml:space="preserve">الحكمُ المعلَنُ في الكودِ نفسِه غيرُ منفَّذ: عناصرُ عملٍ واجبةٌ تبقى خارجَ «مهامي» وخارجَ قياسِ المهلِ — ولا يُرصد تأخُّرُها.</t>
  </si>
  <si>
    <t xml:space="preserve">التوليدُ التلقائيُّ خُطِّط ووُثِّق في تعليقِ الدالةِ ولم يُبنَ؛ وبُني بدلَه زرٌّ يدويّ.</t>
  </si>
  <si>
    <t xml:space="preserve">app/Services/Work/WorkItemService.php:528; :530; :532; :539; :543; Portal/notifications.php:48; :58; :68</t>
  </si>
  <si>
    <t xml:space="preserve">١) استدعِ `notifyUser(..., $requiresAction = true, ...)` من أيِّ مسار (مثلًا `RequestService.php:174`).
٢) استعلم `SELECT task_item_id FROM personal_notifications WHERE requires_action=1` → NULL دائمًا حتى الضغطِ اليدوي.</t>
  </si>
  <si>
    <t xml:space="preserve">في `WorkItemService::notifyUser` بعد الإدراج (السطر 547) إن كان `$requiresAction` صحيحًا فنادِ `self::create()` بمصدر `SRC-14` ومرجع `NTF-&lt;id&gt;` واكتب `task_item_id` في صفِّ التنبيه — بالمنطقِ نفسِه المكتوبِ في `Portal/notifications.php:58-68`، وأبقِ الزرَّ اليدويَّ للحالاتِ القديمة.</t>
  </si>
  <si>
    <t xml:space="preserve">كلُّ صفٍّ في `personal_notifications` بـ`requires_action=1` يحمل `task_item_id` غيرَ فارغٍ خلال الثانيةِ نفسِها، ويظهر عنصرُه في `Portal/my_tasks.php`.</t>
  </si>
  <si>
    <t xml:space="preserve">WorkItemService::notifyUser (السطور 532-549) تُدرج personal_notifications بـrequires_action ثم تعيد المعرّفَ بلا أيِّ توليدِ مهمة، رغم أن تعليقَها يعلن الحكمَ AC-WFM-08؛ والتحويلُ زرٌّ يدويٌّ في Portal/notifications.php. والدالةُ مستعملةٌ إنتاجيًّا في ستةِ مواضعَ فالفجوةُ حية.</t>
  </si>
  <si>
    <t xml:space="preserve">INJ-0405</t>
  </si>
  <si>
    <t xml:space="preserve">NAV-09: «القائمةُ تُولَّد من مصفوفة العرضِ … ولا تُكتب يدويًّا» — والعنصرُ المولَّدُ لكلِّ دورٍ يجب أن يكون ظاهرًا في بابِه؛ وصفوفُ «مساحة عملي» مولَّدةٌ في بابِ HOME لكلِّ الأدوار.</t>
  </si>
  <si>
    <t xml:space="preserve">جميعُ صفوفِ «مساحة عملي» الستةِ والعشرين في `nav_items` (ids 849-873) بابُها HOME لكن العمودَ `active = 0` — أي معطَّلةٌ كلُّها؛ و`getUnifiedNavItems` يرشِّح `AND n.active = 1` (`includes/unified_nav.php:70`) فلا يُطبع الرابطُ لأيِّ دور. المدخلُ الوحيدُ أيقونةُ حقيبةٍ في الشريطِ العلوي (`includes/topbar.php:203`) بلا نصٍّ ظاهر.</t>
  </si>
  <si>
    <t xml:space="preserve">الحاويةُ التي يفترض أن تجمع «ما يخص الشخصَ لا الإدارة» غيرُ موجودةٍ في القائمةِ لأيِّ دورٍ من الستةِ والعشرين — ولا يصل إليها إلا من عرف الأيقونةَ في الشريط. وأربعٌ من الشاشاتِ الخمسِ التي تسمّيها FRD لا تُبلَغ إلا عبرها.</t>
  </si>
  <si>
    <t xml:space="preserve">هجرةُ `2026_08_02_nav18_regroup.php:92` عطَّلت صفوفًا بالجملة، وبقيت صفوفُ «مساحة عملي» على `active=0` في البذرة.</t>
  </si>
  <si>
    <t xml:space="preserve">database/schema/seed_reference.sql:3934-3959 (25 صفًّا · active=0)</t>
  </si>
  <si>
    <t xml:space="preserve">١) ادخل بأيِّ دورٍ (مثلًا 12).
٢) افحص السايدبار من أعلاه إلى أسفلِه: لا عنصرَ باسم «مساحة عملي».
٣) استعلم `SELECT active FROM nav_items WHERE route='main/my_workspace.php'` → كلُّها 0.
٤) الوصولُ الوحيدُ بأيقونةِ الحقيبةِ في الشريطِ العلوي.</t>
  </si>
  <si>
    <t xml:space="preserve">نفِّذ هجرةً تُفعِّل الصفوفَ: `UPDATE nav_items SET active = 1 WHERE route = 'main/my_workspace.php'`، ووثِّق ذلك في مصفوفةِ العرضِ في NAV-09 كي لا تُعطَّل ثانيةً عند إعادةِ التوليد؛ واحتفِظ بأيقونةِ الشريطِ اختصارًا لا مدخلًا وحيدًا.</t>
  </si>
  <si>
    <t xml:space="preserve">بكلِّ دورٍ من الأدوارِ الستةِ والعشرين يظهر عنصرُ «مساحة عملي» أولَ بابِ «الرئيسية» ويفتح `main/my_workspace.php`.</t>
  </si>
  <si>
    <t xml:space="preserve">الصفوفُ 849-873 في seed_reference.sql كلُّها active=0 (العمودُ الثاني عشر) وgetUnifiedNavItems يرشّح n.active=1 (unified_nav.php:70) فلا يُطبع الرابط. خُفّضت لأن الشاشةَ نفسَها متاحةٌ من أيقونة topbar.php:203 — فالفقدُ عرضيٌّ لا وصوليّ. وعددُ الصفوف 25 لا 26.</t>
  </si>
  <si>
    <t xml:space="preserve">INJ-0406</t>
  </si>
  <si>
    <t xml:space="preserve">§٢٦ العملُ الشخصيُّ والمهامُّ والطلبات</t>
  </si>
  <si>
    <t xml:space="preserve">«شاشاتُ «مهامي» و«طلباتي» و«موافقاتي» و«بلاغاتي» و«إنجازي» واجهاتُ قراءةٍ وتنفيذٍ …» — خمسُ شاشاتٍ مسمَّاةٍ نصًّا لكلِّ موظف، ولا تُبلَغ شاشةٌ إلا من قائمةِ دورِها (NAV-09: «فالمبنيُّ الذي لا يُبلَغ كالمعدوم»).</t>
  </si>
  <si>
    <t xml:space="preserve">غيابُ صفِّ nav_items مؤكَّد، لكنَّ الشاشةَ تُبلَغ من بلاطة «بوابتي» (my_portal.php:50) ومن روابط الإشعارات — لا من my_workspace وحدها. — [مُصحَّح بعد التحقق] الصياغة الأولى: الشاشةُ مسجَّلةٌ في `modules` (id 252) ومُمنَحةٌ can_view لـ٢٧ دورًا في `role_permissions`، لكنَّها **بلا أيِّ صفٍّ في `nav_items`** — بحثٌ عن مسارها في `database/schema/seed_reference.sql` يُظهر صفَّ</t>
  </si>
  <si>
    <t xml:space="preserve">شاشةٌ من الشاشاتِ الخمسِ التي يسمّيها الفصلُ ٢٦ نصًّا لا مدخلَ لها من القائمة؛ والموظفُ الذي لا يعرف الأيقونةَ في الشريطِ العلويِّ لا يصل إلى ما ينتظر قرارَه أو طلباتِه أو تنبيهاتِه إطلاقًا.</t>
  </si>
  <si>
    <t xml:space="preserve">سُجِّلت الشاشاتُ ومُنحت الصلاحياتُ دون توليدِ صفوفِ التنقُّلِ المقابلةِ من NAV-09.</t>
  </si>
  <si>
    <t xml:space="preserve">database/schema/seed_reference.sql:300; includes/unified_nav.php:63-78; main/my_workspace.php:60; Portal/my_portal.php:50</t>
  </si>
  <si>
    <t xml:space="preserve">١) ادخل بأيِّ دورٍ له can_view على المودول 252.
٢) افحص السايدبار: لا رابطَ للشاشة.
٣) استعلم `SELECT COUNT(*) FROM nav_items WHERE route LIKE '%approvals_inbox.php'` → صفر.</t>
  </si>
  <si>
    <t xml:space="preserve">ولِّد صفَّ `nav_items` لكلِّ دورٍ مخوَّلٍ (`door='HOME'` أو مجموعةُ «مساحتي الشخصية» في وضعِ المراحل، `module_id=252`، `permission_code='Portal/approvals_inbox.php'`، `active=1`) من مصفوفةِ العرضِ في NAV-09.</t>
  </si>
  <si>
    <t xml:space="preserve">بكلِّ دورٍ مخوَّلٍ يظهر رابطُ «موافقاتي — صندوق ما ينتظر اعتمادي» في السايدبار ويفتح الشاشةَ بلا رسالةِ حجب.</t>
  </si>
  <si>
    <t xml:space="preserve">الموديول 252 قائمٌ (seed:300) ومُنح can_view لسبعةٍ وعشرين دورًا، ولا صفَّ nav_items لمسار Portal/approvals_inbox.php في أي دور، وصفوفُ main/my_workspace.php كلُّها active=0 — غير أنّ للشاشة منفذًا حيًّا من بلاطة Portal/my_portal.php:50 ومن Portal/ceo_reports.php:193.</t>
  </si>
  <si>
    <t xml:space="preserve">INJ-0407</t>
  </si>
  <si>
    <t xml:space="preserve">NAV-02 §7.5 · العدَّادُ الواحدُ بقيمةٍ واحدة</t>
  </si>
  <si>
    <t xml:space="preserve">مساحة عملي (أيقونة الشريط)</t>
  </si>
  <si>
    <t xml:space="preserve">«عدَّادٌ واحدٌ بقيمةٍ واحدة» — وشارةُ بابِ «مساحة عملي» هي «عدّادُ ما ينتظر **المستخدم**».</t>
  </si>
  <si>
    <t xml:space="preserve">شارةُ الأيقونةِ في `includes/topbar.php:196-197` تُحسب من `ApprovalsInboxService::inbox($conn, $company_id)` — بوسيطِ الكيانِ وحدَه بلا `user_id`؛ أي أنها تعدُّ ما ينتظر **الشركةَ كلَّها** لا المستخدمَ. وتُخبَّأ في الجلسةِ خمسَ دقائق (`:188-190`) فتتأخر عن الواقع.</t>
  </si>
  <si>
    <t xml:space="preserve">كلُّ المستخدمين يرون الرقمَ نفسَه على أيقونةِ «مساحة عملي» ولو لم ينتظرهم شيء؛ والرقمُ لا يطابق أيًّا من العدَّاداتِ داخلَ الشاشةِ نفسِها — فيفقد المؤشرُ معناه ويُتجاهل.</t>
  </si>
  <si>
    <t xml:space="preserve">استُعملت خدمةُ صندوقٍ ماليٍّ على مستوى الكيانِ لحسابِ شارةٍ شخصية.</t>
  </si>
  <si>
    <t xml:space="preserve">includes/topbar.php:188-190; :196; :197; app/Services/Finance/ApprovalsInboxService.php:19-38; main/my_workspace.php:29-33</t>
  </si>
  <si>
    <t xml:space="preserve">١) ادخل بحسابين مختلفين في الكيانِ نفسِه.
٢) قارِن الرقمَ على أيقونةِ الحقيبةِ في الشريطِ العلوي: متطابق.
٣) افتح `main/my_workspace.php` بكلٍّ منهما: عدَّاداتُ البلاطاتِ مختلفةٌ ولا تساوي رقمَ الأيقونة.</t>
  </si>
  <si>
    <t xml:space="preserve">في `includes/topbar.php:196` بدِّل النداءَ إلى دالةٍ تحسب ما ينتظر المستخدمَ: مجموعُ `requests.current_holder_user_id = $uid` + `approval_links.approver_user_id = $uid AND status='pending'` + `work_items.assigned_user_id = $uid` غيرِ المغلقة — وهي الاستعلاماتُ نفسُها في `main/my_workspace.php:25-33`؛ واختصِر الخبيئةَ إلى ٦٠ ثانيةً وامسحها عند أيِّ فعلِ اعتماد.</t>
  </si>
  <si>
    <t xml:space="preserve">حسابان في الكيانِ نفسِه يريان رقمين مختلفين مطابقين لمجموعِ بلاطاتِ «موافقاتي + مهامي» لكلٍّ منهما.</t>
  </si>
  <si>
    <t xml:space="preserve">الشارةُ تُحسب من ApprovalsInboxService::inbox($conn,$company_id) بلا user_id — بل الأسوأ: count() تعدّ الصناديقَ لا الصفوف، فالرقمُ ثابتٌ تقريبًا لكل مستخدمي الكيان، وتُخبَّأ خمسَ دقائق.</t>
  </si>
  <si>
    <t xml:space="preserve">INJ-0408</t>
  </si>
  <si>
    <t xml:space="preserve">SEC-025 · العزلُ بين الكيانات</t>
  </si>
  <si>
    <t xml:space="preserve">عزلُ الكيانِ بنيويٌّ في كلِّ استعلام — ولا يُفترض كيانٌ افتراضيٌّ عند غيابِه.</t>
  </si>
  <si>
    <t xml:space="preserve">الموضعان الأولان محصوران بالسوبر؛ الثالثُ وحدَه بلا شرط. — [مُصحَّح بعد التحقق] الصياغة الأولى: `main/my_workspace.php:20` يكتب حرفيًّا `if ($company_id &lt;= 0) { $company_id = 4; }` — أي يُسند الكيانَ رقم 4 قسرًا. والنمطُ نفسُه في `Portal/approvals_inbox.php:37` (`$co = ... ? 4 : $company_id`) و`</t>
  </si>
  <si>
    <t xml:space="preserve">حسابٌ بلا كيانٍ صالحٍ (أو سوبر) يرى بياناتِ الشركةِ رقم 4 على أنها بياناتُه: عدَّاداتُ موافقاتٍ وطلباتٍ وبلاغاتٍ من كيانٍ آخر — تسريبٌ بين الكيانات.</t>
  </si>
  <si>
    <t xml:space="preserve">قيمةٌ افتراضيةٌ من بيئةِ التطويرِ (الكيان 4) بقيت في الكود.</t>
  </si>
  <si>
    <t xml:space="preserve">main/my_workspace.php:19; :20; Portal/approvals_inbox.php:37; Tickets/ticket_contextual_open.php:23</t>
  </si>
  <si>
    <t xml:space="preserve">١) ادخل بحساب السوبر (`role = -1`) بلا `company_id`.
٢) افتح `main/my_workspace.php`: تظهر عدَّاداتٌ غيرُ صفرية.
٣) قارِنها بجداولِ الكيان 4: مطابقة.</t>
  </si>
  <si>
    <t xml:space="preserve">أزِل الإسنادَ الصلبَ في `main/my_workspace.php:20` و`Portal/approvals_inbox.php:37` و`Tickets/ticket_contextual_open.php:23`، واستبدِله بمُبدِّلِ كيانٍ صريحٍ للسوبر (`ems_tenant_db()-&gt;forAllTenants()` أو `$_GET['company_id']` محروسًا) وبصفرِ نتائجَ لغيرِه.</t>
  </si>
  <si>
    <t xml:space="preserve">بحسابِ سوبر بلا كيان: العدَّاداتُ صفرٌ أو تُطلب اختيارُ الكيانِ صراحةً — ولا تُعرض بياناتُ الكيان 4 ضمنًا.</t>
  </si>
  <si>
    <t xml:space="preserve">الإسنادُ الصلبُ company_id=4 قائمٌ حرفيًّا في المواضع الثلاثة. لكن في my_workspace.php يسبقه سطرُ 19 الذي يطرد كلَّ غيرِ السوبر، وفي approvals_inbox.php الشرطُ is_super_admin — فالأثرُ محصورٌ بالسوبر (وهو عابرُ الكيانات أصلًا) عدا Tickets/ticket_contextual_open.php:23 الذي بلا شرط ⇒ P2.</t>
  </si>
  <si>
    <t xml:space="preserve">INJ-0409</t>
  </si>
  <si>
    <t xml:space="preserve">IAM-018-ج · «يراه … والمدقّق … ولا يُعدَّل ولا يُحذف» · TABLE 46 سجلُّ الاطّلاع</t>
  </si>
  <si>
    <t xml:space="preserve">سجل اطّلاع المراجع الحساس</t>
  </si>
  <si>
    <t xml:space="preserve">http://localhost/ems/Audit/iaf_access_log.php</t>
  </si>
  <si>
    <t xml:space="preserve">«IAF-0036: كلُّ اطّلاعٍ حساسٍ يُسجَّل — فالوظيفةُ الرقابيةُ مراقَبةٌ أيضًا» (نصُّ الخدمة) · و M-14 يُلزم «سجلَّ اطّلاعٍ لكل حساس».</t>
  </si>
  <si>
    <t xml:space="preserve">صفرُ نداءاتٍ إنتاجية، مع نداءٍ واحدٍ في tools/u13_gate.php (أداة فحص) — لا صفرَ مطلق. — [مُصحَّح بعد التحقق] الصياغة الأولى: الدالةُ `InternalAuditService::logAccess()` تكتب `iaf_access_log` (`InternalAuditService.php:70-92`) ولها **صفرُ نداءات** في المستودع؛ وشاشةُ `Audit/iaf_access_log.php` تعرض الجدولَ الذي لن يمتلئ أبدً</t>
  </si>
  <si>
    <t xml:space="preserve">المراجعُ يطّلع على الحساسِ بلا أثر: لا يمكن الإجابةُ عن «ما الذي رآه المراجعُ ومتى ولأيِّ مهمة» — فالوظيفةُ الرقابيةُ غيرُ مراقَبة، وشاشةُ السجلِّ فارغةٌ دائمًا وتوحي بأن لا اطّلاعَ وقع.</t>
  </si>
  <si>
    <t xml:space="preserve">بُنيت القناةُ ولم تُوصَل بمسالكِ القراءةِ في الشاشاتِ الستَّ عشرةَ ولا بشاشاتِ المالية العشرين الممنوحةِ للدور 33.</t>
  </si>
  <si>
    <t xml:space="preserve">app/Services/Audit/InternalAuditService.php:69-92; tools/u13_gate.php:1109; Audit/iaf_access_log.php:19-26</t>
  </si>
  <si>
    <t xml:space="preserve">١) بحساب دور 33 افتح `Finance/ob_register.php` (مُمنَحٌ له can_view).
٢) افتح `Audit/iaf_access_log.php`: لا صفوف.
٣) `grep -rn 'logAccess' /tmp/ems --include=*.php` → التعريفُ فقط.</t>
  </si>
  <si>
    <t xml:space="preserve">نادِ `InternalAuditService::logAccess()` في `includes/u13_screen_kit.php` بعد جلبِ الصفوفِ (السطر 227) حين يكون دورُ الجلسةِ 33، ومرِّر `scope_kind` باسمِ الجدولِ و`scope_ref` بمعرّفِ المهمةِ الجاريةِ من `iaf_engagements`؛ واربِط النداءَ نفسَه بشاشاتِ المالية العشرين الممنوحةِ له.</t>
  </si>
  <si>
    <t xml:space="preserve">بعد فتحِ المراجعِ لأيِّ شاشةِ سجلٍّ أصليٍّ يظهر صفٌّ في `iaf_access_log` باسمِه ووقتِه وغرضِه؛ وعددُ الصفوفِ = عددُ الفتحات.</t>
  </si>
  <si>
    <t xml:space="preserve">InternalAuditService::logAccess بلا مستدعٍ إنتاجيّ — المستدعي الوحيدُ في المستودع tools/u13_gate.php:1109 (أداةُ فحصٍ لا مسارٌ حيّ)، وشاشةُ Audit/iaf_access_log.php تعرض جدولًا لا يمتلئ.</t>
  </si>
  <si>
    <t xml:space="preserve">INJ-0410</t>
  </si>
  <si>
    <t xml:space="preserve">FIN-024-د · «وصلاحية المراجع حصرًا ولا كتابة»</t>
  </si>
  <si>
    <t xml:space="preserve">تقارير المراجعة للجهة المشرفة</t>
  </si>
  <si>
    <t xml:space="preserve">http://localhost/ems/Audit/iaf_reports.php</t>
  </si>
  <si>
    <t xml:space="preserve">«ولا كتابةَ لها على السجلاتِ التشغيليةِ أو الماليةِ الأصلية» — وقائمةُ البادئاتِ المحظورةِ في الخدمةِ نفسِها تشمل `exec_`.</t>
  </si>
  <si>
    <t xml:space="preserve">شاشةُ `Audit/iaf_reports.php` تُصيَّر فوق الجدولِ `exec_audit_reports` (`:22`) — وهو جدولٌ ببادئةِ `exec_` المدرَجةِ في `FORBIDDEN_WRITE_PREFIXES` (`InternalAuditService.php:37`)؛ ومع ذلك يملك الدورُ 33 على مودولِها 388 `can_add = 1` و`can_edit = 1` في `role_permissions` (`database/schema/seed_reference.sql:2399`). ولأنَّ `u13_screen_kit` يفتح كتلةَ الأفعالِ بشرطِ `can_edit` وحدَه (`:254`) فالحدُّ محفوظٌ اليومَ بالصدفةِ (لا كتلةَ actions) لا بالحارس.</t>
  </si>
  <si>
    <t xml:space="preserve">منحةُ كتابةٍ قائمةٌ على جدولٍ تنفيذيٍّ محظورٍ على المراجع — أيُّ إضافةٍ لاحقةٍ لعقدِ فعلٍ في هذه الشاشةِ تفتح كتابةً غيرَ مشروعةٍ فورًا وبلا تحذير. وهي مخالفةٌ ظاهرةٌ في مصفوفةِ الصلاحياتِ عند أيِّ مراجعة.</t>
  </si>
  <si>
    <t xml:space="preserve">مُنحت الصلاحياتُ آليًّا لكلِّ شاشةٍ ذاتِ طبيعةِ `document` بلا مقابلةٍ بقائمةِ الجداولِ المحظورةِ على الدور.</t>
  </si>
  <si>
    <t xml:space="preserve">Audit/iaf_reports.php:19-22; app/Services/Audit/InternalAuditService.php:27; :36-38; :50-67; database/schema/seed_reference.sql:2399</t>
  </si>
  <si>
    <t xml:space="preserve">١) استعلم صلاحياتِ الدور 33 على المودول 388: `can_add=1, can_edit=1`.
٢) افحص جدولَ الشاشة: `exec_audit_reports` — ببادئةٍ محظورة.
٣) قارِنه بـ`InternalAuditService::FORBIDDEN_WRITE_PREFIXES`: `exec_` مدرَجة.</t>
  </si>
  <si>
    <t xml:space="preserve">اضبِط صلاحياتِ الدور 33 على المودول 388 إلى `can_view=1, can_add=0, can_edit=0, can_delete=0` بهجرة؛ وأضِف فحصًا في `tools/u13_gate.php` يرسب إن مُنح دورٌ `can_edit` على شاشةٍ جدولُها ضمن بادئاتِه المحظورة.</t>
  </si>
  <si>
    <t xml:space="preserve">استعلامُ `role_permissions` للدور 33 يُظهر صفرَ منحةِ كتابةٍ على أيِّ مودولٍ جدولُه خارج `iaf_*`؛ وفاحصُ البوابةِ يرسب عند إعادةِ المنح.</t>
  </si>
  <si>
    <t xml:space="preserve">`exec_audit_reports` تحمل بادئةَ `exec_` المدرجةَ في `FORBIDDEN_WRITE_PREFIXES:36-38`، والدورُ 33 (ROLE_AUDITOR) ممنوحٌ can_add/can_edit عليها (السطر 2399)، ولا الشاشةُ ولا العدةُ تستدعيان `assertReadOnly`.</t>
  </si>
  <si>
    <t xml:space="preserve">INJ-0411</t>
  </si>
  <si>
    <t xml:space="preserve">§ مصدرُ الحقيقة · FRD §١٢ و٢٣-١</t>
  </si>
  <si>
    <t xml:space="preserve">«والسجلُّ المركزيُّ الواحدُ» مملوكٌ لإدارةِ المخاطر · و M-14 TABLE 45: «عرضُ مخاطرِ … بنطاقِ الإدارةِ — قراءةٌ لا كتابةٌ · والتعديلُ يمرُّ بإدارة المخاطر».</t>
  </si>
  <si>
    <t xml:space="preserve">شاشةُ الرئيسِ المعنونةُ «المخاطر والقرارات العليا» تكتب في جدولٍ آخرَ تمامًا هو `exec_decisions` (`Portal/ceo_risk.php:6-8` وحفظُ الصفوفِ في نفس الملف)، و`Portal/ceo_reports.php:102-105` يشتق منه مؤشرَ «المخاطر المفتوحة». والسجلُّ المركزيُّ يظهر هنا كلوحةِ قراءةٍ جانبيةٍ فقط (`:207-210`).</t>
  </si>
  <si>
    <t xml:space="preserve">P3</t>
  </si>
  <si>
    <t xml:space="preserve">مؤشرُ «المخاطر المفتوحة» في تقاريرِ الرئيسِ يُحسب من سجلِّ قراراتٍ لا من سجلِّ المخاطر — فقد يعرض رقمًا يخالف `risk_register` تمامًا، ويُتخذ قرارٌ تنفيذيٌّ على رقمٍ خاطئ.</t>
  </si>
  <si>
    <t xml:space="preserve">شاشةُ M-00 بُنيت على جدولها الأصليِّ قبل M-16 ولم يُعَد ربطُها بالسجلِّ المركزيِّ بعد إنشائه.</t>
  </si>
  <si>
    <t xml:space="preserve">Portal/ceo_risk.php:95; :207-210; Portal/ceo_reports.php:102-105</t>
  </si>
  <si>
    <t xml:space="preserve">١) بدور 9 افتح `Portal/ceo_risk.php` وسجِّل قرارًا جديدًا.
٢) افتح `Portal/ceo_reports.php` ولاحظ تغيُّرَ مؤشرِ «المخاطر المفتوحة».
٣) قارِنه بـ`SELECT COUNT(*) FROM risk_register WHERE state&lt;&gt;'closed'`: الرقمان مختلفان.</t>
  </si>
  <si>
    <t xml:space="preserve">في `Portal/ceo_reports.php:102-105` بدِّل مصدرَ «المخاطر المفتوحة» إلى `risk_register` بالشرط `state&lt;&gt;'closed' AND merged_into_id IS NULL`، وأعِد تسميةَ شاشةِ `ceo_risk.php` إلى «القرارات العليا» لتنفصل عن معنى «المخاطر»، ورُبِط زرُّها «خطر جديد» بـ`RiskService::createSignal`.</t>
  </si>
  <si>
    <t xml:space="preserve">بعد إغلاقِ خطرٍ في `Risk/risk_card.php` يجب أن ينقص مؤشرُ «المخاطر المفتوحة» في `Portal/ceo_reports.php` بواحد.</t>
  </si>
  <si>
    <t xml:space="preserve">الجزءُ الصحيح: مؤشرُ «المخاطر المفتوحة» في ceo_reports.php:102-105 يُشتقّ من صفوف `exec_decisions` لا من السجل المركزي. لكن ادعاءَ السجلِّ الموازي ضعيف: الشاشةُ تكتب **قراراتٍ** لا مخاطر، وتعرض السجلَّ المركزيَّ قراءةً عبر `_legacy_view_panel.php` — وهو عينُ ما توجبه M-14 TABLE 45.</t>
  </si>
  <si>
    <t xml:space="preserve">INJ-0412</t>
  </si>
  <si>
    <t xml:space="preserve">INJAZ-FRD-01 §٤-٣ · المرحلة ٨ — مخاطرُ الإدارة</t>
  </si>
  <si>
    <t xml:space="preserve">المخاطر المؤسسية</t>
  </si>
  <si>
    <t xml:space="preserve">لكلِّ إدارةٍ شاشةُ «مخاطرِ الإدارة» — للقمة: «المخاطر المؤسسية» (risk_dept_ceo.php · 22 عمودًا · 3 أفعال) بمعتمِدٍ «إدارةُ المخاطرِ — والإدارةُ تنفّذ». و«مساحةُ المخاطرِ الموحَّدة: عنصرٌ واحدٌ في سايدبار كلِّ إدارةٍ بعنوانٍ خاصٍّ بها».</t>
  </si>
  <si>
    <t xml:space="preserve">سايدبارُ الدور 9 يحوي «المخاطر والقرارات العليا» (Portal/ceo_risk.php) و«المخاطر التجارية» في المرحلة الخامسة؛ الناقصُ ملفُّ risk_dept_ceo.php ذو الاثنين والعشرين عمودًا فقط. — [مُصحَّح بعد التحقق] الصياغة الأولى: لا ملفَّ `risk_dept_ceo.php` في المستودع (الموجودُ: Risk/risk_dept_fin.php و Risk/risk_dept_gov.php فقط)، ولا رابطَ مخاطرَ من أيِّ نوعٍ في سايدبار الدور 9 — حتى العنصرُ العامُّ «مساحة مخاطر الإدارة» (</t>
  </si>
  <si>
    <t xml:space="preserve">المرحلةُ الثامنةُ من دورة القمة بلا شاشةٍ ولا مدخل: الرئيسُ التنفيذيُّ لا يرى سجلَّ المخاطر المؤسسية ولا دليلَ ضوابطها من قائمته، ولا يمكن إثباتُ حكمِ «سجلُّ مخاطرٍ مقروءٌ ودليلُ ضوابط» لأعلى إدارةٍ في المنظومة.</t>
  </si>
  <si>
    <t xml:space="preserve">نُفِّذت مساحةُ المخاطر بشاشتين متخصصتين (المالية والحوكمة) وشاشةٍ عامةٍ واحدة، ولم تُنشأ نسخةُ القمة ولم يُمنَح الدورُ 9 الشاشةَ العامة.</t>
  </si>
  <si>
    <t xml:space="preserve">database/schema/seed_reference.sql:2900-2901; :4032-4033; Risk/risk_dept_fin.php:1</t>
  </si>
  <si>
    <t xml:space="preserve">١) ادخل بدور 9. ٢) اعدد مجموعاتِ السايدبار ⇒ لا مجموعةَ مخاطرَ ولا رابطَ «مساحة مخاطر الإدارة». ٣) افتح مباشرةً http://localhost/ems/Risk/risk_dept_ceo.php ⇒ 404.</t>
  </si>
  <si>
    <t xml:space="preserve">أنشئ `Risk/risk_dept_ceo.php` على نمط `Risk/risk_dept_fin.php` بنطاق القمة وعنوان «المخاطر المؤسسية»، وسجّله في modules ومنحه للدور 9، وأضِف صفَّ nav_items في مجموعةٍ باسم «المخاطر المؤسسية» داخل المرحلة الخامسة لا في مجموعة «خارج الوثيقة».</t>
  </si>
  <si>
    <t xml:space="preserve">سايدبارُ الدور 9 يعرض عنصرًا واحدًا للمخاطر بعنوان «المخاطر المؤسسية» يفتح شاشةً بـ22 عمودًا وثلاثةِ أفعال.</t>
  </si>
  <si>
    <t xml:space="preserve">غيابُ ملفِّ risk_dept_ceo.php صحيح، لكنَّ ادعاءَ «لا رابطَ مخاطرَ من أيِّ نوعٍ للدور 9» مكذوبٌ بصفَّي nav_items 5857 و5858 في مجموعة «خامسًا: المخاطر والحسم».</t>
  </si>
  <si>
    <t xml:space="preserve">INJ-0413</t>
  </si>
  <si>
    <t xml:space="preserve">٤-٢ · بنيةُ السايدبار الخمسية — المنطقتان ④ و⑤</t>
  </si>
  <si>
    <t xml:space="preserve">سايدبار الإدارة التنفيذية</t>
  </si>
  <si>
    <t xml:space="preserve">«④ السجلاتُ والمراجع بعد دوراتِ العمل: السجلاتُ الأمُّ · القواميسُ · الإعدادات» و«⑤ التقاريرُ والتصدير في أسفل السايدبار — ◆ ثابتةٌ حرفيًّا».</t>
  </si>
  <si>
    <t xml:space="preserve">سايدبارُ الدور 9 ثمانيةُ مجموعاتٍ كلُّها مراحلُ دورةِ عمل (0..7)؛ لا مجموعةَ «السجلات والمراجع» ولا مجموعةَ «التقارير والتصدير». التقاريرُ (القوائم المالية · هامش الربح · إنجاز الإدارة · مؤشرات البلاغات) موضوعةٌ داخل المرحلة السادسة «سادسًا: الرقابة العليا»، ولا رابطَ لمركز التصدير إطلاقًا.</t>
  </si>
  <si>
    <t xml:space="preserve">ينكسر وعدُ «ثابتةٌ أعلى ومتغيرةٌ في الوسطِ وثابتةٌ أسفل»: الموظفُ بصفتين لا يجد المنطقتين ① و⑤ في موضعهما عند التبديل. ومركزُ التصدير غيرُ قابلٍ للوصول من قائمة القمة.</t>
  </si>
  <si>
    <t xml:space="preserve">المولِّدُ يبني المجموعاتِ من `link_groups.stage_no` فقط (`printStageNav`) ولا يعرف المناطقَ الخمسَ ولا يحقن الثابتَ منها.</t>
  </si>
  <si>
    <t xml:space="preserve">includes/unified_nav.php:197-270; database/schema/seed_reference.sql:4021-4038 (nav_items للدور 9)</t>
  </si>
  <si>
    <t xml:space="preserve">١) ادخل بدور 9. ٢) اعدد مجموعاتِ السايدبار ⇒ ثمانٍ، آخرُها «سابعًا: التأسيس والإصدار». ٣) ابحث عن مجموعةٍ باسم «السجلات والمراجع» أو «التقارير والتصدير» ⇒ غير موجودة.</t>
  </si>
  <si>
    <t xml:space="preserve">في `includes/unified_nav.php::printStageNav()` أضِف منطقتين ثابتتين بعد حلقة المراحل: «السجلات والمراجع» و«التقارير والتصدير»، وارفع إليهما عناصرَ nav_items الموسومةَ door='REC'/'REP' بدل تركها في مراحل الدورة.</t>
  </si>
  <si>
    <t xml:space="preserve">سايدبارُ كل دورٍ ينتهي بمجموعتين ثابتتين بالاسم نفسِه والترتيب نفسِه، وفيهما مركزُ التقارير ومركزُ التصدير.</t>
  </si>
  <si>
    <t xml:space="preserve">سايدبارُ الدور 9 ثمانيةُ مجموعاتٍ مرحلية (0..7) فعلًا، ولا مجموعةَ «السجلات والمراجع» ولا «التقارير والتصدير»، والتقاريرُ داخل «سادسًا: الرقابة العليا»، ولا صفَّ nav_items لأي مركز تصدير — والاقتباسُ مطابقٌ لـux_readable.md:87-88.</t>
  </si>
  <si>
    <t xml:space="preserve">INJ-0414</t>
  </si>
  <si>
    <t xml:space="preserve">٤-٥ · قواعدُ السايدبار — «العنصرُ النشطُ ظاهرٌ» ولا تكرارَ للعناصر</t>
  </si>
  <si>
    <t xml:space="preserve">«لا تُكرَّر العناصرُ الشخصيةُ في كل إدارة» — والقائمةُ تُولَّد من مصفوفة العرضِ ولا يُضاف رابطٌ يدويًّا.</t>
  </si>
  <si>
    <t xml:space="preserve">«المراسلات» تُطبع مرتين في سايدبار الدور 9: مرةً يدويًّا من المصيّر نفسِه (سطر 235) ومرةً من صفِّ nav_items الخاصِّ بها في مجموعة «مساحتي الشخصية». والحالُ نفسُه في 25 دورًا.</t>
  </si>
  <si>
    <t xml:space="preserve">عنصرٌ مكرَّرٌ في أعلى قائمة كل دور، ونقرُ أحدهما يضيء الاثنين معًا لأن تمييزَ النشط يقارن المسار. وهو رابطٌ مكتوبٌ يدويًّا خارجَ مصفوفة NAV-09 — أي «عنصرٌ لا يعرفه الفاحص» بنصِّ الوثيقة.</t>
  </si>
  <si>
    <t xml:space="preserve">حقنُ رأسَي كلِّ إدارة («الرئيسية» و«المراسلات») في المصيّر بقرارٍ لاحقٍ دون حذفِ صفِّهما من nav_items.</t>
  </si>
  <si>
    <t xml:space="preserve">includes/unified_nav.php:234-235; :236-239; database/schema/seed_reference.sql:4020 (و٢٤ صفًّا نظيرًا)</t>
  </si>
  <si>
    <t xml:space="preserve">١) ادخل بأيِّ دورٍ من 1/2/9/12. ٢) افتح المجموعةَ الأولى ⇒ «المراسلات» مرتين. ٣) افتح chats/index.php ⇒ يضيء الصفّان معًا.</t>
  </si>
  <si>
    <t xml:space="preserve">احذف صفوفَ nav_items التي route='../chats/index.php' من بذرة `database/schema/seed_reference.sql` واكتفِ بالرأس المحقون في `includes/unified_nav.php:235`، أو العكس: احذف الحقنَ اليدويَّ واترك الصفَّ المسجَّل.</t>
  </si>
  <si>
    <t xml:space="preserve">سايدبارُ كل دورٍ يعرض «المراسلات» مرةً واحدة، وتمييزُ النشط يضيء عنصرًا واحدًا.</t>
  </si>
  <si>
    <t xml:space="preserve">تحقّقت: printStageNav يطبع «الرئيسية» و«المراسلات» يدويًّا في أول مرحلة، وتوجد صفوفُ nav_items نشطةٌ لـchats/index.php في ٢٥ دورًا داخل «مساحتي الشخصية» — فالتكرارُ واقع.</t>
  </si>
  <si>
    <t xml:space="preserve">INJ-0415</t>
  </si>
  <si>
    <t xml:space="preserve">قرارُ المالكِ الصريحُ الأحدثُ الموقَّع — الدرجةُ ١ في سُلَّم الحُجّية</t>
  </si>
  <si>
    <t xml:space="preserve">قرارُ المالكِ الأحدثُ يعلو الكل، ومثالُه المنصوصُ في الوثيقة: «الرئيسُ التنفيذيُّ ونوابُه» بدل المسمّى القديم — والإدارةُ اسمُها «مكتبُ الرئيس التنفيذيِّ والنواب».</t>
  </si>
  <si>
    <t xml:space="preserve">كلُّ الواجهةِ الحيةِ ما زالت على المسمّى القديم: عنوانُ اللوحة «لوحة المدير التنفيذي»، وعنوانُ صندوق الاعتمادات «اعتمادات المدير التنفيذي»، وصفةُ الموقِّع مثبَّتةٌ نصًّا في جملة SQL `signer_capacity = 'المدير التنفيذي'`، ومجموعةُ السايدبار «لوحة الإدارة التنفيذية». ولا ذكرَ لـ«النواب» في أيِّ شاشة.</t>
  </si>
  <si>
    <t xml:space="preserve">كلُّ مستندٍ يوقَّع من النظام يحمل صفةً غيرَ الصفةِ المعتمدة، ويظهر في السجل الموحَّد وفي المخرجات الخارجية باسمٍ ألغاه المالك — وهو خرقٌ لأعلى درجةٍ في سُلَّم الحُجّية.</t>
  </si>
  <si>
    <t xml:space="preserve">نصوصُ العرضِ مكتوبةٌ حرفيًّا في الشاشات وفي جملة UPDATE، بلا قاموسِ مسمّياتٍ مركزيٍّ يُحدَّث مرةً واحدة.</t>
  </si>
  <si>
    <t xml:space="preserve">Portal/ceo_board.php:126; Portal/ceo_approvals.php:229; :239; Portal/ceo_contracts.php:181</t>
  </si>
  <si>
    <t xml:space="preserve">١) ادخل بدور 9. ٢) افتح Portal/ceo_board.php ⇒ العنوان «لوحة المدير التنفيذي». ٣) وقّع عقدًا من Portal/ceo_contracts.php ثم افتح الجدول ⇒ عمود «صفته» = «المدير التنفيذي».</t>
  </si>
  <si>
    <t xml:space="preserve">أضِف في `includes/` قاموسَ مسمّياتٍ (`ems_role_titles()`) وبدّل النصوصَ في Portal/ceo_board.php:126 و ceo_approvals.php:229,239 و ceo_contracts.php:181 إلى «الرئيس التنفيذي» / «مكتب الرئيس التنفيذي والنواب»، واجعل `signer_capacity` تُحسب من صفة الموقِّع الفعلية لا من ثابتٍ نصّي.</t>
  </si>
  <si>
    <t xml:space="preserve">بحثٌ نصيٌّ في المستودع عن «المدير التنفيذي» في Portal/*.php يعيد صفرَ نتائجَ في نصوص العرض، وعمودُ «صفته» في سجل التوقيعات يعرض الصفةَ المعتمدة.</t>
  </si>
  <si>
    <t xml:space="preserve">النصوص القديمة قائمة فعلًا في الأسطر المذكورة، ومطلبُ الوثيقة (core_readable.md:28 · 47) صحيحُ النقل؛ لكنه عيبُ تسميةٍ لا يكسر وظيفةً فخفّضتُه إلى P3.</t>
  </si>
  <si>
    <t xml:space="preserve">INJ-0416</t>
  </si>
  <si>
    <t xml:space="preserve">INJAZ-FRD-01 §٤-٤ · جدولُ الشاشاتِ والأعمدة</t>
  </si>
  <si>
    <t xml:space="preserve">الوثيقةُ تُعلن لهذه الشاشة 23 عمودًا (المجموعُ المعلَن للإدارة 156 عمودًا على سبع شاشات) — و«لا يُحذف عمودٌ ولا يُدمج قبل مراجعةِ وظيفتِه ومصدرِه واستخدامِه في التصديرِ والاستيرادِ والتدقيق».</t>
  </si>
  <si>
    <t xml:space="preserve">مصفوفةُ `$COLS` في الشاشة تحمل 20 عمودًا فقط — أي 3 أعمدةٍ معلَنةٍ لا وجودَ لها في الجدول ولا في فورم الإدخال.</t>
  </si>
  <si>
    <t xml:space="preserve">نموذجُ البيانات أنقصُ مما تعلنه الوثيقة، فتتعذر مطابقةُ الشاشة بورقة الأعمدة في ملف التتبع، ويفقد المدقّقُ حقولًا اعتُمدت في القياس.</t>
  </si>
  <si>
    <t xml:space="preserve">توليدُ الشاشات من دفعةِ CMP-03 اعتمد قائمةَ أعمدةٍ مختصرةً («الفائض فوق 22 عمودًا منهار») ولم تُسوَّ الفجوةُ بعد مع جدول الوثيقة.</t>
  </si>
  <si>
    <t xml:space="preserve">Portal/ceo_approvals.php:39-60 (مصفوفة $COLS)؛ والرؤوس 350-369</t>
  </si>
  <si>
    <t xml:space="preserve">١) افتح الشاشة. ٢) اعدد أعمدةَ الجدول ⇒ 20. ٣) قارن بجدول §٤-٤ في INJAZ-FRD-01 ⇒ 23.</t>
  </si>
  <si>
    <t xml:space="preserve">في `Portal/ceo_approvals.php` وسّع `$COLS` و`$DB_FIELDS` بالأعمدة الناقصة وفق ورقة ٠٦ من ملف التتبع، وأضِف هجرةَ قاعدةٍ للأعمدة الجديدة في الجدول الأصلي، وحدّث `$COLDB` بالترتيب نفسِه.</t>
  </si>
  <si>
    <t xml:space="preserve">عددُ أعمدة الجدول في الشاشة = 23 ويطابق أسماءَ الوثيقة عمودًا عمودًا.</t>
  </si>
  <si>
    <t xml:space="preserve">الجدولُ في الشاشةِ يحمل 20 رأسًا فعلًا (الأسطر 350-369) والوثيقةُ تُعلن 23 عمودًا لـceo_approvals.php (frd_readable.md:211)، فالفجوةُ ثلاثةُ أعمدةٍ كما ادُّعي.</t>
  </si>
  <si>
    <t xml:space="preserve">INJ-0417</t>
  </si>
  <si>
    <t xml:space="preserve">الوثيقةُ تُعلن لهذه الشاشة 30 عمودًا (المجموعُ المعلَن للإدارة 156 عمودًا على سبع شاشات) — و«لا يُحذف عمودٌ ولا يُدمج قبل مراجعةِ وظيفتِه ومصدرِه واستخدامِه في التصديرِ والاستيرادِ والتدقيق».</t>
  </si>
  <si>
    <t xml:space="preserve">مصفوفةُ `$COLS` في الشاشة تحمل 24 عمودًا فقط — أي 6 أعمدةٍ معلَنةٍ لا وجودَ لها في الجدول ولا في فورم الإدخال.</t>
  </si>
  <si>
    <t xml:space="preserve">Portal/ceo_contracts.php:41-66 (24 عمودًا) · frd_readable.md:212 (30 عمودًا)</t>
  </si>
  <si>
    <t xml:space="preserve">١) افتح الشاشة. ٢) اعدد أعمدةَ الجدول ⇒ 24. ٣) قارن بجدول §٤-٤ في INJAZ-FRD-01 ⇒ 30.</t>
  </si>
  <si>
    <t xml:space="preserve">في `Portal/ceo_contracts.php` وسّع `$COLS` و`$DB_FIELDS` بالأعمدة الناقصة وفق ورقة ٠٦ من ملف التتبع، وأضِف هجرةَ قاعدةٍ للأعمدة الجديدة في الجدول الأصلي، وحدّث `$COLDB` بالترتيب نفسِه.</t>
  </si>
  <si>
    <t xml:space="preserve">عددُ أعمدة الجدول في الشاشة = 30 ويطابق أسماءَ الوثيقة عمودًا عمودًا.</t>
  </si>
  <si>
    <t xml:space="preserve">‏$COLS في Portal/ceo_contracts.php:41-66 تحمل 24 عمودًا (0..23) بينما frd_readable.md:212 يعلن 30 عمودًا لـceo_contracts.php — الفارقُ ستةُ أعمدةٍ كما ادُّعي.</t>
  </si>
  <si>
    <t xml:space="preserve">INJ-0418</t>
  </si>
  <si>
    <t xml:space="preserve">الوثيقةُ تُعلن لهذه الشاشة 31 عمودًا (المجموعُ المعلَن للإدارة 156 عمودًا على سبع شاشات) — و«لا يُحذف عمودٌ ولا يُدمج قبل مراجعةِ وظيفتِه ومصدرِه واستخدامِه في التصديرِ والاستيرادِ والتدقيق».</t>
  </si>
  <si>
    <t xml:space="preserve">مصفوفةُ `$COLS` في الشاشة تحمل 27 عمودًا فقط — أي 4 أعمدةٍ معلَنةٍ لا وجودَ لها في الجدول ولا في فورم الإدخال.</t>
  </si>
  <si>
    <t xml:space="preserve">Portal/project_charter.php:40-68</t>
  </si>
  <si>
    <t xml:space="preserve">١) افتح الشاشة. ٢) اعدد أعمدةَ الجدول ⇒ 27. ٣) قارن بجدول §٤-٤ في INJAZ-FRD-01 ⇒ 31.</t>
  </si>
  <si>
    <t xml:space="preserve">في `Portal/project_charter.php` وسّع `$COLS` و`$DB_FIELDS` بالأعمدة الناقصة وفق ورقة ٠٦ من ملف التتبع، وأضِف هجرةَ قاعدةٍ للأعمدة الجديدة في الجدول الأصلي، وحدّث `$COLDB` بالترتيب نفسِه.</t>
  </si>
  <si>
    <t xml:space="preserve">عددُ أعمدة الجدول في الشاشة = 31 ويطابق أسماءَ الوثيقة عمودًا عمودًا.</t>
  </si>
  <si>
    <t xml:space="preserve">مصفوفةُ $COLS في الشاشة 27 عمودًا بالعدّ الفعلي، والوثيقةُ تعلن 31 (frd_readable.md:213) — الفارقُ أربعةُ أعمدةٍ كما ادُّعي.</t>
  </si>
  <si>
    <t xml:space="preserve">INJ-0419</t>
  </si>
  <si>
    <t xml:space="preserve">الوثيقةُ تُعلن لهذه الشاشة 19 عمودًا (المجموعُ المعلَن للإدارة 156 عمودًا على سبع شاشات) — و«لا يُحذف عمودٌ ولا يُدمج قبل مراجعةِ وظيفتِه ومصدرِه واستخدامِه في التصديرِ والاستيرادِ والتدقيق».</t>
  </si>
  <si>
    <t xml:space="preserve">مصفوفةُ `$COLS` في الشاشة تحمل 17 عمودًا فقط — أي 2 أعمدةٍ معلَنةٍ لا وجودَ لها في الجدول ولا في فورم الإدخال.</t>
  </si>
  <si>
    <t xml:space="preserve">Portal/ceo_risk.php:40-58</t>
  </si>
  <si>
    <t xml:space="preserve">١) افتح الشاشة. ٢) اعدد أعمدةَ الجدول ⇒ 17. ٣) قارن بجدول §٤-٤ في INJAZ-FRD-01 ⇒ 19.</t>
  </si>
  <si>
    <t xml:space="preserve">في `Portal/ceo_risk.php` وسّع `$COLS` و`$DB_FIELDS` بالأعمدة الناقصة وفق ورقة ٠٦ من ملف التتبع، وأضِف هجرةَ قاعدةٍ للأعمدة الجديدة في الجدول الأصلي، وحدّث `$COLDB` بالترتيب نفسِه.</t>
  </si>
  <si>
    <t xml:space="preserve">عددُ أعمدة الجدول في الشاشة = 19 ويطابق أسماءَ الوثيقة عمودًا عمودًا.</t>
  </si>
  <si>
    <t xml:space="preserve">تحقّقت: FRD §٦-٤ يعلن ١٩ عمودًا لـceo_risk.php بينما `$COLS` يحمل ١٧ (0..16)، ومجموعُ الإدارة ١٥٦ صحيحٌ حسابيًّا.</t>
  </si>
  <si>
    <t xml:space="preserve">INJ-0420</t>
  </si>
  <si>
    <t xml:space="preserve">٤-٥ · «المجموعةُ التي فرغت من العناصرِ لا تُعرض أصلًا» — ولغةُ القوائم</t>
  </si>
  <si>
    <t xml:space="preserve">سايدبار الإدارات</t>
  </si>
  <si>
    <t xml:space="preserve">القائمةُ تُولَّد من مصفوفة العرض ولا تُعرض للمستخدم إلا عناصرُ يملكها بأسماءٍ وظيفية؛ «ولا يُعرض عنصرٌ لا يملكه المستخدم — ولا يُعرض معطَّلًا».</t>
  </si>
  <si>
    <t xml:space="preserve">المدى الفعلي 1..23 عنصرًا لا 2..13 (الدور 17 يعرض 23 والدور 12 يعرض 13)؛ وكلُّ العناصر تمرّ بفحص can_view. — [مُصحَّح بعد التحقق] الصياغة الأولى: مجموعةٌ اسمُها الظاهرُ للمستخدم «خارج الوثيقة — بانتظار قرار المالك» تُعرض في سايدبار 20 دورًا (منها إدارةُ التشغيل والمبيعاتُ والموردون) وتضم من 2 إلى 13 رابطًا حقيقيًّا، وفي دور المبيعات ستةٌ منها م</t>
  </si>
  <si>
    <t xml:space="preserve">لغةُ الحوكمة الداخلية تُسرَّب إلى واجهة المستخدم النهائي: يقرأ الموظفُ أن جزءًا من عمله «خارج الوثيقة»؛ وشاشاتٌ يملكها فعلًا (خطةُ دفع العقد · الضمانات · خطُّ الأساس) تُدفن في مجموعةٍ مذمومةٍ ثم تُخفى خلف «المزيد».</t>
  </si>
  <si>
    <t xml:space="preserve">استعمالُ `link_groups.stage_title` مستودعًا لقراراتٍ معلَّقةٍ بدل وسمٍ إداريٍّ داخليٍّ لا يُعرض.</t>
  </si>
  <si>
    <t xml:space="preserve">includes/unified_nav.php:207-208; includes/unified_nav.php:216-218; includes/unified_nav.php:253-262; includes/nav_icon_map.php:391-392</t>
  </si>
  <si>
    <t xml:space="preserve">١) ادخل بدور 12 (المبيعات). ٢) انزل لآخر السايدبار ⇒ مجموعة «خارج الوثيقة — بانتظار قرار المالك» بـ13 رابطًا. ٣) لاحظ زرَّ «المزيد (6)» يخفي ستةَ روابطَ فعلية.</t>
  </si>
  <si>
    <t xml:space="preserve">أعِد تصنيفَ صفوف `link_groups` ذات stage_no=99 إلى مراحلها الصحيحة في `database/schema/seed_reference.sql`، وإن تعذّر فسمِّ المجموعةَ باسمٍ وظيفيٍّ محايد («مراجعُ إضافية») واحتفظ بحالة «بانتظار القرار» في عمودٍ إداريٍّ لا يُعرض.</t>
  </si>
  <si>
    <t xml:space="preserve">لا يظهر في أيِّ سايدبار عنوانُ مجموعةٍ يذكر «خارج الوثيقة» أو «بانتظار قرار المالك».</t>
  </si>
  <si>
    <t xml:space="preserve">المجموعةُ ذاتُ العنوان الظاهر «خارج الوثيقة — بانتظار قرار المالك» تظهر لعشرين دورًا بالضبط بعد تطبيق active وcan_view، ودورُ المبيعات 13 عنصرًا فينكمش ستةٌ خلف «المزيد» (dense&gt;12) — لكنَّ عناصرَها محروسةٌ بالصلاحية فلا ينطبق «عنصرٌ لا يملكه المستخدم»، والعيبُ في التسمية لا في الظهور.</t>
  </si>
  <si>
    <t xml:space="preserve">INJ-0421</t>
  </si>
  <si>
    <t xml:space="preserve">٤-٥ · «العنصرُ النشطُ ظاهرٌ بوضوحٍ والموقعُ الحاليُّ معلوم»</t>
  </si>
  <si>
    <t xml:space="preserve">«العنصرُ النشطُ ظاهرٌ بوضوحٍ والموقعُ الحاليُّ معلوم» و«الوضعان الموسَّعُ والمختصرُ مدعومان — وحالةُ المجموعاتِ محفوظة».</t>
  </si>
  <si>
    <t xml:space="preserve">كلُّ المجموعات تبدأ مطويةً بقرارٍ مثبَّتٍ في الكود (`$openDefault = false`)، فالعنصرُ المطابقُ يكون مخفيًّا في الغالب؛ وتمييزُ النشط يُنفَّذ في المتصفح بمقارنة `pathname` فقط، والروابطُ الحاملةُ لمقطعٍ `#nNgMiK` (27 رابطًا) تُضيء كلَّها معًا؛ والروابطُ داخل قائمة «المزيد» تحمل `.active` وهي داخل `display:none`.</t>
  </si>
  <si>
    <t xml:space="preserve">المستخدمُ لا يعرف موقعَه الحاليَّ في القائمة: إمّا لا يرى العنصرَ المميَّز (مطويٌّ أو مخفي) وإمّا يرى ثلاثةَ عناصرَ مميَّزةٍ لشاشةٍ واحدة (مثال: توزيع المعدات والمشغّلين في دور التشغيل).</t>
  </si>
  <si>
    <t xml:space="preserve">تمييزٌ في العميل يقارن المسارَ فقط ولا يقرأ المقطع، مقرونًا بقرارِ طيٍّ افتراضيٍّ كاملٍ وبقصِّ العناصر بعد السابع.</t>
  </si>
  <si>
    <t xml:space="preserve">includes/unified_nav.php:212; insidebar.php:507-523</t>
  </si>
  <si>
    <t xml:space="preserve">١) ادخل بدور 1. ٢) افتح Operations/distribution_space.php. ٣) وسّع مجموعتَي «لوحة الإدارة» و«ثانيًا: توزيع الموارد» ⇒ ثلاثةُ روابطَ مميَّزةٍ في آنٍ واحد.</t>
  </si>
  <si>
    <t xml:space="preserve">في `insidebar.php:507-523` قارن `pathname + hash` معًا واختر أدقَّ مطابقةٍ واحدة، وافتح المجموعةَ الحاويةَ للعنصر النشط تلقائيًّا، وأظهِر قائمةَ «المزيد» إن كان النشطُ داخلها.</t>
  </si>
  <si>
    <t xml:space="preserve">فتحُ أيِّ شاشةٍ يُضيء عنصرًا واحدًا فقط، وتُفتح مجموعتُه تلقائيًّا ويظهر العنصرُ في الشاشة بلا تمرير.</t>
  </si>
  <si>
    <t xml:space="preserve">الثلاثةُ تتحقق: $openDefault=false في unified_nav.php:212، والمقارنةُ بـpathname تُضيء كلَّ روابط الملف الواحد بمراسيها (78 مسارًا بمرساة في البذرة)، وروابطُ «المزيد» داخل ul بـdisplay:none.</t>
  </si>
  <si>
    <t xml:space="preserve">INJ-0422</t>
  </si>
  <si>
    <t xml:space="preserve">§٦ · بوابةُ الإصدار — إعداداتُ التشغيل جزءٌ من الشاهد</t>
  </si>
  <si>
    <t xml:space="preserve">«ما لا يُقاس لا يُطلَق» — وإعداداتُ التشغيل التي تحكم ظهورَ الشاشات والحرّاس جزءٌ من دليل الإصدار وتُثبَّت بالبصمة.</t>
  </si>
  <si>
    <t xml:space="preserve">القيمةُ الحية لـEMS_NAV_UNIFIED_ROLES تشمل كلَّ الأدوار بنص docs/ROLES_AND_PERMISSIONS_GUIDE_ar.md:339 — فالسايدبارُ المرحليُّ عاملٌ في الإنتاج؛ والقائمُ فعلًا هو نقصُ توثيقِ المفاتيح في القالب. — [مُصحَّح بعد التحقق] الصياغة الأولى: ستةَ عشرَ مفتاحًا يقرؤها الكودُ فعلًا غيرُ موجودةٍ في `.env.example` — بنصِّ وثيقةِ المستودع نفسِها — ومنها `EMS_NAV_UNIFIED_ROLES` و`EMS_ROLE_BOARD_ROLES` و`EMS_SUPPLIER_DOC_GATE` و`EMS_BASELINE_GATE</t>
  </si>
  <si>
    <t xml:space="preserve">نشرٌ جديدٌ بلا `.env` يدويٍّ يُسقط كلَّ الأدوار — ومنها القمة — إلى السايدبار القديم المبنيِّ على جدول modules، فتختفي مجموعاتُ دورة العمل التي بُنيت عليها هذه الوثيقةُ كلُّها. ولا اختبارَ إقلاعٍ يكشف ذلك.</t>
  </si>
  <si>
    <t xml:space="preserve">أعلامُ تشغيلٍ حاكمةٌ بلا قيمٍ افتراضيةٍ آمنةٍ في الكود وبلا تمثيلٍ في ملف المثال ولا في فحص الإقلاع.</t>
  </si>
  <si>
    <t xml:space="preserve">includes/unified_nav.php:50-57; insidebar.php:10; insidebar.php:274-316; PROMPT_cross_env_portability_fix.md:11; includes/role_board.php:48</t>
  </si>
  <si>
    <t xml:space="preserve">١) انشر النظامَ بلا ملف `.env`. ٢) ادخل بأي دور. ٣) لاحظ سايدبارًا مختلفًا كليًّا (فرع legacy) بلا مجموعات المراحل.</t>
  </si>
  <si>
    <t xml:space="preserve">أضِف المفاتيحَ الستةَ عشرَ إلى `.env.example` بقيمها الإنتاجية، واجعل `unifiedNavEnabled()` في `includes/unified_nav.php:52` تُرجع القيمةَ الافتراضيةَ «كلُّ الأدوار» عند غياب العَلَم، وأضِف فحصَ إقلاعٍ في `config.php` يسجّل تحذيرًا عن كلِّ مفتاحٍ حاكمٍ مفقود.</t>
  </si>
  <si>
    <t xml:space="preserve">نشرٌ نظيفٌ بلا تعديلٍ يدويٍّ يعرض سايدبارَ المراحل لكلِّ الأدوار، وسجلُّ الإقلاع خالٍ من تحذيرات المفاتيح المفقودة.</t>
  </si>
  <si>
    <t xml:space="preserve">نقصُ المفاتيح في .env.example مسنَدٌ إلى وثيقةِ المستودع نفسِها (PROMPT_cross_env_portability_fix.md:11) ولا يمكن التحقق منه هنا لغياب الملف من النسخة؛ أمّا استنتاجُ «unifiedNavEnabled ترجع false لكل الأدوار» فمردودٌ: الوثائق تُثبت القيمةَ الحية 23-26 دورًا (docs/ROLES_AND_PERMISSIONS_GUIDE_ar.md:339 و524).</t>
  </si>
  <si>
    <t xml:space="preserve">INJ-0423</t>
  </si>
  <si>
    <t xml:space="preserve">INJAZ-FRD-01 §٤-٣ · «مراحلُ دورتها 9 مرحلة»</t>
  </si>
  <si>
    <t xml:space="preserve">الوثيقةُ تُعلن للإدارة تسعَ مراحلَ في دورتها، وترتيبُ السايدبار هو ترتيبُ الدورة.</t>
  </si>
  <si>
    <t xml:space="preserve">Risk/dept_risk_space.php («مساحة مخاطر الإدارة» · موديول 330) قائمةٌ ومربوطةٌ بأدوارٍ أخرى (1 · 2 · 28 · 29) لكنها بلا صفِّ nav_items للدور 9؛ والملفُّ المسمّى في الوثيقة risk_dept_ceo.php غيرُ موجود. — [مُصحَّح بعد التحقق] الصياغة الأولى: المنفَّذُ سبعُ مراحلَ في السايدبار (1..7) زائدَ مجموعةِ اللوحة (0)؛ وجدولُ المراحل في الوثيقة نفسِه يسرد ثمانيةَ صفوفٍ لا تسعة. والمرحلةُ الثامنةُ المعلَنة («مخاطرُ الإدارة») غيرُ ممثَّلةٍ في النظام إ</t>
  </si>
  <si>
    <t xml:space="preserve">لا يمكن إغلاقُ بندِ التتبع «مراحلُ الدورة» للإدارة: العددُ المعلَن والعددُ المسرودُ والعددُ المنفَّذ ثلاثةُ أرقامٍ مختلفة، فيتعذر إثباتُ الاكتمال في بوابة الإصدار.</t>
  </si>
  <si>
    <t xml:space="preserve">تعارضٌ داخلَ الوثيقة الحاكمة لم يُحسَم بقرارِ مالك، ونقلٌ للمراحل إلى link_groups بلا فحصِ عدد.</t>
  </si>
  <si>
    <t xml:space="preserve">includes/unified_nav.php:205-224; Portal/founding_mode.php:1; Portal/release_stamp.php:1</t>
  </si>
  <si>
    <t xml:space="preserve">١) ادخل بدور 9 واعدد مجموعاتِ المراحل ⇒ 7 مراحلَ عمل. ٢) قارن بجدول §٤-٣ ⇒ 8 صفوف. ٣) قارن بالنص المعلَن ⇒ 9 مراحل.</t>
  </si>
  <si>
    <t xml:space="preserve">ارفع البندَ إلى قرارِ مالكٍ في الورقة ١٠ من ملف التتبع لتثبيت العدد، ثم صحّح صفوفَ `link_groups` للدور 9 لتطابق العددَ المعتمَد وأضِف مجموعةَ «مخاطر الإدارة».</t>
  </si>
  <si>
    <t xml:space="preserve">عددُ مجموعات المراحل في سايدبار الدور 9 = العددُ المعتمَد في قرار المالك، وكلُّ مرحلةٍ لها شاشةٌ واحدةٌ على الأقل.</t>
  </si>
  <si>
    <t xml:space="preserve">Needs Access / Not Testable</t>
  </si>
  <si>
    <t xml:space="preserve">الأرقامُ الثلاثةُ متباينةٌ فعلًا (9 معلنة · 8 مسرودة · 7 منفَّذة + مجموعة اللوحة)، لكنّ «مخاطر الإدارة» ليست غائبةً عن النظام إطلاقًا.</t>
  </si>
  <si>
    <t xml:space="preserve">INJ-0424</t>
  </si>
  <si>
    <t xml:space="preserve">GOVX-0975 · مفتاحُ منعِ التكرار على كلِّ أثر</t>
  </si>
  <si>
    <t xml:space="preserve">«مفتاحُ منع التكرار في كل أثر» — لا يقع الأثرُ مرتين بمفتاحٍ مركب.</t>
  </si>
  <si>
    <t xml:space="preserve">التكرارُ ممكنٌ بالنقر المزدوج أو بإعادة إرسالٍ صريحة لا بمجرد تحديث الصفحة؛ وProcessedOperations قائمةٌ وتُستعمل في الاختبارات لا «معطَّلة». — [مُصحَّح بعد التحقق] الصياغة الأولى: فرعُ «إضافة» في شاشات القمة الخمس يُدرج صفًّا جديدًا في كل POST بلا أيِّ مفتاحِ عطالةٍ ولا فحصِ تكرارٍ على `request_no`/`contract_no`/`decision_no`؛ فإعادةُ إرسال الفورم (تحديثُ الصفحة) تنتج صفَّي اعت</t>
  </si>
  <si>
    <t xml:space="preserve">ازدواجُ سجلاتِ الاعتماد والتوقيع والقرار في أعلى مستوى، مع احتمال بتِّ الصفَّين مرتين — ومن ثمَّ اعتمادان لطلبٍ واحد.</t>
  </si>
  <si>
    <t xml:space="preserve">بنيةُ منعِ التكرار مبنيةٌ على طبقة الأحداث فقط (`idempotency_key` في fin/ems_business_events)؛ ولا طبقةَ طلبٍ (Post/Redirect/Get مع رمزٍ يُستهلك) ولا قيدَ فريدٍ في الجداول.</t>
  </si>
  <si>
    <t xml:space="preserve">Portal/ceo_approvals.php:76-104; Portal/ceo_contracts.php:80-121; Portal/project_charter.php:90-142; app/Core/ProcessedOperations.php:1; includes/security.php:233-239</t>
  </si>
  <si>
    <t xml:space="preserve">١) افتح Portal/ceo_approvals.php واضغط «إضافة» واحفظ صفًّا برقم طلبٍ ما. ٢) أعِد الإرسالَ بالرقم نفسِه ⇒ يُنشأ صفٌّ ثانٍ بالبيانات نفسِها.</t>
  </si>
  <si>
    <t xml:space="preserve">أضِف قيدًا فريدًا `UNIQUE(company_id, request_no)` على `exec_approvals` (ونظائرَه على exec_contract_signings.contract_no و exec_project_charters.decision_no)، وفي الشاشات افحص التكرارَ قبل الإدراج وأعِد رسالةً بمرجع الصف القائم بدل إنشاء صفٍّ جديد.</t>
  </si>
  <si>
    <t xml:space="preserve">حفظُ صفَّين برقم الطلب نفسِه يُرفض برسالة تسمّي الصفَّ القائم؛ وتحديثُ الصفحة بعد الحفظ لا ينشئ صفًّا ثانيًا.</t>
  </si>
  <si>
    <t xml:space="preserve">لا قيدَ فريدًا على exec_approvals.request_no فعلًا، لكنّ كلَّ فروع الحفظ تنتهي بـems_gov_flash_redirect (Location+exit) أي نمط PRG، فتحديثُ الصفحة لا يُعيد الإرسال؛ والرمزُ GOVX-0975 في M-14 يخصُّ سجلَّ التصدير لا مفتاحَ العطالة (الصحيح AR-04 · TABLE 46).</t>
  </si>
  <si>
    <t xml:space="preserve">INJ-0425</t>
  </si>
  <si>
    <t xml:space="preserve">عزلُ الكيانات — لا صفَّ بلا كيانٍ مالك</t>
  </si>
  <si>
    <t xml:space="preserve">عزلُ الشركات حكمٌ بنيويّ: كلُّ استعلامٍ يُقيَّد بكيان المستخدم، ولا يُفترض كيانٌ عند غيابه.</t>
  </si>
  <si>
    <t xml:space="preserve">الأثرُ محصورٌ في عدّاداتِ قراءةٍ لمساحة السوبر — لا كتابةَ ولا اختراقَ عزلٍ لمستخدمٍ عادي (غيرُ السوبر يُعاد إلى login). — [مُصحَّح بعد التحقق] الصياغة الأولى: السطرُ 20: `if ($company_id &lt;= 0) { $company_id = 4; }` — إذا لم يحمل المستخدمُ (السوبر) كيانًا تُفرض الشركةُ رقم 4 قسرًا، ثم تُبنى كلُّ عدّادات المساحة بـ string interpolation على هذا الرقم.</t>
  </si>
  <si>
    <t xml:space="preserve">مساحةُ عملِ السوبر تعرض مهامَّ وموافقاتِ شركةٍ بعينها بوصفها مهامَّه، فيتخذ قراراتٍ على بياناتِ كيانٍ لم يخترْه؛ وأيُّ تغييرٍ في ترقيم الشركات يجعل الرقمَ يشير إلى كيانٍ آخر.</t>
  </si>
  <si>
    <t xml:space="preserve">قيمةُ احتياطٍ صلبةٌ (magic number) وُضعت لتفادي شاشةٍ فارغةٍ في التطوير وبقيت في الإنتاج.</t>
  </si>
  <si>
    <t xml:space="preserve">main/my_workspace.php:19</t>
  </si>
  <si>
    <t xml:space="preserve">١) ادخل بحساب السوبر (role=-1) بلا company_id. ٢) افتح main/my_workspace.php. ٣) قارن الأرقامَ ببيانات الشركة 4 ⇒ تطابق.</t>
  </si>
  <si>
    <t xml:space="preserve">في `main/my_workspace.php:20` استبدل الإسنادَ الصلب بمنتقي كيانٍ صريحٍ للسوبر (أو `ems_tenant_db()-&gt;forAllTenants('workspace super')`) وأعرِض اسمَ الكيان المختار في رأس الشاشة.</t>
  </si>
  <si>
    <t xml:space="preserve">السوبر بلا كيانٍ يرى منتقيَ كيانٍ لا أرقامًا؛ ولا يوجد في الملف رقمُ شركةٍ صلب.</t>
  </si>
  <si>
    <t xml:space="preserve">الإسنادُ الصلب $company_id = 4 قائمٌ فعلًا (السطر 19 لا 20) ويُطبَّق على السوبر بلا كيان، والعدّاداتُ تُبنى عليه.</t>
  </si>
  <si>
    <t xml:space="preserve">INJ-0426</t>
  </si>
  <si>
    <t xml:space="preserve">AR-05 · لكلِّ فعلٍ فعلُ عكسِه — «ولا تصحيحَ بحذفٍ صامت»</t>
  </si>
  <si>
    <t xml:space="preserve">لكلِّ فعلٍ مسارُ عكسٍ معلَنٌ يُصحَّح به الخطأُ بأثرٍ مسجَّل.</t>
  </si>
  <si>
    <t xml:space="preserve">لا مسارَ عكسٍ من هذه الشاشة، غير أنّ تعديلَ التبعة ممكنٌ من شاشة التايم شيت (Timesheet/timesheet.php:264 ضمن $fields، والتحديث في :610-616). — [مُصحَّح بعد التحقق] الصياغة الأولى: جملةُ التحديث تحمل الشرطَ `AND (fault_department IS NULL OR fault_department = '')` وقائمةُ العرضِ تستبعد المُسنَد؛ فبمجرد الإسناد يختفي الصفُّ من الشاشة ولا سبيلَ في النظام لتعديل التبعة أو إلغائها —</t>
  </si>
  <si>
    <t xml:space="preserve">خطأُ إسنادٍ واحدٍ (تحميلُ العميلِ ما يتحمله المورد) لا يُصحَّح إلا بتعديلٍ مباشرٍ في القاعدة؛ ومع ذلك تُبنى عليه المطالباتُ والجزاءاتُ مستقبلًا. ولا سجلَّ لمن أسند ولا متى.</t>
  </si>
  <si>
    <t xml:space="preserve">استعمالُ شرطِ الفراغ حارسَ عطالةٍ بدل آلةِ حالةٍ بحالتين (مُسنَد · مُعاد إسناده) وسجلِّ تغيير.</t>
  </si>
  <si>
    <t xml:space="preserve">Operations/stops_unattributed.php:22-23; :31-34</t>
  </si>
  <si>
    <t xml:space="preserve">١) أسنِد توقفًا إلى «العميل» خطأً. ٢) أعِد فتحَ الشاشة ⇒ الصفُّ اختفى. ٣) ابحث عن أيِّ زرِّ تعديلٍ أو إلغاءٍ ⇒ لا يوجد.</t>
  </si>
  <si>
    <t xml:space="preserve">أضِف في `Operations/stops_unattributed.php` تبويبَ «المُسنَد» يعرض الصفوفَ المسنَدةَ وفعلَ «إعادة إسناد» بسببٍ إلزاميّ، واكتب صفًّا في سجل التدقيق بالقيمة قبل وبعد، وانشر حدثَ عكسٍ يُبطل الأثرَ السابق.</t>
  </si>
  <si>
    <t xml:space="preserve">إعادةُ إسناد توقفٍ بسببٍ موثَّقٍ تُغيّر التبعةَ وتترك صفَّي تدقيقٍ (قبل/بعد) وتُبطل الأثرَ المالي السابق.</t>
  </si>
  <si>
    <t xml:space="preserve">شرطُ التحديث واستبعادُ المُسنَد من القائمة صحيحان (الأسطر 22-23 و31-34) فتختفي الصفوفُ ويردّ 409، لكن ادعاءَ «لا سبيلَ في النظام لتعديل التبعة» ساقطٌ: Timesheet/timesheet.php يعدّل fault_department في مسار التحديث (الأسطر 610-616 عبر البوابة).</t>
  </si>
  <si>
    <t xml:space="preserve">INJ-0427</t>
  </si>
  <si>
    <t xml:space="preserve">INJAZ-FRD-01 §٥-١ · ما تملكه إدارةُ التشغيل — الحلقةُ الثانية</t>
  </si>
  <si>
    <t xml:space="preserve">ما ينتظر اعتمادي — متابعة الاعتماد</t>
  </si>
  <si>
    <t xml:space="preserve">http://localhost/ems/Approvals/hours_approval_followup.php</t>
  </si>
  <si>
    <t xml:space="preserve">من ملكِ إدارة التشغيل «الحلقةَ الثانية» — ومتابعةُ ما لم يُعتمد في مهلته جزءٌ منها؛ وكلُّ شاشةٍ في قائمة دورها.</t>
  </si>
  <si>
    <t xml:space="preserve">requests.php يتيمةٌ فعلًا (إحالتاها في insidebar داخل تعليق)، أما followup فمنفذُها زرٌّ في شاشة الاعتماد. — [مُصحَّح بعد التحقق] الصياغة الأولى: شاشتان من وحدة الاعتمادات يتيمتان بلا رابطٍ في سايدبار أيِّ دور: `Approvals/hours_approval_followup.php` (متابعةُ الاعتماد) و`Approvals/requests.php`؛ وكلتاهما تعتمد على الثابت `EMS_ROLES_HOURS_APPROV</t>
  </si>
  <si>
    <t xml:space="preserve">لا مدخلَ في القائمة لمتابعة الوحدات المعلَّقة في سلسلة الاعتماد الرباعية، فتُترك الوحداتُ عالقةً بلا أن يراها أحد — وهي الحلقةُ التي تعدها الوثيقةُ من ملكِ الإدارة.</t>
  </si>
  <si>
    <t xml:space="preserve">شاشاتُ متابعةٍ بُنيت في وحدة الاعتمادات بلا بذرِ صفوف nav_items لها ولا تسجيلٍ في `modules`.</t>
  </si>
  <si>
    <t xml:space="preserve">Approvals/hours_approval_followup.php:32; Approvals/hours_approval_followup.php:286; Approvals/requests.php:1; includes/roles.php:78</t>
  </si>
  <si>
    <t xml:space="preserve">١) ادخل بدور 1 وابحث في السايدبار عن شاشةِ متابعةٍ للاعتمادات ⇒ لا يوجد. ٢) افتح http://localhost/ems/Approvals/hours_approval_followup.php مباشرةً ⇒ تُفتح شاشةٌ عاملة.</t>
  </si>
  <si>
    <t xml:space="preserve">سجّل الشاشتين في `modules` وأضِف صفَّي nav_items في مجموعة «ثالثًا: اعتماد الوحدات» للدور 1، وبدّل حارسَهما من الثابت إلى `check_page_permissions()` على وحدةٍ مسجَّلة.</t>
  </si>
  <si>
    <t xml:space="preserve">شاشةُ متابعة الاعتماد تظهر في قائمة دور التشغيل وتُحرَس بمنحةِ وحدةٍ لا برقم دورٍ صلب.</t>
  </si>
  <si>
    <t xml:space="preserve">Approvals/hours_approval_followup.php مُحالٌ إليها بزرٍّ في Approvals/hours_approval.php:378 فليست يتيمةً بلا منفذ؛ الصحيحُ الباقي أن حارسَها ثابتُ أدوارٍ (roles.php:78-81) لا منحةُ وحدةٍ مسجَّلة.</t>
  </si>
  <si>
    <t xml:space="preserve">INJ-0428</t>
  </si>
  <si>
    <t xml:space="preserve">٤-٥ · «لا تُكرَّر العناصرُ» — ودقةُ التسمية</t>
  </si>
  <si>
    <t xml:space="preserve">توزيع المعدات والمشغّلين</t>
  </si>
  <si>
    <t xml:space="preserve">http://localhost/ems/Operations/distribution_space.php</t>
  </si>
  <si>
    <t xml:space="preserve">القائمةُ تُولَّد من مصفوفة العرض بلا تكرار، والعنوانُ الظاهرُ للشاشة يطابق تسميةَ الرابط.</t>
  </si>
  <si>
    <t xml:space="preserve">ملفُّ `Operations/distribution_space.php` مسجَّلٌ ثلاثَ مراتٍ في سايدبار الدور 1 بمقاطعَ مختلفة: «توزيع المعدات والمشغّلين» في لوحة الإدارة · «توزيع المعدات والمشغّلين» في المرحلة الثانية · «تكليف المشغّل على المعدة» في المرحلة الثانية — وعنوانُ الصفحة الفعليُّ «مساحة التوزيع». وكذلك `Operations/containers.php` مسجَّلٌ مرتين.</t>
  </si>
  <si>
    <t xml:space="preserve">ثلاثةُ مداخلَ لملفٍّ واحدٍ بثلاثة عناوينَ وعنوانِ صفحةٍ رابع؛ ونقرُ أيٍّ منها يضيء الثلاثةَ معًا. ويستحيل على المدقّق تحديدُ أين تُنفَّذ «تكليفُ المشغّل على المعدة» بوصفها فعلًا مستقلًّا.</t>
  </si>
  <si>
    <t xml:space="preserve">حلُّ تعدّدِ الأفعال داخل شاشةٍ واحدةٍ بمقاطعَ في الرابط بدل تبويباتٍ معنونةٍ داخل الشاشة أو شاشاتٍ مستقلة.</t>
  </si>
  <si>
    <t xml:space="preserve">database/schema/seed_reference.sql:4126; :4129; :4133; :4135; :4136; Operations/distribution_space.php:26; database/schema/schema.sql:6972</t>
  </si>
  <si>
    <t xml:space="preserve">١) ادخل بدور 1. ٢) وسّع «لوحة الإدارة» و«ثانيًا: توزيع الموارد» ⇒ ثلاثةُ روابطَ للملف نفسِه. ٣) افتح أيَّها ⇒ عنوانُ الصفحة «مساحة التوزيع» ويضيء الثلاثةُ.</t>
  </si>
  <si>
    <t xml:space="preserve">أبقِ صفَّ nav_items واحدًا للملف بالتسمية المعتمدة «توزيع المعدات والمشغّلين»، وحوّل «تكليف المشغّل على المعدة» إلى تبويبٍ داخل الشاشة بعنوانٍ ظاهر، وصحّح `$page_title` في `Operations/distribution_space.php` ليطابق التسمية.</t>
  </si>
  <si>
    <t xml:space="preserve">ملفٌّ واحدٌ = صفُّ تنقّلٍ واحدٌ لكلِّ دور؛ وعنوانُ الصفحة يطابق تسميةَ الرابط حرفيًّا.</t>
  </si>
  <si>
    <t xml:space="preserve">distribution_space.php مسجَّلٌ ثلاثَ مراتٍ للدور 1 (مرحلة 0 ومرتين في مرحلة 2 بمرساتين) وcontainers.php مرتين، وعنوانُ الشاشة الفعليُّ «مساحة التوزيع» يخالف تسمياتِ الروابط — والمفتاحُ الفريدُ (role_id,route) لا يمنع التكرارَ بالمراسي.</t>
  </si>
  <si>
    <t xml:space="preserve">INJ-0429</t>
  </si>
  <si>
    <t xml:space="preserve">٤-٥ · تطابقُ اسمِ الشاشةِ مع الوثيقةِ والقائمة</t>
  </si>
  <si>
    <t xml:space="preserve">غرفة عمليات المواقع</t>
  </si>
  <si>
    <t xml:space="preserve">http://localhost/ems/Operations/operations_room.php</t>
  </si>
  <si>
    <t xml:space="preserve">اسمُ الشاشة في الوثيقة «غرفة عمليات المواقع» (ops_room.php)، وتسميةُ الرابط في القائمة هي التسميةُ نفسُها.</t>
  </si>
  <si>
    <t xml:space="preserve">الرابطُ في السايدبار «غرفة عمليات المواقع»، وعنوانُ الصفحة و`$header_title` كلاهما «غرفة عمليات التشغيل». وتوجد إلى جانبها شاشةٌ ثانيةٌ `Operations/sites_board.php` عنوانُها «لوحة المواقع» بلا رابطٍ في سايدبار الدور 1.</t>
  </si>
  <si>
    <t xml:space="preserve">اختلافُ الاسم بين القائمة والشاشة يكسر البحثَ الموحَّد («يجد الشاشةَ بالاسم») ويربك مطابقةَ ملف التتبع؛ ووجودُ لوحةِ مواقعَ منفصلةٍ غيرِ مربوطةٍ يضاعف الالتباس.</t>
  </si>
  <si>
    <t xml:space="preserve">تسميةٌ في البذرة تخالف عنوانَ الملف، وشاشتان متقاربتان في الغرض بلا حسمٍ لأيِّهما شاشةُ الوثيقة.</t>
  </si>
  <si>
    <t xml:space="preserve">Operations/operations_room.php:24; :33; database/schema/seed_reference.sql:3991</t>
  </si>
  <si>
    <t xml:space="preserve">١) ادخل بدور 1 واضغط «غرفة عمليات المواقع». ٢) اقرأ عنوانَ الصفحة ⇒ «غرفة عمليات التشغيل». ٣) افتح Operations/sites_board.php مباشرةً ⇒ شاشةٌ ثانيةٌ غيرُ مربوطة.</t>
  </si>
  <si>
    <t xml:space="preserve">وحّد التسميةَ على «غرفة عمليات المواقع» في `Operations/operations_room.php:24` و`:33`، واحسم مصيرَ `Operations/sites_board.php`: إمّا دمجُها تبويبًا داخل غرفة العمليات أو ربطُها بتسميةٍ مستقلةٍ في المجموعة نفسِها.</t>
  </si>
  <si>
    <t xml:space="preserve">تسميةُ الرابط وعنوانُ الصفحة متطابقان حرفيًّا، ولا توجد شاشةُ عملياتٍ ثانيةٌ بلا مدخل.</t>
  </si>
  <si>
    <t xml:space="preserve">تحقّقت حرفيًّا: تسميةُ nav_items «غرفة عمليات المواقع» بينما `$page_title` و`$header_title` «غرفة عمليات التشغيل»، وصفُّ sites_board.php للدور 1 غيرُ نشط (active=0) في مجموعة «خارج الوثيقة».</t>
  </si>
  <si>
    <t xml:space="preserve">INJ-0430</t>
  </si>
  <si>
    <t xml:space="preserve">٤-٥ · «لا يُعرض عنصرٌ لا يملكه المستخدمُ» — تسريبُ شاشاتِ إدارةٍ أخرى</t>
  </si>
  <si>
    <t xml:space="preserve">«ما لا تملكه إدارةُ التشغيل: العقودَ والأسعار · القيدَ المالي · ملكيةَ المعدات · الحكمَ الفني»، و«لا يُعرض عنصرٌ لا يملكه المستخدم».</t>
  </si>
  <si>
    <t xml:space="preserve">مجموعةُ «خارج الوثيقة» في سايدبار الدور 1 تعرض «سجل الأحداث المالية» → `Finance/events_list_fin.php` — وهي شاشةُ دفتر الأحداث المالية المملوكةُ للمالية والخزينة، ومعها «مخاطرُ الميدان» و«مساحة مخاطر الإدارة». ولا مبرِّرَ تجاريٌّ معلَنٌ لظهور دفتر الأحداث المالية في قائمة التشغيل.</t>
  </si>
  <si>
    <t xml:space="preserve">مديرُ التشغيل يرى دفترَ الأحداث المالية للكيان — وفيه المبالغُ والعملاتُ والحالاتُ المالية — وهي بياناتٌ تنص الوثيقةُ على أنها ليست من ملكه، ويُمنح لأجلها منحةُ عرضٍ على وحدةٍ مالية.</t>
  </si>
  <si>
    <t xml:space="preserve">مجموعةُ stage_no=99 استُعملت مستودعًا لروابطَ لم يُحسَم مكانُها ولا حقُّ الدور فيها، بلا مراجعةِ ملكيةٍ ولا حجّةِ عرض.</t>
  </si>
  <si>
    <t xml:space="preserve">database/schema/seed_reference.sql:3608 (nav_items id 89 route=Finance/events_list_fin.php role 1)</t>
  </si>
  <si>
    <t xml:space="preserve">١) ادخل بدور 1 وانزل لآخر السايدبار ⇒ «سجل الأحداث المالية». ٢) افتحه ⇒ دفترٌ ماليٌّ كامل بمبالغه.</t>
  </si>
  <si>
    <t xml:space="preserve">احذف صفَّ nav_items هذا من بذرة الدور 1، أو استبدله بمنظرٍ تشغيليٍّ محدودٍ من الشاشة نفسِها (وقائعُ الوحدات دون المبالغ) موثَّقٍ في مصفوفة الرؤية بأربعة أحكام: النطاق والزاوية والمسموح والمحجوب.</t>
  </si>
  <si>
    <t xml:space="preserve">سايدبارُ الدور 1 لا يعرض شاشةً ماليةً كاملة؛ وأيُّ عرضٍ عابرٍ للإدارات موثَّقٌ بحكم رؤيةٍ مسجَّل.</t>
  </si>
  <si>
    <t xml:space="preserve">مجموعةُ «خارج الوثيقة» للدور 1 تعرض فعلًا ثلاثةَ روابطَ هي سجل الأحداث المالية ومخاطرُ الميدان ومساحةُ مخاطر الإدارة — لكنَّ الظهورَ مشروطٌ بمنحةِ can_view الممنوحةِ عمدًا للدور، فالعيبُ في اختيارِ المجموعة لا في كسرِ حارس.</t>
  </si>
  <si>
    <t xml:space="preserve">INJ-0431</t>
  </si>
  <si>
    <t xml:space="preserve">UI-DEF-06 · «صفرُ رسالةٍ في الرابط» — الرسائلُ عبر URL</t>
  </si>
  <si>
    <t xml:space="preserve">حاويات العقود / التوقفات</t>
  </si>
  <si>
    <t xml:space="preserve">«رسالةُ الحوكمة تُودَع الجلسةَ وتُعرض داخل الشاشة — وصفرُ رسالةٍ في الرابط» (UI-DEF-06 → UI-13)، ولا يُحدَّد النجاحُ بالبحث عن رمزٍ في نصٍّ.</t>
  </si>
  <si>
    <t xml:space="preserve">شاشاتُ التشغيل تمرّر نصوصَ الرسائل في الرابط ثم تطبعها: `Operations/containers.php` يعيد التوجيه بـ`?msg=` ويقرأ `$_GET['msg']`، والنمطُ نفسُه في `Contracts/penalties.php` و`Suppliers/settlements.php` مع تحديد النجاح بالبحث عن الرمز «✅» داخل النص. والمساعدُ الصحيحُ `ems_gov_flash_redirect()` موجودٌ ومستعمَلٌ في شاشاتٍ أخرى.</t>
  </si>
  <si>
    <t xml:space="preserve">نصُّ الرسالة يظهر في شريط العنوان وسجلات الخادم ويمكن تزويرُه برابطٍ يعرض رسالةَ نجاحٍ كاذبة؛ وتحديدُ النجاح بالبحث عن رمزٍ في النص يجعل ترجمةَ الرسالة أو تعديلَها يقلب النتيجة.</t>
  </si>
  <si>
    <t xml:space="preserve">مسارُ رسائلَ قديمٌ عبر الرابط لم يُهاجَر بالكامل إلى حامل الجلسة رغم وجود المساعد المركزي.</t>
  </si>
  <si>
    <t xml:space="preserve">Operations/containers.php:74; :299-301; Contracts/penalties.php:62-64; :201; Suppliers/settlements.php:80-84; includes/permissions_helper.php:138</t>
  </si>
  <si>
    <t xml:space="preserve">١) نفّذ فعلًا في Operations/containers.php ⇒ يظهر النصُّ في الرابط. ٢) افتح الشاشةَ برابطٍ فيه `?msg=تمت العملية ✅` يدويًّا ⇒ تُعرض رسالةُ نجاحٍ كاذبة.</t>
  </si>
  <si>
    <t xml:space="preserve">استبدل `ems_gov_redirect('Location: …&amp;msg=…')` في `Operations/containers.php:74` و`Contracts/penalties.php:64` و`Suppliers/settlements.php:80` بـ`ems_gov_flash_redirect($to, $message, $code, $hint)`، وأزِل قراءةَ `$_GET['msg']` من الشاشات، واحمل حالةَ النجاح في مفتاحٍ لا في نصٍّ.</t>
  </si>
  <si>
    <t xml:space="preserve">لا يظهر أيُّ نصِّ رسالةٍ في شريط العنوان بعد أيِّ فعل؛ ورسالةُ النجاح تُحدَّد بمفتاحٍ من الجلسة لا بالبحث عن رمز.</t>
  </si>
  <si>
    <t xml:space="preserve">`cnt_back` يعيد التوجيه بـ`&amp;msg=` (:74) وتُطبع من `$_GET['msg']` (:299-301)، والنمطُ نفسُه في penalties (:62-64 · :201 بفحص «✅») وsettlements (:80-84)، و`ems_gov_flash_redirect` قائمٌ ومستعمَل.</t>
  </si>
  <si>
    <t xml:space="preserve">INJ-0432</t>
  </si>
  <si>
    <t xml:space="preserve">VA-02 · «صفرُ رسمٍ بلا حارس» — لوحةُ إدارة التشغيل</t>
  </si>
  <si>
    <t xml:space="preserve">لوحة إدارة التشغيل (الرئيسية)</t>
  </si>
  <si>
    <t xml:space="preserve">«صفرُ رسمٍ بلا حارس» — كلُّ رسمٍ داخل حارسٍ يمنع سقوطَ الصفحة عند غياب المكتبة أو البيانات.</t>
  </si>
  <si>
    <t xml:space="preserve">العيبُ الفعليُّ غيابُ الحالةِ الفارغةِ المعلَنة عند صفرِ بيانات (UI-DEF-07) لا انهيارُ اللوحةِ عند غياب المكتبة. — [مُصحَّح بعد التحقق] الصياغة الأولى: قالبُ اللوحة `includes/role_board_widgets.php` يُنشئ `new Chart()` مباشرةً بلا `emsChartGuard`، والقالبُ مضمَّنٌ من `main/role_board.php:117` — فكلُّ لوحةِ دورٍ عامٍّ (ومنها لوحةُ إدارة التشغيل) مصابة</t>
  </si>
  <si>
    <t xml:space="preserve">فشلُ تحميل مكتبة الرسم (أو بياناتٌ فارغة) يوقف تنفيذَ سكربت الصفحة فتتعطل بقيةُ عناصر اللوحة، وهي أولُ شاشةٍ يفتحها مديرُ التشغيل كلَّ صباح.</t>
  </si>
  <si>
    <t xml:space="preserve">قالبُ الأدوات مكتوبٌ خارج النظام التصميمي وبلا استعمال الحارس المتاح في المستودع.</t>
  </si>
  <si>
    <t xml:space="preserve">includes/role_board_widgets.php:85-86; main/role_board.php:117; main/role_board.php:119; main/dashboard.php:1290-1305</t>
  </si>
  <si>
    <t xml:space="preserve">١) ادخل بدور 1 على Postman/متصفح مع حظر assets/vendor/chartjs. ٢) افتح main/role_board.php ⇒ خطأُ JS يوقف بقيةَ الودجات.</t>
  </si>
  <si>
    <t xml:space="preserve">في `includes/role_board_widgets.php:86` لفّ إنشاءَ الرسم بـ`emsChartGuard` المستعمَل في `main/dashboard.php:1291-1305`، وارفع سماتِ الأنماط الموضعيةَ إلى صنفٍ في القشرة واستبدل `float` بالخصائص المنطقية.</t>
  </si>
  <si>
    <t xml:space="preserve">حظرُ مكتبة الرسم لا يمنع ظهورَ بقية عناصر اللوحة، وتظهر بدلَ الرسم حالةٌ فارغةٌ مُعلَنة.</t>
  </si>
  <si>
    <t xml:space="preserve">صحيحٌ أن includes/role_board_widgets.php:86 ينشئ new Chart بلا emsChartGuard (خلافًا لنمط main/dashboard.php:1290-1305)، لكنّ أثرَ «سقوط الصفحة» مرفوض: السطر 85 يحرس بـtypeof Chart==='undefined' ويعيد المحاولة، فغيابُ المكتبة لا يوقف السكربت.</t>
  </si>
  <si>
    <t xml:space="preserve">INJ-0433</t>
  </si>
  <si>
    <t xml:space="preserve">VA-06 · «صفرُ مناظرَ محفوظة» · VA-12 الجداولُ على الشاشات الصغيرة</t>
  </si>
  <si>
    <t xml:space="preserve">«BP-XS/BP-SM: بطاقاتٌ لا جداولَ» و«BP-MD: جدولٌ بأعمدةٍ أساسيةٍ وتمريرٍ أفقيّ»؛ والفائضُ عن عرضِ الشاشة يُعالج بمنظرٍ لا بانهيارٍ صامت.</t>
  </si>
  <si>
    <t xml:space="preserve">جدولُ الإقفال الشهري بواحدٍ وثلاثين عمودًا يُعرض دفعةً واحدة، والفائضُ فوق 22 عمودًا يحمل `class="none"` فينهار إلى سطرٍ تابعٍ عبر DataTables Responsive — أي يُخفى تسعةُ أعمدةٍ بلا إعلامٍ للمستخدم وبلا منظرٍ يختاره، ولا بطاقاتٍ على الشاشات الصغيرة.</t>
  </si>
  <si>
    <t xml:space="preserve">تسعةُ أعمدةٍ من محضر الإقفال — ومنها أعمدةُ الحوكمة ومركزُ التكلفة وسعرُ الصرف — تختفي على أغلب الشاشات بلا أن يعلم المستخدمُ بوجودها؛ وعلى الهاتف يصير المحضرُ غيرَ قابلٍ للقراءة.</t>
  </si>
  <si>
    <t xml:space="preserve">معالجةُ فائض الأعمدة بانهيارٍ آليٍّ في مكتبة العرض بدل مناظرَ مبنيةٍ على المهمة كما تنص الوثيقة.</t>
  </si>
  <si>
    <t xml:space="preserve">Operations/monthly_close.php:231-261 (31 رأسًا · 9 بصنف none في 253-261)</t>
  </si>
  <si>
    <t xml:space="preserve">١) افتح Operations/monthly_close.php على شاشة 1366 عرضًا. ٢) اعدد الأعمدةَ الظاهرة ⇒ 22. ٣) لا مؤشرَ يخبرك بوجود تسعةٍ مخفية إلا بتوسيع السطر.</t>
  </si>
  <si>
    <t xml:space="preserve">حوّل الشاشةَ إلى `includes/u13_screen_kit.php` لتحصل على مناظرَ ومنتقٍ وزرِّ إظهار كل الأعمدة، وأعلِن عددَ الأعمدة المخفية في شريط الأدوات، وأضِف عرضَ بطاقاتٍ للشاشات الصغيرة.</t>
  </si>
  <si>
    <t xml:space="preserve">فتحُ الشاشة يعرض منظرًا افتراضيًّا معلَنًا مع عدد الأعمدة المخفية وزرِّ إظهار الكل؛ وعلى الهاتف تُعرض بطاقاتٌ لا جدول.</t>
  </si>
  <si>
    <t xml:space="preserve">الجدولُ يحمل 31 رأسًا (الأسطر 231-261) منها تسعةٌ بصنف none (253-261)، والجدولُ بلا data-no-dt فتُهيَّأ DataTables بـresponsive:true — أي انهيارٌ صامتٌ لتسعةِ أعمدةٍ بلا منظرٍ ولا بطاقات. رقمُ الدليل :5 خاطئ.</t>
  </si>
  <si>
    <t xml:space="preserve">INJ-0434</t>
  </si>
  <si>
    <t xml:space="preserve">§٣ · سلسلةُ التتبع — الحكمُ ثم المالكُ ثم الشاشة</t>
  </si>
  <si>
    <t xml:space="preserve">شاشات إدارة التشغيل</t>
  </si>
  <si>
    <t xml:space="preserve">لكلِّ شاشةٍ بيتٌ واحدٌ (canonical_home) ومالكٌ واحدٌ مسجَّلٌ في ورقة الشاشات — «لكل حكمٍ بيتٌ واحد».</t>
  </si>
  <si>
    <t xml:space="preserve">ترويساتُ ملفات الشاشات تُعلن مالكًا يخالف الوثيقة ويخالف بعضُها بعضًا: `monthly_close.php` و`production.php` تعلنان «الورقة المالكة: 01 · إدارة الموقع»، بينما `unbilled.php` و`unit_perf.php` و`equipment_quota.php` تعلن «الورقة المالكة: 02 · إدارة التشغيل» — والوثيقةُ تضع الإقفالَ والأداءَ في إدارة التشغيل (M-01)، وغيرَ المفوتر في المبيعات (M-08)، وتوزيعَ حصة المورد في إدارة الموردين (M-09).</t>
  </si>
  <si>
    <t xml:space="preserve">لا يمكن بناءُ مصفوفة التتبع (حكم ← مالك ← شاشة) لأن مالكَ الشاشة في الشيفرة يخالف مالكَها في الوثيقة، فتُنسب الفجواتُ لإدارةٍ ويُطالَب بإغلاقها غيرُها.</t>
  </si>
  <si>
    <t xml:space="preserve">ترقيمُ «الأوراق المالكة» في دفعة CMP-03 يختلف عن ترقيم M-xx في الوثيقة الحاكمة، ولم تُجرَ مطابقةٌ بينهما.</t>
  </si>
  <si>
    <t xml:space="preserve">Operations/monthly_close.php:5; Operations/production.php:5; Operations/unbilled.php:5; Operations/unit_perf.php:5; Operations/equipment_quota.php:5</t>
  </si>
  <si>
    <t xml:space="preserve">١) اقرأ ترويسةَ Operations/monthly_close.php ⇒ «01 · إدارة الموقع». ٢) اقرأ ترويسةَ Operations/unit_perf.php ⇒ «02 · إدارة التشغيل». ٣) قارن بجدول §٥-٤ في INJAZ-FRD-01 ⇒ الاثنتان لإدارة التشغيل.</t>
  </si>
  <si>
    <t xml:space="preserve">وحّد وسمَ المالك في ترويسات ملفات Operations/ على رمز الوثيقة (M-01 · M-08 · M-09) بدل ترقيم الأوراق، وأضِف في `tools/` فاحصًا يقارن الوسمَ بجدول الشاشات في ملف التتبع ويفشل عند الاختلاف.</t>
  </si>
  <si>
    <t xml:space="preserve">كلُّ ملفِّ شاشةٍ يحمل وسمَ مالكٍ واحدًا يطابق ورقةَ الشاشات، والفاحصُ يمر بصفر اختلاف.</t>
  </si>
  <si>
    <t xml:space="preserve">الترويساتُ تختلف فعلًا في السطر 5، لكن production وunit_perf تطابقان مواضعَهما في الوثيقة والمخالفةُ الحقيقيةُ في monthly_close وunbilled، وequipment_quota غيرُ مذكورةٍ في الوثيقة أصلًا — والأثرُ تعليقيٌّ لا سلوكي.</t>
  </si>
  <si>
    <t xml:space="preserve">INJ-0435</t>
  </si>
  <si>
    <t xml:space="preserve">INJAZ-FRD-01 §١١-٤ · شاشاتُ المبيعات والعقود</t>
  </si>
  <si>
    <t xml:space="preserve">سجل العملاء / بطاقة العميل / ملف المشروع</t>
  </si>
  <si>
    <t xml:space="preserve">http://localhost/ems/Clients/client_profile.php</t>
  </si>
  <si>
    <t xml:space="preserve">كلُّ شاشةٍ في قائمةِ دورها — «فالمبنيُّ الذي لا يُبلَغ كالمعدوم»؛ وكلُّ عنصرٍ يرجع إلى سجله الأصليِّ بضغطةٍ واحدة.</t>
  </si>
  <si>
    <t xml:space="preserve">الشاشتان الأوليان بلا صفِّ nav_items ولا صفِّ modules؛ و`Contracts/commercial_board.php` له صفٌّ للدور 12 لكنه معطَّل (active=0) فلا يظهر هو الآخر. — [مُصحَّح بعد التحقق] الصياغة الأولى: ثلاثُ شاشاتِ ملفٍّ مبنيةٌ في وحدتَي العملاء والمشاريع بلا أيِّ رابطٍ في سايدبار الدور 12: `Clients/client_profile.php` (بطاقة العميل) و`Projects/project_profile.php` (ملف المشروع) و`Contracts/commerci</t>
  </si>
  <si>
    <t xml:space="preserve">بطاقةُ العميل — الشاشةُ التي تجمع سجلَّه وعقودَه وذممَه — لا يبلغها مندوبُ المبيعات من قائمته، ويُضطر للبحث في الشبكة ثم النقر من داخل السطر إن وُجد الرابط.</t>
  </si>
  <si>
    <t xml:space="preserve">بناءُ شاشات الملفات ضمن دفعةٍ لاحقةٍ بلا بذرِ صفوف nav_items لها، وغيابُ فاحصٍ يقارن ملفاتِ الشاشات بسجل التنقل.</t>
  </si>
  <si>
    <t xml:space="preserve">database/schema/seed_reference.sql:3895 (nav#752 active=0)</t>
  </si>
  <si>
    <t xml:space="preserve">١) ادخل بدور 12. ٢) ابحث في السايدبار عن «بطاقة العميل» أو «ملف المشروع» ⇒ لا رابط. ٣) افتح http://localhost/ems/Clients/client_profile.php?id=1 ⇒ تُفتح شاشةٌ عاملة.</t>
  </si>
  <si>
    <t xml:space="preserve">أضِف صفوفَ nav_items للشاشتين في مجموعة «أولًا: العميل والفرصة» للدور 12، وسجّلهما في `modules`، أو اربطهما رسميًّا من شبكة العملاء والمشاريع بزرِّ «فتح الملف» في كل سطر.</t>
  </si>
  <si>
    <t xml:space="preserve">بطاقةُ العميل وملفُّ المشروع يُفتحان بنقرةٍ واحدةٍ من القائمة أو من كل سطرٍ في الشبكة.</t>
  </si>
  <si>
    <t xml:space="preserve">`client_profile.php` و`project_profile.php` موجودان بلا أيِّ صفِّ nav_items، لكنَّ `commercial_board.php` أيضًا لا يظهر للدور 12 لأن صفَّه 752 بـactive=0 — فالوصفُ «مربوطة» غيرُ دقيق.</t>
  </si>
  <si>
    <t xml:space="preserve">INJ-0436</t>
  </si>
  <si>
    <t xml:space="preserve">INJAZ-FRD-01 §١١-٤ · المخاطرُ التجارية — مالكُها ونطاقُها</t>
  </si>
  <si>
    <t xml:space="preserve">متابعة المبيعات</t>
  </si>
  <si>
    <t xml:space="preserve">مرحلةُ «مخاطرُ الإدارة» شاشةٌ واحدةٌ («المخاطر التجارية» · 22 عمودًا) بمعتمِدٍ «إدارةُ المخاطرِ — والإدارةُ تنفّذ»؛ و«مساحةُ المخاطرِ الموحَّدة: مكوّنٌ واحدٌ يتغير نطاقُه وعنوانُه — لا ستَّ عشرةَ نسخة».</t>
  </si>
  <si>
    <t xml:space="preserve">الشاشةُ تحجب من لا يملك can_view، وتضمّن لوحةَ «منظر نطاقي على السجل المركزي» (RU-07) برابطٍ إلى risk_register؛ والعيبُ الباقي أنها ما زالت تكتب صفوفَها في جدولها الخاص commercial_risks. — [مُصحَّح بعد التحقق] الصياغة الأولى: المخاطرُ التجارية شاشةٌ مستقلةٌ تمامًا في وحدة العملاء (`Clients/commercial_risks.php` · 884 سطرًا بتصديرٍ واستيرادٍ وبحث) خارجَ منظومة المخاطر (`Risk/*`) وخارجَ المكوّن الموحَّد `Risk/dept_risk_space</t>
  </si>
  <si>
    <t xml:space="preserve">سجلّان متوازيان للمخاطر: التجاريةُ في وحدة العملاء والمؤسسيةُ في وحدة المخاطر، بلا تجميعٍ ولا تصعيدٍ بينهما — فلا يمكن لإدارة المخاطر رؤيةُ الصورة الكاملة ولا اعتمادُ مخاطر المبيعات كما توجب الوثيقة.</t>
  </si>
  <si>
    <t xml:space="preserve">بناءُ المخاطر التجارية قبل منظومة المخاطر الموحَّدة، وعدمُ إدماجها في المكوّن الموحَّد بعد إنشائه.</t>
  </si>
  <si>
    <t xml:space="preserve">Clients/commercial_risks.php:94-104; :244; :409-413; Risk/_legacy_view_panel.php:1</t>
  </si>
  <si>
    <t xml:space="preserve">١) سجّل خطرًا تجاريًّا في Clients/commercial_risks.php. ٢) افتح Risk/risk_register.php ⇒ الخطرُ غيرُ موجود. ٣) افتح Risk/dept_risk_space.php بدور 12 ⇒ لا يعرض المخاطرَ التجارية.</t>
  </si>
  <si>
    <t xml:space="preserve">ادمج `Clients/commercial_risks.php` في منظومة المخاطر: اكتب صفوفَها في `risk_register` بنطاق «تجاري»، واعرِضها من `Risk/dept_risk_space.php` بعنوانٍ خاصٍّ بالمبيعات، وأبقِ الشاشةَ الحاليةَ منظرًا مفلترًا على السجل الموحَّد لا مخزنًا مستقلًّا.</t>
  </si>
  <si>
    <t xml:space="preserve">خطرٌ تجاريٌّ مسجَّلٌ يظهر في السجل المؤسسي بنطاقه، وإدارةُ المخاطر تراه وتعتمده، ولا يوجد مخزنُ مخاطرَ ثانٍ.</t>
  </si>
  <si>
    <t xml:space="preserve">المخزنُ المزدوج (كتابةٌ في commercial_risks) صحيح، لكنَّ الشاشةَ محروسةٌ فعلًا (get_module_permissions ثم حجبُ can_view بـexit) وتعرض منظرًا على السجل المركزي عبر Risk/_legacy_view_panel.php.</t>
  </si>
  <si>
    <t xml:space="preserve">INJ-0437</t>
  </si>
  <si>
    <t xml:space="preserve">٧-٣ · CM-10 «زرُّ إظهارِ كلِّ الأعمدة — بالاسمِ الموحَّدِ ولا يُغيَّر نصُّه»</t>
  </si>
  <si>
    <t xml:space="preserve">«زرُّ إظهارِ كلِّ الأعمدة (CM-10) — بالاسمِ الموحَّدِ في كل الشاشاتِ ولا يُغيَّر نصُّه»، وهو إلزاميٌّ في الشاشات الطويلة (٢٠+ عمودًا).</t>
  </si>
  <si>
    <t xml:space="preserve">النصُّ الحاكمُ «إظهار كل الأعمدة» موجودٌ في موضعٍ واحدٍ في المستودع كلِّه (`includes/u13_screen_kit.php:319`)، وشاشةُ العقود تستعمل بدلًا منه زرًّا نصُّه «الكل» يتبدّل بين «إظهار الكل» و«إخفاء الكل» من `column-groups.js`. والنمطُ نفسُه في `Suppliers/supplierscontracts.php:768` و`Approvals/hours_approval.php:510`.</t>
  </si>
  <si>
    <t xml:space="preserve">المستخدمُ الذي يتعلم الزرَّ في شاشةٍ لا يجده في أخرى؛ ويُكسر حكمُ الثبات النصيِّ الذي يُقاس عليه في بوابة الشاشة. و321 جدولًا من 371 بلا أيِّ أداةِ أعمدةٍ إطلاقًا.</t>
  </si>
  <si>
    <t xml:space="preserve">آليتا أعمدةٍ متوازيتان بنصّين مختلفين، وتبنٍّ جزئيٌّ لعُدّة الشاشة الموحَّدة (42 شاشةً فقط).</t>
  </si>
  <si>
    <t xml:space="preserve">includes/u13_screen_kit.php:317-319; assets/js/column-groups.js:176; Contracts/contracts.php:659; Suppliers/supplierscontracts.php:768; Approvals/hours_approval.php:510</t>
  </si>
  <si>
    <t xml:space="preserve">١) افتح Contracts/contracts.php ⇒ الزرُّ نصُّه «الكل». ٢) افتح شاشةً على عُدّة u13 ⇒ الزرُّ نصُّه «إظهار كل الأعمدة». ٣) قارن النصين.</t>
  </si>
  <si>
    <t xml:space="preserve">وحّد النصَّ في `assets/js/column-groups.js:176` على «إظهار كل الأعمدة»/«إخفاء كل الأعمدة»، وبدّل نصَّ الزرِّ في `Contracts/contracts.php:659` و`Suppliers/supplierscontracts.php:768` إلى النص الموحَّد.</t>
  </si>
  <si>
    <t xml:space="preserve">بحثٌ نصيٌّ عن «إظهار كل الأعمدة» يجده في كل شاشةٍ طويلة، ولا يوجد نصٌّ بديلٌ للزرِّ نفسِه.</t>
  </si>
  <si>
    <t xml:space="preserve">النصُّ «إظهار كل الأعمدة» في موضعٍ واحدٍ فقط (u13_screen_kit.php:319)، وأزرارُ الشاشات الثلاث تحمل «الكل» وcolumn-groups.js:176 يبدّل «إظهار/إخفاء الكل».</t>
  </si>
  <si>
    <t xml:space="preserve">INJ-0438</t>
  </si>
  <si>
    <t xml:space="preserve">٦ · المناظرُ CM-09 / UI-04 — «إلزاميٌّ في الشاشات الطويلة»</t>
  </si>
  <si>
    <t xml:space="preserve">جداول المبيعات والعقود</t>
  </si>
  <si>
    <t xml:space="preserve">«CM-09 منتقي المنظر — المكوّنُ الذي ينفّذ مبدأَ المناظرِ — إلزاميٌّ في 189 شاشة»، و«العرضُ الافتراضي الأنسبُ لدورِ المستخدمِ ومهمتِه لا كلُّ الأعمدة»، و«المحدِّداتُ الثمانيةُ للمنظر».</t>
  </si>
  <si>
    <t xml:space="preserve">لا منتقيَ منظرٍ CM-09 ولا مناظرَ محفوظةً في العقود، لكن يوجد عرضٌ افتراضيٌّ جزئيٌّ بمجموعاتٍ قابلةٍ للطيّ — فالمنفَّذُ ليس صفرًا. — [مُصحَّح بعد التحقق] الصياغة الأولى: لا آليةَ مناظرَ صالحةً في وحدة العقود: `EmsUI.savedViews` مكتوبٌ بالكامل في `assets/js/ems-components.js:246-320` ولا شاشةَ تستدعيه إطلاقًا؛ وشاشةُ العقود (62 عمودًا) تعرض كلَّ الأعمدة دفعةً واحدةً بم</t>
  </si>
  <si>
    <t xml:space="preserve">يفتح مندوبُ المبيعات شبكةَ العقود على 62 عمودًا في كل مرة، فيقضي وقتَه في التمرير الأفقي بدل المهمة؛ ولا يمكن حفظُ منظرٍ للمراجعة القانونية ولا للمنظر الائتماني ولا حجبُ المنظر الحساس بمنحٍ فردي.</t>
  </si>
  <si>
    <t xml:space="preserve">مكوّنُ المناظر بُني في طبقة العميل ولم يُربط بأيِّ شاشة، والبديلُ الجزئيُّ (u13_views) محصورٌ في 42 شاشةً ليس منها شاشاتُ العقود.</t>
  </si>
  <si>
    <t xml:space="preserve">assets/js/ems-components.js:245-313; Contracts/contracts.php:638-660; assets/js/column-groups.js:47-49; includes/u13_screen_kit.php:76-88</t>
  </si>
  <si>
    <t xml:space="preserve">١) افتح Contracts/contracts.php ⇒ لا منتقيَ منظرٍ في شريط الأدوات. ٢) ابحث في المستودع عن استدعاءٍ لـ savedViews في ملفات php ⇒ لا نتائجَ إنتاجية.</t>
  </si>
  <si>
    <t xml:space="preserve">اربط `EmsUI.savedViews` بشبكات وحدة العقود عبر شريط أدواتٍ موحَّد، وعرّف أربعةَ مناظرَ مبدئيةً مبنيةً على المحدِّدات (دورُ المستخدم · المرحلةُ المستندية · القرارُ المطلوب · الحقولُ الحساسة)، واحفظها في جدولٍ لا في localStorage ليصير المنظرُ الحساسُ قابلًا للمنح والتسجيل.</t>
  </si>
  <si>
    <t xml:space="preserve">فتحُ شبكة العقود يعرض منظرًا افتراضيًّا مناسبًا للدور لا كلَّ الأعمدة، ويمكن اختيارُ منظرٍ محفوظٍ وحفظُ منظرٍ شخصي.</t>
  </si>
  <si>
    <t xml:space="preserve">EmsUI.savedViews بلا مستدعٍ إنتاجيٍّ فعلًا (المطابقتان الوحيدتان في tools/u12_reverse_audit.php)، لكن ادعاءَ «62 عمودًا في كل مرة» مرفوض: Contracts/contracts.php:638-659 يشغّل مجموعاتِ أعمدةٍ عبر assets/js/column-groups.js بأربعِ مجموعاتٍ نشطةٍ افتراضيًّا وثلاثٍ مطويّة.</t>
  </si>
  <si>
    <t xml:space="preserve">INJ-0439</t>
  </si>
  <si>
    <t xml:space="preserve">٤-٥ · تسميةُ الشاشةِ ووظيفتُها — الفرصُ والزيارات</t>
  </si>
  <si>
    <t xml:space="preserve">الفرص والزيارات والمناقصات</t>
  </si>
  <si>
    <t xml:space="preserve">http://localhost/ems/Opportunities/opportunities.php</t>
  </si>
  <si>
    <t xml:space="preserve">اسمُ الشاشة في الوثيقة «الفرص والزيارات والمناقصات» (opportunities.php · 24 عمودًا · فعلٌ واحد) — تجمع الفرصةَ والزيارةَ والمناقصة.</t>
  </si>
  <si>
    <t xml:space="preserve">عنوانُ الشاشة الفعليُّ «الفرص البيعية»، والمناقصاتُ شاشةٌ منفصلةٌ (`Clients/tenders.php` «المناقصات») مدفونةٌ في مجموعة «خارج الوثيقة»، ولا أثرَ لشاشةِ زياراتٍ أو لتبويبِ زياراتٍ داخل الفرص. وشاشةُ الفرص لا تملك فعلَ تحويلٍ إلى عرضِ سعر.</t>
  </si>
  <si>
    <t xml:space="preserve">ثلاثةُ مفاهيمَ تعدها الوثيقةُ شاشةً واحدةً موزَّعةٌ على شاشتين ونصف: يُدخل المندوبُ الزيارةَ في «أنشطة العملاء» والمناقصةَ في شاشةٍ مخفيةٍ والفرصةَ في ثالثة، فلا يُرى مسارُ الفرصة كاملًا في موضعٍ واحد.</t>
  </si>
  <si>
    <t xml:space="preserve">تنفيذُ الوحدة على ثلاث شاشاتٍ قبل صدور الوثيقة الموحِّدة، بلا دمجٍ أو تبويبٍ لاحق.</t>
  </si>
  <si>
    <t xml:space="preserve">Opportunities/opportunities.php:493; :520; :531؛ nav_items 145·147 (group 2092)</t>
  </si>
  <si>
    <t xml:space="preserve">١) ادخل بدور 12 واضغط «الفرص والزيارات والمناقصات» ⇒ عنوانُ الصفحة «الفرص البيعية». ٢) ابحث فيها عن تبويب زياراتٍ أو مناقصات ⇒ لا يوجد. ٣) المناقصاتُ في المجموعة الأخيرة.</t>
  </si>
  <si>
    <t xml:space="preserve">ادمج `Clients/tenders.php` و`Clients/activities.php` تبويبين داخل `Opportunities/opportunities.php` بمكوّن التبويبات نفسِه المستعمل في `includes/contract_file_tabs.php`، وصحّح عنوانَ الصفحة إلى اسم الوثيقة، واحذف صفَّي nav_items المنفصلَين.</t>
  </si>
  <si>
    <t xml:space="preserve">شاشةٌ واحدةٌ بعنوان «الفرص والزيارات والمناقصات» بثلاثة تبويباتٍ تغطي المفاهيمَ الثلاثة، ولا رابطَ منفصلٌ للمناقصات.</t>
  </si>
  <si>
    <t xml:space="preserve">عنوانُ الشاشة «الفرص البيعية» (سطرا 493 و520) لا اسمُ الوثيقة، والمناقصاتُ (Clients/tenders.php) والأنشطةُ (Clients/activities.php) صفّان نشطان للدور 12 داخل مجموعة stage_no=99 «خارج الوثيقة»، ولا تبويبَ زياراتٍ في شاشة الفرص.</t>
  </si>
  <si>
    <t xml:space="preserve">INJ-0440</t>
  </si>
  <si>
    <t xml:space="preserve">٤-٥ · «البحثُ الموحَّدُ يجد الشاشةَ بالاسمِ أو بالمستندِ الذي تنتجه»</t>
  </si>
  <si>
    <t xml:space="preserve">البحث الموحد</t>
  </si>
  <si>
    <t xml:space="preserve">http://localhost/ems/main/global_search.php</t>
  </si>
  <si>
    <t xml:space="preserve">«البحثُ الموحَّدُ يجد الشاشةَ بالاسمِ أو بالمستندِ الذي تنتجه» — و«يجد الكيانَ أيًّا كان نوعُه فلا يُسأل المتدربُ عن الشاشة».</t>
  </si>
  <si>
    <t xml:space="preserve">الأيقونةُ تحمل title وaria-label «البحث الموحد» فليست بلا تسميةٍ كليًّا؛ والتصنيفُ الأصوبُ فجوةُ تنقّلٍ لا «شاشةٌ مفقودة». — [مُصحَّح بعد التحقق] الصياغة الأولى: `main/global_search.php` موجودٌ ومربوطٌ بأيقونةٍ في الشريط العلوي فقط، وهو موسومٌ شاشةً يتيمةً (orphan) في جرد الشاشات — لا رابطَ له في سايدبار أيِّ دور. ولا مدخلَ بحثٍ داخل السايدبار نفسِه رغم أن قاع</t>
  </si>
  <si>
    <t xml:space="preserve">مستخدمُ المبيعات الذي يبحث عن عقدٍ أو عميلٍ لا يجد مدخلَ بحثٍ في القائمة التي يتعلمها، ويعتمد على أيقونةٍ بلا تسميةٍ في الشريط العلوي؛ ويسقط حكمُ «البحثُ يجد الشاشةَ بالاسم» لأن الشاشات لا تُفهرس بأسمائها.</t>
  </si>
  <si>
    <t xml:space="preserve">تنفيذُ البحث الموحَّد بابًا في الشريط العلوي بدل عنصرٍ في السايدبار، وعدمُ فهرسة أسماء الشاشات ومستنداتها في محرك البحث.</t>
  </si>
  <si>
    <t xml:space="preserve">main/global_search.php:38-50; main/global_search.php:94-142; includes/topbar.php:204-206</t>
  </si>
  <si>
    <t xml:space="preserve">١) ادخل بدور 12. ٢) ابحث في السايدبار عن مدخل بحثٍ ⇒ لا يوجد. ٣) افتح البحثَ من أيقونة الشريط وابحث باسم شاشةٍ («المستخلصات») ⇒ لا يعيد الشاشةَ نفسَها.</t>
  </si>
  <si>
    <t xml:space="preserve">أضِف حقلَ بحثٍ في رأس السايدبار في `insidebar.php` يرشّح عناصرَ القائمة فورًا، وأضِف في `main/global_search.php` فهرسةً لأسماء الشاشات ومستنداتها من `nav_items` و`link_groups`.</t>
  </si>
  <si>
    <t xml:space="preserve">كتابةُ اسمِ شاشةٍ أو اسمِ المستند الذي تنتجه في البحث تُعيد الشاشةَ ورابطَها؛ ويرشّح حقلُ السايدبار العناصرَ فورًا.</t>
  </si>
  <si>
    <t xml:space="preserve">main/global_search.php يفحص إحدى عشرة كيانًا بالاسم/الكود (السطور 38-142) ولا يفهرس أسماءَ الشاشات، ولا صفَّ له في nav_items (صفرُ مطابقةٍ في seed_reference.sql) فمدخلُه أيقونةُ topbar وحدها — خلافًا لقاعدة السايدبار السابعة (ux_readable.md:73).</t>
  </si>
  <si>
    <t xml:space="preserve">INJ-0441</t>
  </si>
  <si>
    <t xml:space="preserve">AS-05 / UXR-0040 · «تسعةُ أزرارٍ متساوية · وجدولٌ متأخر»</t>
  </si>
  <si>
    <t xml:space="preserve">«◆ لا ترويسةً برتقاليةً تملأ ربعَ الشاشة» — والجدولُ يبدأ في أول ٣٠٪ من ارتفاع الصفحة؛ ولا تُعرض الأزرارُ بوزنٍ واحد بل بفعلٍ رئيسٍ واضح.</t>
  </si>
  <si>
    <t xml:space="preserve">شاشةُ العقود (1833 سطرًا) تعرض ثمانيةَ أزرارِ مجموعاتٍ متساوية الوزن (سطر 638-660) وزرَّي فلترٍ إضافيين، وتحمل سبعَ عشرةَ كتلةَ `&lt;script&gt;`/`&lt;style&gt;` موضعيةً تعيد تنسيقَ `.action-btn` فوق ورقة أنماط الجداول — فيتأخر الجدولُ إلى ما بعد ثلث الصفحة.</t>
  </si>
  <si>
    <t xml:space="preserve">الشاشةُ الأمُّ للإدارة هي المثالُ الذي تسمّيه المواصفةُ لعيب «الأزرار المتساوية والجدول المتأخر»؛ والمستخدمُ لا يعرف أيَّ فعلٍ هو الرئيس، وتتضارب الأنماطُ الموضعيةُ مع القشرة عند أيِّ تحديثٍ للنظام التصميمي.</t>
  </si>
  <si>
    <t xml:space="preserve">نموٌّ تراكميٌّ للشاشة بلا مكوّنِ شريطِ أفعالٍ موحَّد، وأنماطٌ موضعيةٌ تُضاف بدل توسيع القشرة.</t>
  </si>
  <si>
    <t xml:space="preserve">Contracts/contracts.php:638-660; Contracts/contracts.php:622-623; Contracts/contracts.php:1209-1262; Contracts/contracts.php:1820</t>
  </si>
  <si>
    <t xml:space="preserve">١) افتح Contracts/contracts.php على شاشة 1366×768. ٢) قِس موضعَ أول صفٍّ في الجدول ⇒ بعد ثلث الارتفاع. ٣) لاحظ ثمانيةَ أزرارٍ متطابقة الشكل.</t>
  </si>
  <si>
    <t xml:space="preserve">أعِد بناءَ رأس الشاشة على `includes/page_header.php` بفعلٍ رئيسٍ واحدٍ وقائمةِ أفعالٍ ثانوية، وانقل الأنماطَ من الكتل السبع عشرة إلى `assets/css/ems-tables.css`، واطوِ شريطَ الفلاتر افتراضيًّا بعدّاد المفعَّل.</t>
  </si>
  <si>
    <t xml:space="preserve">الجدولُ يبدأ ضمن أول ٣٠٪ من ارتفاع الصفحة، وشريطُ الأفعال فيه فعلٌ رئيسٌ واحدٌ مميَّز، وصفرُ أنماطٍ موضعيةٍ جديدة.</t>
  </si>
  <si>
    <t xml:space="preserve">الأزرارُ الثمانيةُ متساويةُ الوزن (638-660) وزرَّا الفلتر (622-623) ثابتتان، لكن «تأخّرَ الجدولِ إلى ما بعد ثلث الصفحة» و«١٧ كتلةً موضعية» غيرُ مثبتين: أكثرُ الوسوم ملفاتُ vendor والشاشةُ تستعمل column-groups.js الموحّد (السطر 1820).</t>
  </si>
  <si>
    <t xml:space="preserve">INJ-0442</t>
  </si>
  <si>
    <t xml:space="preserve">VA-01 · «صفرُ لونٍ صلبٍ خارج الرموز» — كثافةُ الأنماط الموضعية</t>
  </si>
  <si>
    <t xml:space="preserve">عقود العملاء / ملف عقد المشروع</t>
  </si>
  <si>
    <t xml:space="preserve">http://localhost/ems/Contracts/contracts_details.php</t>
  </si>
  <si>
    <t xml:space="preserve">النظامُ التصميميُّ مصدرٌ واحدٌ للرموز: «صفرُ لونٍ صلبٍ خارج الرموز» ولا أنماطَ موضعيةً تعيد تعريفَ مكوّنات القشرة.</t>
  </si>
  <si>
    <t xml:space="preserve">contracts.php: 17 كتلة &lt;script&gt; + &lt;style&gt; واحدة و12 موضعَ .action-btn؛ contracts_details.php: 3 كتل script + style واحدة و0 .action-btn — والألوانُ الصلبةُ قائمةٌ في الملفين. — [مُصحَّح بعد التحقق] الصياغة الأولى: شاشتان في وحدة العقود تتجاوزان 1800 سطرًا لكلٍّ منهما (`contracts.php` 1832 و`contracts_details.php` 1994) وتحملان سبعَ عشرةَ كتلةَ سكربت/نمطٍ موضعيةً تعيد تنسيق `.action-btn` وجداولَها فوق `assets/cs</t>
  </si>
  <si>
    <t xml:space="preserve">أيُّ تحديثٍ للنظام التصميمي لا يصل هاتين الشاشتين، فتتباعد الشاشةُ الأمُّ للإدارة عن بقية النظام بصريًّا؛ والصيانةُ الموضعيةُ فيهما أخطرُ من إعادة البناء بحسب تقدير المراجعة البصرية (5/5).</t>
  </si>
  <si>
    <t xml:space="preserve">نموٌّ تراكميٌّ بلا مكوّنات، وإصلاحاتٌ بصريةٌ تُضاف كتلًا موضعيةً بدل توسيع القشرة.</t>
  </si>
  <si>
    <t xml:space="preserve">Contracts/contracts.php:1209-1262; Contracts/contracts.php:1820; Contracts/contracts_details.php:1; assets/css/ems-tables.css:1</t>
  </si>
  <si>
    <t xml:space="preserve">١) افتح Contracts/contracts.php واعرض مصدرَ الصفحة ⇒ سبعَ عشرةَ كتلةَ script/style موضعية. ٢) قارن شكلَ الأزرار بشاشةٍ تستعمل القشرة فقط ⇒ اختلافٌ ظاهر.</t>
  </si>
  <si>
    <t xml:space="preserve">ارفع الأنماطَ من الكتل الموضعية في `Contracts/contracts.php:1209-1262` وأخواتِها إلى `assets/css/ems-tables.css` بأصنافٍ معرَّفةٍ برموز النظام، واحذف الألوانَ الصلبة، وأعِد بناءَ شريط الأفعال على `includes/page_header.php`.</t>
  </si>
  <si>
    <t xml:space="preserve">صفرُ كتلةِ `&lt;style&gt;` موضعيةٍ في شاشتي العقود، وصفرُ لونٍ صلبٍ خارج رموز النظام.</t>
  </si>
  <si>
    <t xml:space="preserve">عددُ الأسطر مؤكَّد (1832 و1994) والأنماطُ الموضعيةُ والألوانُ الصلبةُ قائمةٌ فعلًا (contracts.php:1209 يعيد تنسيق .action-btns)، لكن «سبع عشرة كتلة تعيد تنسيق .action-btn في الشاشتين» مبالغةٌ: contracts_details.php لا يذكر action-btn إطلاقًا ويحمل ثلاثَ كتلِ سكربتٍ وكتلةَ نمطٍ واحدة.</t>
  </si>
  <si>
    <t xml:space="preserve">INJ-0443</t>
  </si>
  <si>
    <t xml:space="preserve">INJAZ-FRD-01 §١٢-٣ · المرحلة ١٠ — مخاطرُ الإدارة</t>
  </si>
  <si>
    <t xml:space="preserve">مخاطر إدارة الموردين</t>
  </si>
  <si>
    <t xml:space="preserve">«مساحةُ المخاطرِ الموحَّدة: عنصرٌ واحدٌ في سايدبار كلِّ إدارةٍ بعنوانٍ خاصٍّ بها — مكوّنٌ واحدٌ يتغير نطاقُه وعنوانُه بحسب الإدارةِ والدور»، ومرحلةُ «مخاطرُ الإدارة» بشاشةٍ واحدةٍ ومعتمِدٍ هو إدارةُ المخاطر.</t>
  </si>
  <si>
    <t xml:space="preserve">التصحيح: `$header_title` يضيف اسمَ الوحدة (`dept_risk_space.php:37`) — والنقصُ في تسمية nav_items وموضعِها لا في المكوّن. — [مُصحَّح بعد التحقق] الصياغة الأولى: عنصرُ المخاطر الوحيدُ في سايدبار الدور 2 اسمُه العامُّ «مساحة مخاطر الإدارة» → `Risk/dept_risk_space.php`، وهو موضوعٌ في المجموعة الأخيرة «خارج الوثيقة — بانتظار قرار المالك» مع ثلاثة روابطَ أخرى. ولا</t>
  </si>
  <si>
    <t xml:space="preserve">مرحلةٌ معلَنةٌ من دورة الإدارة تظهر بعنوانٍ عامٍّ في مجموعةٍ تقول للمستخدم إنها «خارج الوثيقة»؛ فيتعذر إثباتُ حكم «سجلُّ مخاطرٍ مقروءٌ ودليلُ ضوابط» لإدارة الموردين، ولا يُعرف نطاقُ ما يراه مديرُ الموردين من مخاطر.</t>
  </si>
  <si>
    <t xml:space="preserve">مكوّنُ المخاطر الموحَّد نُفِّذ بعنوانٍ ثابتٍ واحدٍ لكل الإدارات، وأُسند إلى مجموعة القرارات المعلَّقة بدل مرحلته المستندية.</t>
  </si>
  <si>
    <t xml:space="preserve">database/schema/seed_reference.sql:4998; Risk/dept_risk_space.php:37</t>
  </si>
  <si>
    <t xml:space="preserve">١) ادخل بدور 2 وانزل لآخر السايدبار ⇒ «مساحة مخاطر الإدارة» في مجموعة «خارج الوثيقة». ٢) افتحها ⇒ عنوانٌ عامٌّ لا يذكر الموردين.</t>
  </si>
  <si>
    <t xml:space="preserve">انقل صفَّ nav_items إلى مجموعةٍ جديدةٍ بـstage_no يوافق المرحلةَ العاشرة وstage_title «مخاطر إدارة الموردين»، واجعل `Risk/dept_risk_space.php` تشتق عنوانَها من دور المستخدم (كما ينص المكوّن الموحَّد) بدل عنوانٍ ثابت.</t>
  </si>
  <si>
    <t xml:space="preserve">سايدبارُ الدور 2 يعرض عنصرَ مخاطرَ واحدًا بعنوان «مخاطر إدارة الموردين» في مجموعته المستندية، والشاشةُ تعرض نطاقَ الموردين فقط.</t>
  </si>
  <si>
    <t xml:space="preserve">تحقّقت: عنصرُ المخاطر الوحيدُ لدور ٢ في المجموعة 2085 «خارج الوثيقة — بانتظار قرار المالك» (stage_no=99) بعنوانٍ عام. لكن الشاشةَ **تشتقّ** لاحقةَ عنوانها من اسم وحدة المستخدم، فالادعاءُ بغياب عنوانٍ خاصٍّ غيرُ دقيق، ومجموعةُ «خارج الوثيقة» موضعُ تعليقٍ مقصودٌ فخفّضتُ الخطورة.</t>
  </si>
  <si>
    <t xml:space="preserve">INJ-0444</t>
  </si>
  <si>
    <t xml:space="preserve">INJAZ-FRD-01 §١٢-١ · ما تملكه إدارةُ الموردين — تفعيلُ المعدات</t>
  </si>
  <si>
    <t xml:space="preserve">خطة معدات المورد المتعهَّد بها</t>
  </si>
  <si>
    <t xml:space="preserve">http://localhost/ems/Suppliers/equipment_plan.php</t>
  </si>
  <si>
    <t xml:space="preserve">رابعًا: توزيع الحصة على معداته</t>
  </si>
  <si>
    <t xml:space="preserve">دورةُ الإدارة: «سجلُّ موردٍ ← عقدٌ وحصةٌ ← تفعيلُ معداتٍ ← اعتمادُ وحداتٍ ← تسويةٌ ← كشفٌ شهريٌّ ← طلبُ دفع»، ومخرَجُ المرحلة الرابعة «حاويةُ كلِّ معدة».</t>
  </si>
  <si>
    <t xml:space="preserve">`Suppliers/equipment_plan.php` شاشةُ قراءةٍ محضة: تعرض حاوياتِ المورد من `op_containers` بمقاعدها وأدوارها وفتراتها، ولا تحتوي على أيِّ معالجِ POST ولا فعلِ تفعيلٍ أو إيقاف — فلا وجودَ لفعل «تفعيل معدة» ولا لتحويل الاحتياطيّ إلى أساسيّ في وحدة الموردين. والتخصيصُ نفسُه يقع من شاشة التشغيل `Operations/containers.php`.</t>
  </si>
  <si>
    <t xml:space="preserve">مرحلةٌ معلَنةٌ («تفعيلُ معدات») بلا فعلٍ في شاشتها: لا يستطيع مديرُ الموردين تفعيلَ معدةٍ احتياطيةٍ ولا إيقافَ معدةٍ متعثرة، بل يطلب من التشغيل فعلَ ذلك — وهو خلطُ ملكيةٍ صريحٌ مع «ما لا تملكه: تخصيصَ معداته».</t>
  </si>
  <si>
    <t xml:space="preserve">نقلُ كلِّ أفعال الحاويات إلى شاشة التشغيل الواحدة، وبقاءُ شاشة الموردين لوحةَ عرضٍ بلا أفعال.</t>
  </si>
  <si>
    <t xml:space="preserve">Suppliers/equipment_plan.php:14-30; Suppliers/equipment_plan.php:37; Operations/containers.php:80-165; app/Services/Operations/OperationalTransformService.php:1</t>
  </si>
  <si>
    <t xml:space="preserve">١) ادخل بدور 2 وافتح «خطة معدات المورد المتعهَّد بها». ٢) ابحث عن زرِّ تفعيلٍ أو إيقافٍ أو تعديلِ دور ⇒ لا زرَّ إطلاقًا.</t>
  </si>
  <si>
    <t xml:space="preserve">أضِف في `Suppliers/equipment_plan.php` فعلَي «تفعيل احتياطية» و«إيقاف معدة» محروسَين بمنحةِ وحدة الموردين، يستدعيان الخدمةَ نفسَها التي تستعملها `Operations/containers.php` (`OperationalTransformService`) مع سببٍ ومستندٍ ونشرِ حدث.</t>
  </si>
  <si>
    <t xml:space="preserve">مديرُ الموردين يفعّل معدةً احتياطيةً من شاشته فتنعكس فورًا في حاويات التشغيل بحدثٍ واحدٍ وسجلِّ تدقيق.</t>
  </si>
  <si>
    <t xml:space="preserve">‏Suppliers/equipment_plan.php بلا أيِّ معالجِ POST (صفر) وقراءةٌ محضةٌ من op_containers، والتخصيصُ والتفعيلُ يقعان في Operations/containers.php عبر OperationalTransformService — أي إزاحةُ ملكيةِ فعلٍ لا فقدانُ مخرَج، فتُخفَّض الخطورة.</t>
  </si>
  <si>
    <t xml:space="preserve">INJ-0445</t>
  </si>
  <si>
    <t xml:space="preserve">INJAZ-FRD-01 §١٢-٤ · كشفُ حساب المورد الشهري</t>
  </si>
  <si>
    <t xml:space="preserve">كشف حساب المورد الشهري</t>
  </si>
  <si>
    <t xml:space="preserve">http://localhost/ems/Finance/supplier_statement_fin.php</t>
  </si>
  <si>
    <t xml:space="preserve">من شاشات إدارة الموردين المعلَنة: «كشف حساب المورد الشهري» (supplier_stmt.php · 26 عمودًا) — ولكلِّ شاشةٍ مالكٌ واحدٌ هو الإدارةُ التي تعدّلها.</t>
  </si>
  <si>
    <t xml:space="preserve">الشاشةُ المربوطةُ في سايدبار الدور 2 هي `Finance/supplier_statement_fin.php` — أي شاشةٌ في وحدة المالية بوحدةِ صلاحياتٍ مالية (module 106)؛ ولا ملفَّ باسم supplier_stmt في وحدة الموردين. والحالُ نفسُه في «طلبات الدفع والسداد» → `Finance/payments_fin.php`.</t>
  </si>
  <si>
    <t xml:space="preserve">مديرُ الموردين يحتاج منحةً على وحدةٍ ماليةٍ ليرى كشفَ حساب مورده؛ وأيُّ تضييقٍ لصلاحيات المالية يحجب عنه شاشةً تعدّها الوثيقةُ من شاشاته. ويتعذر بناءُ مصفوفة الملكية.</t>
  </si>
  <si>
    <t xml:space="preserve">بناءُ الكشف في وحدة المالية بوصفه تقريرًا ماليًّا، ثم ربطُه في سايدبار الموردين بلا نسخةٍ بنطاق الإدارة أو منحةٍ مخصَّصة.</t>
  </si>
  <si>
    <t xml:space="preserve">database/schema/seed_reference.sql:158 (modules 106); :143 (modules 91); nav_items للدور 2</t>
  </si>
  <si>
    <t xml:space="preserve">١) ادخل بدور 2 واضغط «كشف حساب المورد الشهري» ⇒ المسارُ Finance/supplier_statement_fin.php. ٢) اسحب منحةَ الوحدة 106 من الدور 2 ⇒ يختفي الرابطُ ويُمنع الفتح.</t>
  </si>
  <si>
    <t xml:space="preserve">إمّا إنشاءُ `Suppliers/supplier_stmt.php` بنطاق المورد يستدعي خدمةَ الكشف نفسَها، وإمّا تسجيلُ منحةٍ مستقلةٍ للدور 2 على الشاشة المالية موثَّقةٍ في مصفوفة الملكية بوصفها «قراءةَ إدارةٍ زائرة».</t>
  </si>
  <si>
    <t xml:space="preserve">مديرُ الموردين يفتح كشفَ حساب المورد بمنحةٍ مسجَّلةٍ باسم إدارته، وتوثَّق العلاقةُ في مصفوفة الملكية.</t>
  </si>
  <si>
    <t xml:space="preserve">لا ملفَّ supplier_stmt.php في وحدة الموردين، ورابطُ الدور 2 «كشف حساب المورد الشهري» يشير إلى Finance/supplier_statement_fin.php (موديول 106 مالكُه الدور 17)، وكذلك «طلبات الدفع» → Finance/payments_fin.php (موديول 91).</t>
  </si>
  <si>
    <t xml:space="preserve">INJ-0446</t>
  </si>
  <si>
    <t xml:space="preserve">INJAZ-FRD-01 §١٢-٤ · العددُ المعلَنُ لشاشات الموردين</t>
  </si>
  <si>
    <t xml:space="preserve">شاشات إدارة الموردين</t>
  </si>
  <si>
    <t xml:space="preserve">الوثيقةُ تُعلن للإدارة «18 شاشة» و«24 فعلًا» و«11 مرحلة»، بينما يسرد جدولُها 14 شاشةً و16 فعلًا، وترقيمُ مراحلها يكرر الرقم 7 ويقفز إلى 10.</t>
  </si>
  <si>
    <t xml:space="preserve">المنفَّذُ في سايدبار الدور 2 واحدٌ وأربعون رابطًا على نحو 25 ملفًّا موزَّعةٍ على أربع وحدات (Suppliers · Finance · Operations · Procurement)، وثلاثٌ من الشاشات المعلَنة مقاطعُ لا ملفات. فلا يوجد مقياسٌ مشتركٌ يُقارَن به.</t>
  </si>
  <si>
    <t xml:space="preserve">يتعذر على بوابة الإصدار إثباتُ اكتمال شاشات M-09: العددُ المعلَن والمسرودُ والمنفَّذُ ثلاثةُ أرقامٍ مختلفة، ومراحلُ الدورة مرقَّمةٌ خطأً في الوثيقة نفسِها.</t>
  </si>
  <si>
    <t xml:space="preserve">تعارضٌ داخلَ الوثيقة الحاكمة لم يُحسَم بقرارِ مالك، وتوزيعُ شاشات الإدارة على أربع وحداتٍ في الشيفرة.</t>
  </si>
  <si>
    <t xml:space="preserve">frd_readable.md:394-401; frd_readable.md:541; Suppliers/ (22 ملفًّا)</t>
  </si>
  <si>
    <t xml:space="preserve">١) اعدد روابطَ سايدبار الدور 2 ⇒ 41. ٢) اعدد الملفاتِ المميزة ⇒ نحو 25. ٣) قارن بالمعلَن 18 وبالمسرود 14، ولاحظ تكرارَ رقم المرحلة 7 في جدول الوثيقة.</t>
  </si>
  <si>
    <t xml:space="preserve">ارفع البندَ إلى قرارِ مالكٍ في الورقة ١٠ لتثبيت قائمة شاشات M-09 وترقيم مراحلها، ثم أضِف فاحصًا في `tools/` يقارن القائمةَ المعتمدةَ بصفوف nav_items للدور 2 ويُخرج الفرقَ في الاتجاهين.</t>
  </si>
  <si>
    <t xml:space="preserve">فاحصُ الشاشات يُخرج صفرَ فرقٍ بين قائمة الوثيقة المعتمدة وشاشات الدور 2، ومراحلُ الدورة مرقَّمةٌ تسلسليًّا بلا تكرار.</t>
  </si>
  <si>
    <t xml:space="preserve">التعارضُ ثابتٌ في الوثيقة نفسِها التي تُقرّ به: frd_readable.md:541 «عُرضت ١٤ شاشةً من ١٨» وملاحظةُ المراجعة تسجّل تكرارَ المرحلة 7 والقفزَ إلى 10 — فهو دَينُ توثيقٍ يمنع قياسَ الاكتمال لا خللًا في النظام.</t>
  </si>
  <si>
    <t xml:space="preserve">INJ-0447</t>
  </si>
  <si>
    <t xml:space="preserve">٤-٢ · بنيةُ السايدبار الخمسية — ترتيبُ المراحل</t>
  </si>
  <si>
    <t xml:space="preserve">متابعة الموردين</t>
  </si>
  <si>
    <t xml:space="preserve">«الترتيبُ بالمرحلةِ المستنديةِ لا بالأبجديةِ ولا بتاريخ البرمجة»، والمجموعاتُ تتبع تسلسلَ الدورة.</t>
  </si>
  <si>
    <t xml:space="preserve">ترتيبُ مجموعات الدور 2 يخلط ترقيمَ المراحل: بعد «سادسًا: التسوية والدفع» تأتي «متابعة الموردين» ثم «سابعًا: التقييم والتصفية» ثم «تقارير الموردين» ثم «خارج الوثيقة». فالمرحلةُ السابعةُ تقع بعد مجموعةِ متابعةٍ غيرِ مرقَّمة، ووثيقةُ الإدارة نفسُها تسرد رقمَ المرحلة 7 مرتين (لمجموعتين مختلفتين).</t>
  </si>
  <si>
    <t xml:space="preserve">يفقد المستخدمُ خيطَ الدورة: يقرأ «سادسًا» ثم مجموعةً بلا رقمٍ ثم «سابعًا»، فلا يعرف أين ينتهي مسارُ العمل وأين تبدأ المتابعة. وتعذّرُ إثباتِ «الترتيبُ بالمرحلة» في بوابة الشاشة.</t>
  </si>
  <si>
    <t xml:space="preserve">خلطُ نوعين من المجموعات في العمود نفسِه (`stage_no`): مراحلُ الدورة المرقَّمة ومجموعاتُ الخدمة (متابعة · تقارير) بلا تمييزٍ في البنية.</t>
  </si>
  <si>
    <t xml:space="preserve">database/schema/seed_reference.sql (link_groups 3455-3463)؛ includes/unified_nav.php:196-204</t>
  </si>
  <si>
    <t xml:space="preserve">١) ادخل بدور 2 واقرأ عناوينَ المجموعات بالترتيب ⇒ سادسًا ← متابعة الموردين ← سابعًا ← تقارير ← خارج الوثيقة.</t>
  </si>
  <si>
    <t xml:space="preserve">افصل نوعَ المجموعة في `link_groups` (عمودُ `group_kind`: stage · service · archive)، واجعل `printStageNav()` يرتّب مراحلَ الدورة أولًا ثم مجموعاتِ الخدمة في المنطقتين ④ و⑤ الثابتتين.</t>
  </si>
  <si>
    <t xml:space="preserve">مجموعاتُ المراحل المرقَّمة متتالية بلا مقاطعة، ومجموعاتُ الخدمة في موضعها الثابت أسفل القائمة.</t>
  </si>
  <si>
    <t xml:space="preserve">بذرةُ link_groups للدور 2 تُظهر فعلًا: stage 6 «سادسًا: التسوية والدفع» ثم stage 7 «متابعة الموردين» (بلا رقم) ثم stage 8 «سابعًا: التقييم والتصفية» ثم stage 9 «تقارير الموردين» — فترقيمُ المراحل مقطوعٌ بمجموعاتِ خدمة.</t>
  </si>
  <si>
    <t xml:space="preserve">INJ-0448</t>
  </si>
  <si>
    <t xml:space="preserve">٤-٥ · «لا تُكرَّر العناصرُ» — تكرارُ المراسلات وعناصرُ مساحة عملي</t>
  </si>
  <si>
    <t xml:space="preserve">«① مساحةُ عملي … مهامي · طلباتي · موافقاتي · بلاغاتي · إنجازي · التنبيهات» ثابتةٌ حرفيًّا، ولا تُكرَّر العناصرُ الشخصية.</t>
  </si>
  <si>
    <t xml:space="preserve">مجموعةُ «لوحة الإدارة» للدور 2 تضم سبعةَ روابط: الرئيسية · المراسلات (محقونة) · مهامي · إنجازي · بوابتي · طلباتي · المراسلات (من nav_items) — أي تكرارُ «المراسلات» وغيابُ «موافقاتي» و«بلاغاتي» و«التنبيهات»، مع أن الدورَ 2 أحدُ مستويات اعتماد الوحدات الأربعة.</t>
  </si>
  <si>
    <t xml:space="preserve">مديرُ الموردين — وهو المستوى الثاني في سلسلة اعتماد الساعات — لا يجد «موافقاتي» في مساحته الشخصية، ويرى «المراسلات» مرتين في أعلى قائمته.</t>
  </si>
  <si>
    <t xml:space="preserve">حقنُ رأسَي كل إدارة في المصيّر مع بقاء صفِّهما في البيانات، وبناءُ منطقة مساحة عملي من صفوفٍ لكل دورٍ بدل ثابت.</t>
  </si>
  <si>
    <t xml:space="preserve">includes/unified_nav.php:231-238; Portal/approvals_inbox.php:1; Portal/notifications.php:1; Tickets/dept_inbox.php:1</t>
  </si>
  <si>
    <t xml:space="preserve">١) ادخل بدور 2 وافتح المجموعةَ الأولى ⇒ «المراسلات» مرتين. ٢) ابحث عن «موافقاتي» ⇒ غير موجودة.</t>
  </si>
  <si>
    <t xml:space="preserve">احذف صفوفَ nav_items لـ chats/index.php من البذرة، واطبع منطقةَ مساحة عملي من ثابتٍ بالعناصر الستة في `includes/unified_nav.php` قبل حلقة المراحل.</t>
  </si>
  <si>
    <t xml:space="preserve">سايدبارُ الدور 2 يعرض «المراسلات» مرةً واحدةً وعناصرَ مساحة عملي الستةَ كاملةً بالترتيب المنصوص.</t>
  </si>
  <si>
    <t xml:space="preserve">المصيّرُ يحقن «الرئيسية» و«المراسلات» في صدر أول مرحلة (unified_nav.php:231-238)، وnav_items للدور 2 (المجموعة 3436) تحوي chats/index.php أيضًا — فتتكرر المراسلات، وتغيب موافقاتي وبلاغاتي والتنبيهات.</t>
  </si>
  <si>
    <t xml:space="preserve">INJ-0449</t>
  </si>
  <si>
    <t xml:space="preserve">٥ · البحثُ والفلاتر — جداولُ الموردين الساكنة</t>
  </si>
  <si>
    <t xml:space="preserve">حصص الموردين من العقود / خطة معدات المورد</t>
  </si>
  <si>
    <t xml:space="preserve">http://localhost/ems/Suppliers/shares_coverage.php</t>
  </si>
  <si>
    <t xml:space="preserve">«CM-08 الجدول: ترويسةٌ ثابتةٌ وفرزٌ وتحديدٌ متعددٌ وتثبيتُ العمودِ الأول»، و«شريطُ الفلاتر مطويٌّ بعدَّادٍ وتفريغٍ بضغطة».</t>
  </si>
  <si>
    <t xml:space="preserve">`Suppliers/shares_coverage.php` و`Suppliers/equipment_plan.php` جدولان مبنيّان باستعلامٍ واحدٍ بلا حدٍّ ولا ترقيمٍ ولا فلترِ فترةٍ ولا فلترِ حالةٍ ولا بحثٍ خادمي؛ والفلترُ الوحيدُ في خطة المعدات منتقي موردٍ بـGET. ولا فلترَ إدارةٍ في أيِّ شبكةٍ في النظام (صفرٌ من 371).</t>
  </si>
  <si>
    <t xml:space="preserve">مع نموِّ عدد الموردين تصير شاشةُ الحصص قائمةً طويلةً بلا وسيلةِ وصولٍ لموردٍ بعينه إلا بالتمرير؛ ولا يمكن قصرُ العرض على فترةٍ أو عقدٍ لتسويةٍ بعينها.</t>
  </si>
  <si>
    <t xml:space="preserve">جداولُ عرضٍ سريعةٌ (★ update0007) كُتبت باستعلامٍ واحدٍ بلا طبقةِ فلترةٍ ولا مكوّنِ شريطِ فلاترَ موحَّد في المستودع.</t>
  </si>
  <si>
    <t xml:space="preserve">Suppliers/shares_coverage.php:17-32; Suppliers/equipment_plan.php:15-29; assets/js/ems-components.js:52-64; includes/datatable_server.php:32-69</t>
  </si>
  <si>
    <t xml:space="preserve">١) افتح Suppliers/shares_coverage.php في كيانٍ فيه عشراتُ الموردين. ٢) ابحث عن صندوق بحثٍ أو فلترِ فترةٍ ⇒ لا شيء.</t>
  </si>
  <si>
    <t xml:space="preserve">أضِف شريطَ فلاترٍ (مورد · عقد · فترة · حالة) وفعّل المعالجةَ الخادميةَ عبر `includes/datatable_server.php` في الشاشتين، مع عدّاد الفلاتر المفعَّلة وزرِّ التفريغ.</t>
  </si>
  <si>
    <t xml:space="preserve">شاشةُ الحصص تعرض شريطَ فلاترٍ بعدّادٍ وتفريغٍ بضغطة، وبحثًا يعمل على كل الصفوف لا على المعروض.</t>
  </si>
  <si>
    <t xml:space="preserve">الاستعلامان بلا LIMIT ولا ترقيمٍ ولا فلاتر (الوحيد منتقي موردٍ بـGET في equipment_plan.php) كما وُصف بالضبط.</t>
  </si>
  <si>
    <t xml:space="preserve">INJ-0450</t>
  </si>
  <si>
    <t xml:space="preserve">VA-07 / AC-U7 · «صفرُ جدولٍ يبلغ صفرَ أعمدة» — شبكةُ عقود الموردين</t>
  </si>
  <si>
    <t xml:space="preserve">عقود الموردين</t>
  </si>
  <si>
    <t xml:space="preserve">http://localhost/ems/Suppliers/supplierscontracts.php</t>
  </si>
  <si>
    <t xml:space="preserve">«محاولةُ إخفاءِ الكلِّ تُرفض بحدٍّ أدنى» — والحارسُ يمنع بلوغَ صفرِ أعمدة؛ وزرُّ إظهار كل الأعمدة بالاسم الموحَّد.</t>
  </si>
  <si>
    <t xml:space="preserve">`Suppliers/supplierscontracts.php` (2136 سطرًا) تُهيّئ `EmsColumnGroups` بوضع `mode:'classic'` في السطر 1239، فيخفي `setAll(false)` كلَّ المجموعات بصنف CSS بلا استدعاء حارس DataTables، وتُحفظ الحالةُ في localStorage. ونصُّ الزرِّ «الكل» لا «إظهار كل الأعمدة».</t>
  </si>
  <si>
    <t xml:space="preserve">الشبكةُ الأمُّ لعقود الموردين — وهي أطولُ شاشةٍ في الوحدة — تُفرَّغ من كل أعمدتها بنقرتين وتبقى فارغةً بعد إعادة التحميل، ويُعاد إنتاج العيب الحيِّ UI-DEF-04 حرفيًّا.</t>
  </si>
  <si>
    <t xml:space="preserve">اعتمادُ الوضع الكلاسيكيِّ القائم على CSS بينما الحارسُ مبنيٌّ على أحداث DataTables — وهي المشكلةُ نفسُها في شبكة عقود العملاء.</t>
  </si>
  <si>
    <t xml:space="preserve">Suppliers/supplierscontracts.php:1239; Suppliers/supplierscontracts.php:768; assets/js/column-groups.js:141-147; assets/js/column-groups.js:197-204; assets/js/ems-components.js:202-212</t>
  </si>
  <si>
    <t xml:space="preserve">١) افتح Suppliers/supplierscontracts.php. ٢) اضغط زرَّ «الكل» مرتين ⇒ يفرغ الجدول. ٣) حدّث الصفحة ⇒ ما زال فارغًا.</t>
  </si>
  <si>
    <t xml:space="preserve">أضِف حدًّا أدنى في `assets/js/column-groups.js::setAll()` يعمل في الوضعين، أو حوّل `Suppliers/supplierscontracts.php:1239` إلى `mode:'datatable'`، ووحّد نصَّ الزرِّ إلى «إظهار كل الأعمدة».</t>
  </si>
  <si>
    <t xml:space="preserve">لا يمكن إفراغُ شبكة عقود الموردين من كل أعمدتها، وزرُّ الأعمدة يحمل النصَّ الموحَّد.</t>
  </si>
  <si>
    <t xml:space="preserve">التهيئةُ بوضع classic في السطر 1239 مؤكَّدة، وحارسُ صفرِ الأعمدة في ems-components.js يستمع لحدث DataTables فلا يعمل في هذا الوضع، ونصُّ الزر «الكل».</t>
  </si>
  <si>
    <t xml:space="preserve">INJ-0451</t>
  </si>
  <si>
    <t xml:space="preserve">٨ · الحالاتُ الفارغةُ والخطأ — شاشاتُ الموردين</t>
  </si>
  <si>
    <t xml:space="preserve">تسويات ومستحقات الموردين / حصص الموردين</t>
  </si>
  <si>
    <t xml:space="preserve">لكلِّ شبكةٍ حالاتٌ مُعلَنة: فارغٌ ولا نتائجَ وخطأٌ وتحميل؛ والخطأُ يُعرض داخل الشاشة بمكوّنٍ لا بنصٍّ خام.</t>
  </si>
  <si>
    <t xml:space="preserve">شاشاتُ الموردين تعتمد على نصوص DataTables الافتراضية عند الفراغ ولا تستدعي `EmsUI.emptyState`؛ وتُبتلَع أخطاءُ الاستعلامات في `try/catch` تُرجع مصفوفةً فارغةً وتكتب في سجل الخادم فقط — فيرى المستخدمُ جدولًا فارغًا سواءٌ لم توجد بياناتٌ أو فشل الاستعلام.</t>
  </si>
  <si>
    <t xml:space="preserve">لا يفرّق مديرُ الموردين بين «لا تسوياتٍ لهذه الفترة» و«فشل الاستعلام» و«لا صلاحية»؛ فيتخذ قرارَ دفعٍ أو تأجيلٍ على شاشةٍ فارغةٍ لسببٍ لا يعرفه.</t>
  </si>
  <si>
    <t xml:space="preserve">ابتلاعُ الأخطاء لضمان عدم سقوط الشاشة، بلا تمييزٍ بين الفراغ والخطأ في طبقة العرض.</t>
  </si>
  <si>
    <t xml:space="preserve">Suppliers/settlements.php:134-140</t>
  </si>
  <si>
    <t xml:space="preserve">١) افتح Suppliers/settlements.php في كيانٍ بلا تسويات ⇒ جدولٌ فارغٌ بنصٍّ افتراضي. ٢) اقطع جدولَ settlement_lines مؤقتًا ⇒ الشاشةُ نفسُها بلا فرق.</t>
  </si>
  <si>
    <t xml:space="preserve">استعمل `EmsUI.emptyState` في شاشات الموردين على نمط `Risk/risk_board.php:89-93`، وميّز في كتل `catch` بين الفراغ والخطأ بتمرير رايةٍ إلى العرض تُظهر رسالةَ خطأٍ برمزٍ يُبلَّغ به الدعم.</t>
  </si>
  <si>
    <t xml:space="preserve">الشبكةُ الفارغةُ تعرض رسالةً تفرّق بين لا بيانات ولا نتائجَ بعد الفلترة والخطأ، والخطأُ يحمل رمزًا.</t>
  </si>
  <si>
    <t xml:space="preserve">لا استدعاءَ لـ`EmsUI.emptyState/noResults/errorState` في مجلد Suppliers قاطبةً، و`settlements.php:134-140` يبتلع الاستثناءَ ويعيد مصفوفةً فارغةً بـerror_log فقط — بخلاف `Risk/risk_board.php:89-93`.</t>
  </si>
  <si>
    <t xml:space="preserve">INJ-0452</t>
  </si>
  <si>
    <t xml:space="preserve">VA-01 / VA-12 · الشاشاتُ الضخمةُ وتجاوبُ الجداول</t>
  </si>
  <si>
    <t xml:space="preserve">عقود الموردين / ملف عقد المورد</t>
  </si>
  <si>
    <t xml:space="preserve">النظامُ التصميميُّ مصدرٌ واحد، والجداولُ تتجاوب مع نقاط التوقف: «BP-XS/BP-SM بطاقاتٌ لا جداولَ»؛ ولا أنماطَ موضعيةً تعيد تعريفَ القشرة.</t>
  </si>
  <si>
    <t xml:space="preserve">ملفّان في وحدة الموردين يتجاوزان 1900 سطرٍ لكلٍّ منهما (`supplierscontracts.php` 2136 و`supplierscontracts_details.php` 1933) ويحملان آليةَ مجموعات الأعمدة الكلاسيكيةَ وأنماطًا موضعيةً، بلا مناظرَ محفوظةٍ وبلا عرضِ بطاقاتٍ على الشاشات الصغيرة.</t>
  </si>
  <si>
    <t xml:space="preserve">أضخمُ شاشتين في الوحدة خارجَ النظام التصميمي عمليًّا: أيُّ تحديثٍ للقشرة لا يصلهما، وعلى الهاتف يصير جدولُ عقود الموردين غيرَ قابلٍ للاستعمال — وهما شاشتان تُفتحان أمام الموردين أحيانًا.</t>
  </si>
  <si>
    <t xml:space="preserve">نموٌّ تراكميٌّ بلا تفكيكٍ إلى مكوّنات، مع تبنٍّ جزئيٍّ لعُدّة الشاشة الموحَّدة (42 شاشةً فقط في النظام).</t>
  </si>
  <si>
    <t xml:space="preserve">Suppliers/supplierscontracts.php:768; Suppliers/supplierscontracts.php:1239; Suppliers/supplierscontracts_details.php:1; includes/u13_screen_kit.php:299-361</t>
  </si>
  <si>
    <t xml:space="preserve">١) افتح Suppliers/supplierscontracts.php على عرض 375px ⇒ جدولٌ غيرُ قابلٍ للقراءة بتمريرٍ أفقيٍّ طويل. ٢) اعرض المصدرَ ⇒ أنماطٌ موضعيةٌ وآليةُ أعمدةٍ كلاسيكية.</t>
  </si>
  <si>
    <t xml:space="preserve">فكّك الشاشتين إلى مكوّناتٍ على `includes/u13_screen_kit.php` مع مناظرَ محفوظةٍ وعرضِ بطاقاتٍ دون 768px، وارفع الأنماطَ الموضعيةَ إلى القشرة.</t>
  </si>
  <si>
    <t xml:space="preserve">شاشتا عقود الموردين تعرضان بطاقاتٍ على الشاشات الصغيرة ومنظرًا افتراضيًّا على الكبيرة، بصفر أنماطٍ موضعية.</t>
  </si>
  <si>
    <t xml:space="preserve">الحجمان مؤكَّدان (2136 و1933 سطرًا)، وصفرُ استعمالٍ لـu13_screen_kit في مجلد الموردين — فلا مناظرَ محفوظةٌ ولا عرضُ بطاقاتٍ على الشاشات الصغيرة.</t>
  </si>
  <si>
    <t xml:space="preserve">INJ-0453</t>
  </si>
  <si>
    <t xml:space="preserve">§٩ · العيوبُ والشاشاتُ اليتيمة — «المبنيُّ الذي لا يُبلَغ كالمعدوم»</t>
  </si>
  <si>
    <t xml:space="preserve">تفاصيل المورد / تفاصيل عقد المورد (يتيمة)</t>
  </si>
  <si>
    <t xml:space="preserve">http://localhost/ems/Suppliers/suppliers_details.php</t>
  </si>
  <si>
    <t xml:space="preserve">كلُّ شاشةٍ في قائمةِ دورها، ولا شاشةَ تبقى بلا مدخلٍ ولا مالكٍ ولا اختبارِ قبول.</t>
  </si>
  <si>
    <t xml:space="preserve">الحارسُ الغائبُ هو حارسُ الوحدة (لا صفَّ modules ⇒ fail-open في insidebar)، أما نطاقُ مشرف المورد فمفروضٌ بـSupplierPortalGuard. — [مُصحَّح بعد التحقق] الصياغة الأولى: شاشتان في وحدة الموردين موسومتان يتيمتين (orphan · unreferenced) في جرد الشاشات: `Suppliers/suppliers_details.php` (258 سطرًا) و`Suppliers/showcontractsuppliers.php` (169 سطرًا) — لا رابطَ لهما في ساي</t>
  </si>
  <si>
    <t xml:space="preserve">ملفّان حيّان قابلان للفتح بكتابة المسار مباشرةً يعرضان تفاصيلَ الموردين وعقودهم بلا حارسِ وحدة، ولا يشملهما أيُّ اختبارِ قبولٍ لأنهما خارج القائمة — أي سطحُ هجومٍ وصيانةٍ بلا مالك.</t>
  </si>
  <si>
    <t xml:space="preserve">بقايا شاشاتٍ قديمةٍ استُبدلت بـ`supplier_profile.php` و`supplierscontracts_details.php` ولم تُحذف ولا حُوِّلت إلى إعادة توجيه.</t>
  </si>
  <si>
    <t xml:space="preserve">Suppliers/suppliers_details.php:70-71; Suppliers/showcontractsuppliers.php:60-64</t>
  </si>
  <si>
    <t xml:space="preserve">١) افتح http://localhost/ems/Suppliers/suppliers_details.php?id=1 بحسابٍ عاديّ ⇒ تُفتح الشاشة. ٢) ابحث عن رابطٍ لها في أيِّ سايدبار ⇒ لا يوجد.</t>
  </si>
  <si>
    <t xml:space="preserve">احذف الملفين أو حوّلهما إلى `header('Location: supplier_profile.php?id=...')`؛ وإن أُبقيا فسجّلهما في `modules` وأضِف كتلةَ الحارس، وأضِف في `tools/` فاحصًا يفشل عند وجود ملفِّ شاشةٍ غيرِ مسجَّلٍ في سجل التنقل.</t>
  </si>
  <si>
    <t xml:space="preserve">فتحُ المسارين يؤدي إلى إعادة توجيهٍ للشاشة المعتمدة أو إلى 404، ولا يبقى ملفُّ شاشةٍ خارج سجل التنقل.</t>
  </si>
  <si>
    <t xml:space="preserve">الشاشتان يتيمتان فعلًا (لا صفَّ nav_items ولا صفَّ modules ولا إحالةً واردة)، لكن كلتيهما تستدعيان SupplierPortalGuard::enforce فليستا «بلا أيِّ فحصِ صلاحية».</t>
  </si>
  <si>
    <t xml:space="preserve">INJ-0454</t>
  </si>
  <si>
    <t xml:space="preserve">BR-GOV-01 · حارسُ الشاشةِ في الخادم — وحدةُ الموردين</t>
  </si>
  <si>
    <t xml:space="preserve">حصص الموردين من العقود / خطة معدات المورد / بطاقة المورد</t>
  </si>
  <si>
    <t xml:space="preserve">لا شاشةَ بلا حارسٍ خاصٍّ بها يفحص منحةَ الوحدة قبل تنفيذ أيِّ استعلام؛ والحقولُ الحساسةُ تُحجب من الخادم.</t>
  </si>
  <si>
    <t xml:space="preserve">الفجوةُ الحقيقية محصورةٌ في Suppliers/supplier_profile.php (غيرُ مسجَّلةٍ في modules ⇒ بلا حارسٍ فعليّ)؛ وبقيةُ الشاشات محروسةُ العرضِ مركزيًّا، ونقاطُ AJAX محروسةٌ بسجل action_guard. — [مُصحَّح بعد التحقق] الصياغة الأولى: أربعُ شاشاتٍ في وحدة الموردين بلا أيِّ فحصِ صلاحيةٍ خاصٍّ بها: `shares_coverage.php` (حصصُ الموردين والتغطية) و`equipment_plan.php` (خطةُ معدات المورد) و`supplier_bank.php` و`supplier_profile.php` — ت</t>
  </si>
  <si>
    <t xml:space="preserve">حصصُ الموردين وأرصدتُها وخططُ معداتهم وساعاتُ مشاريعهم مقروءةٌ لأيِّ مستخدمٍ في الكيان بلا منحة — وهي بياناتٌ تجاريةٌ تنافسيةٌ تحدد التزامَ كل مورد واستهلاكَه.</t>
  </si>
  <si>
    <t xml:space="preserve">نمطُ «الحارسُ يأتي مع السايدبار» في شاشاتٍ كُتبت على عجلٍ بـmysqli خام، ونقاطُ AJAX لا تضمّن السايدبار أصلًا.</t>
  </si>
  <si>
    <t xml:space="preserve">Suppliers/shares_coverage.php:15-32; Suppliers/shares_coverage.php:40; Suppliers/equipment_plan.php:14-30; Suppliers/equipment_plan.php:37; Suppliers/get_project_hours.php:17-22; Suppliers/supplier_profile.php:29</t>
  </si>
  <si>
    <t xml:space="preserve">١) ادخل بحسابٍ بلا منحةٍ على وحدة الموردين. ٢) افتح Suppliers/shares_coverage.php ⇒ تظهر الحصصُ والاستهلاكُ لكل مورد. ٣) أرسل POST إلى Suppliers/get_project_hours.php ⇒ يعيد ساعاتِ العقد بصيغة JSON.</t>
  </si>
  <si>
    <t xml:space="preserve">أضِف في رأس الشاشات الأربع كتلةَ `check_page_permissions()` قبل أيِّ استعلام (نمطُ `Suppliers/supplier_closure.php:33-56`)، وفي نقاط AJAX استدعِ `enforce_module_permission_json($conn,'Suppliers/supplierscontracts.php','view',...)`.</t>
  </si>
  <si>
    <t xml:space="preserve">حسابٌ بلا منحةٍ يُمنع من الشاشات الأربع ومن نقاط AJAX قبل تنفيذ أيِّ استعلام.</t>
  </si>
  <si>
    <t xml:space="preserve">نقاطُ AJAX الثلاث مسجَّلةٌ مركزيًّا في includes/action_guard.php:55-57 وتُنفَّذ عبر config.php بوضع EMS_ACTION_GUARD=enforce الموثَّق حيًّا — فادعاءُ «بلا فحصِ منحة» مردود. وثلاثٌ من الشاشات الأربع مسجَّلةٌ في modules (303·304·305) فيحرسها enforce_current_page_view_permission؛ والمنفتحُ فعلًا واحدة: Suppliers/supplier_profile.php بلا صفِّ modules مع EMS_FAILCLOSED_ENFORCE_PREFIXES فارغ.</t>
  </si>
  <si>
    <t xml:space="preserve">INJ-0455</t>
  </si>
  <si>
    <t xml:space="preserve">GOVX-0975 · مفتاحُ منعِ التكرار — الترسيةُ والتسوية</t>
  </si>
  <si>
    <t xml:space="preserve">«مفتاحُ منع التكرار في كل أثر» — وإعادةُ الإرسال لا تُنتج أثرًا ثانيًا؛ والمفتاحُ مركَّبٌ يُخزَّن مع الأثر.</t>
  </si>
  <si>
    <t xml:space="preserve">rfq_awards تحمل UNIQUE KEY uq_rfq_award (line_id, supplier_id) — فالنقرُ المزدوجُ وإعادةُ الإرسال لنفس المورد مرفوضان بنيويًّا؛ والباقي احتمالُ ترسيتين لموردين مختلفين أو لبندٍ NULL. — [مُصحَّح بعد التحقق] الصياغة الأولى: معالجُ الترسية يعتمد على استعلامِ فحصٍ سابقٍ (`SELECT id FROM rfq_awards WHERE rfq_id=… AND line_id …`) بوصفه حارسَ عطالةٍ داخل معاملةٍ بلا قفلٍ ولا قيدٍ فريدٍ في القاعدة — فطلبان متزامنان يمرّان معًا</t>
  </si>
  <si>
    <t xml:space="preserve">ترسيتان لبندٍ واحدٍ على موردين مختلفين في حالة الضغط أو النقر المزدوج، وكلتاهما مسجَّلةٌ بسببٍ — فيتعذر معرفةُ الترسية النافذة، ويُبنى عليها عقدٌ وحصةٌ متضاربان.</t>
  </si>
  <si>
    <t xml:space="preserve">عطالةٌ مبنيةٌ على فحصٍ في التطبيق بدل قيدٍ في القاعدة، وغيابُ عمودِ مفتاحِ عطالةٍ على جدول الأثر.</t>
  </si>
  <si>
    <t xml:space="preserve">Procurement/rfq_compare_award.php:28-30; :31; :33-36; app/Core/ProcessedOperations.php:1; includes/security.php:233-239</t>
  </si>
  <si>
    <t xml:space="preserve">١) افتح شاشةَ الترسية وأرسِ بندًا. ٢) اضغط تحديثَ الصفحة وأعِد الإرسال بسرعة (أو أرسِل طلبين متزامنين) ⇒ صفّا ترسيةٍ للبند نفسِه.</t>
  </si>
  <si>
    <t xml:space="preserve">أضِف قيدًا فريدًا `UNIQUE(company_id, rfq_id, line_id)` على `rfq_awards` بهجرةٍ جديدة، وأضِف عمودَ `idempotency_key` يُملأ بـ`rfq:&lt;rfq_id&gt;:line:&lt;line_id&gt;`، واستعمل `SELECT ... FOR UPDATE` داخل المعاملة في `Procurement/rfq_compare_award.php:28`.</t>
  </si>
  <si>
    <t xml:space="preserve">محاولتان متزامنتان لترسية البند نفسِه تنتجان صفًّا واحدًا؛ والثانيةُ تُردّ برسالةٍ تشير إلى الترسية القائمة.</t>
  </si>
  <si>
    <t xml:space="preserve">السباقُ النظريُّ قائمٌ (فحصٌ ثم إدراجٌ بلا قفل)، لكنّ دعوى «بلا قيدٍ فريدٍ في القاعدة» خاطئة.</t>
  </si>
  <si>
    <t xml:space="preserve">INJ-0456</t>
  </si>
  <si>
    <t xml:space="preserve">INJAZ-FRD-01 §٨-١ · الغرضُ والاختصاصُ — «◆ ما تملكه: … الإهلاكَ»</t>
  </si>
  <si>
    <t xml:space="preserve">الإهلاك والقيمة الدفترية</t>
  </si>
  <si>
    <t xml:space="preserve">http://localhost/ems/Finance/assets_fin.php</t>
  </si>
  <si>
    <t xml:space="preserve">«◆ ما تملكه إدارةُ الأسطول: كرتَ المعدة · العدّادَ · الوثائقَ · الملكيةَ · الإهلاكَ · محضرَ الإخراج» — وشاشةُ «الإهلاك والقيمة الدفترية» (depreciation.php) من شاشاتها الثلاثَ عشرة.</t>
  </si>
  <si>
    <t xml:space="preserve">الشاشةُ منفَّذةٌ داخل مجلد المالية (Finance/assets_fin.php) وتفحص صلاحياتِها برمز 'Finance/assets_fin.php' (السطر 18)، وتكتب في جدولَي fin_assets/fin_depreciation المملوكين للمالية. فمالكُ الشاشة عمليًّا هو المالية لا الأسطول، رغم أن الوثيقة تعدّها من شاشات الأسطول.</t>
  </si>
  <si>
    <t xml:space="preserve">التباسُ ملكية: منحُ صلاحيةِ الإهلاك لدور الأسطول يمرّ عبر وحدةِ صلاحيةٍ ماليةٍ، فيحصل مستخدمُ الأسطول ضمنًا على بابٍ في نطاق المالية؛ ويصعب على فاحص الصلاحيات قياسُ «من يملك ماذا».</t>
  </si>
  <si>
    <t xml:space="preserve">بُنيت شاشةُ الأصول أولًا في نطاق المالية وأُعيد استعمالُها للأسطول بربطها في السايدبار بلا فصلِ المنظر والصلاحية.</t>
  </si>
  <si>
    <t xml:space="preserve">Finance/assets_fin.php:18; :61; database/schema/seed_reference.sql (modules 101 · nav_items 6308)</t>
  </si>
  <si>
    <t xml:space="preserve">١) ادخل بدور ٣. ٢) افتح «الإهلاك والقيمة الدفترية». ٣) لاحظ أن رمزَ الصلاحية المفحوص هو Finance/assets_fin.php لا وحدةَ أسطول.</t>
  </si>
  <si>
    <t xml:space="preserve">افصل منظرَ الأسطول: أنشئ Fleet/asset_book.php يقرأ fin_assets/fin_depreciation قراءةً فقط بوحدة صلاحيةٍ خاصةٍ بالأسطول، وأبقِ الكتابةَ (إضافة أصل/احتساب إهلاك) في Finance/assets_fin.php للمالية وحدَها.</t>
  </si>
  <si>
    <t xml:space="preserve">دورُ الأسطول يفتح دفترَ الأصول قراءةً بوحدةٍ خاصةٍ به ولا يستطيع تشغيلَ «احتساب الإهلاك»؛ ودورُ المالية وحدَه يشغّله.</t>
  </si>
  <si>
    <t xml:space="preserve">الشاشةُ داخل مجلد المالية وتفحص صلاحيتَها برمز 'Finance/assets_fin.php' وتكتب fin_assets/fin_depreciation، لكن دور الأسطول يملك can_view عليها وتظهر في مرحلته الخامسة — فالمسألةُ وسمُ ملكيةٍ لا حجبُ وصول.</t>
  </si>
  <si>
    <t xml:space="preserve">INJ-0457</t>
  </si>
  <si>
    <t xml:space="preserve">INJAZ-FRD-01 §٨-٤ · أسماءُ الشاشاتِ كما تعلنها الوثيقة</t>
  </si>
  <si>
    <t xml:space="preserve">موديلات المعدات ومواصفاتها</t>
  </si>
  <si>
    <t xml:space="preserve">http://localhost/ems/Equipments/fleet_models.php</t>
  </si>
  <si>
    <t xml:space="preserve">تعلن الوثيقةُ رموزَ شاشات الأسطول: equip_models.php · equip_docs.php · equip_meters.php · equip_types.php · dep_profiles.php · depreciation.php · fleet_owners.php.</t>
  </si>
  <si>
    <t xml:space="preserve">ستةٌ من الرموز السبعة لا تطابق المسارَ المنفَّذ: equip_models.php→Equipments/fleet_models.php · equip_docs.php→Equipments/equipment_documents.php · equip_meters.php→Equipments/meter_readings.php · equip_types.php→Equipments/equipments_types.php · dep_profiles.php→Equipments/fleet_depreciation_profiles.php · depreciation.php→Finance/assets_fin.php · fleet_owners.php→Financing/owners_registry.php.</t>
  </si>
  <si>
    <t xml:space="preserve">خريطةُ التتبع بين الوثيقة والنظام لا تُقفل آليًّا: كلُّ مطابقةٍ بين حكمٍ وشاشةٍ تتطلب اجتهادًا يدويًّا، وهو ما يمنع إثباتَ «ربطُ الأفعالِ مكتمل» في شرط الإطلاق الرابع.</t>
  </si>
  <si>
    <t xml:space="preserve">أسماءُ الملفات سبقت الوثيقةَ ولم يُنشأ جدولُ مطابقةٍ رسميٌّ (canonical name ↔ route) يُقرأ من الفاحص.</t>
  </si>
  <si>
    <t xml:space="preserve">Equipments/fleet_models.php:1; Equipments/equipment_documents.php:1; Equipments/meter_readings.php:1; Equipments/equipments_types.php:1; Equipments/fleet_depreciation_profiles.php:1; Finance/assets_fin.php:1; Financing/owners_registry.php:1</t>
  </si>
  <si>
    <t xml:space="preserve">١) خذ رمزَ الشاشة من §٨-٤ (مثلًا equip_meters.php). ٢) ابحث عن الملف في المستودع → غير موجود. ٣) الشاشةُ المنفَّذة باسمٍ آخر.</t>
  </si>
  <si>
    <t xml:space="preserve">املأ جدولَ Governance/canonical_names (الموجود أصلًا) بصفٍّ لكل شاشةِ أسطول يربط الاسمَ المعتمدَ في الوثيقة بالمسار المنفَّذ، واجعل فاحصَ التتبع يقرأ منه.</t>
  </si>
  <si>
    <t xml:space="preserve">لكل رمزِ شاشةٍ في §٨-٤ صفٌّ في canonical_names يشير إلى مسارٍ موجودٍ على القرص؛ صفرُ رمزٍ بلا مطابقة.</t>
  </si>
  <si>
    <t xml:space="preserve">رموزُ شاشات الأسطول السبعةُ في FRD §٨-٤ لا يطابقها أيُّ مسارٍ منفَّذ (سبعةٌ لا ستة) — فجوةُ تتبّعٍ بين الوثيقة والقرص بلا أثرٍ سلوكي.</t>
  </si>
  <si>
    <t xml:space="preserve">INJ-0458</t>
  </si>
  <si>
    <t xml:space="preserve">§٤-٥ قواعدُ السايدبار الثلاثةَ عشرَ — «صفرُ عنصرٍ مكرر» (UXR-0036)</t>
  </si>
  <si>
    <t xml:space="preserve">لوحة الإدارة + ثانيًا: الجاهزية والتفعيل</t>
  </si>
  <si>
    <t xml:space="preserve">«صفرُ عنصرٍ مكرر · وصفرُ عنصرٍ لا يملكه المستخدم» — والترتيبُ بالمرحلة المستندية.</t>
  </si>
  <si>
    <t xml:space="preserve">الشاشةُ نفسُها تظهر مرتين في سايدبار دور ٣: مرةً في المجموعة صفر «لوحة الإدارة» تحت العنوان الفرعيِّ «الجاهزية» بمسار ../Fleet/readiness_board.php، ومرةً في المجموعة الثانية «ثانيًا: الجاهزية والتفعيل» بمسار ../Fleet/readiness_board.php#n9g8i1 — بالعنوان نفسِه «جاهزية المعدات للتشغيل».</t>
  </si>
  <si>
    <t xml:space="preserve">تكرارٌ يربك المستخدم ويكسر مؤشرَ «العنصر النشط» (كلا الرابطين يُضيئان لنفس الصفحة)، ويخالف شرطَ القبول الصريحَ «صفرُ عنصرٍ مكرر».</t>
  </si>
  <si>
    <t xml:space="preserve">بذرةُ nav_items ولّدت صفَّين للشاشة نفسِها: واحدًا في مجموعة اللوحة وآخرَ في مجموعة المرحلة، مع مِرساةٍ صوريةٍ للتفرقة.</t>
  </si>
  <si>
    <t xml:space="preserve">database/schema/seed_reference.sql:4467; :4474; link_groups 3516 و3522</t>
  </si>
  <si>
    <t xml:space="preserve">١) ادخل بدور ٣. ٢) اقرأ المجموعةَ الأولى «لوحة الإدارة» → «جاهزية المعدات للتشغيل». ٣) اقرأ المجموعة «ثانيًا: الجاهزية والتفعيل» → العنصرُ نفسُه بالعنوان نفسِه.</t>
  </si>
  <si>
    <t xml:space="preserve">احذف صفَّ nav_items المكرر في مجموعة «لوحة الإدارة» لدور ٣ (أبقِ الظهورَ في مرحلته المستندية وحدَها)، وأضِف فحصًا في فاحص التنقل يرفض التوليدَ عند تكرار route لنفس الدور.</t>
  </si>
  <si>
    <t xml:space="preserve">استعلامٌ على nav_items لدور 3: صفرُ مسارٍ يتكرر (بعد تجريد المِرساة).</t>
  </si>
  <si>
    <t xml:space="preserve">التكرارُ حقيقيٌّ للدور 3 بين مجموعة «لوحة الإدارة» (stage 0) و«ثانيًا: الجاهزية والتفعيل» (stage 2) — لكنَّ سطرَي الدليل المذكورَين يشيران إلى صفٍّ للدور 6 وإلى صفِّ modules.</t>
  </si>
  <si>
    <t xml:space="preserve">INJ-0459</t>
  </si>
  <si>
    <t xml:space="preserve">§٤-٥ قواعدُ السايدبار — «صفرُ عنصرٍ مكرر» · «صفرُ شاشةٍ «قريبًا»»</t>
  </si>
  <si>
    <t xml:space="preserve">سجل المعدات / مصدر المعدة ونمط تملّكها</t>
  </si>
  <si>
    <t xml:space="preserve">أولًا: إدخال الأصل والترميز + سابعًا/سادسًا</t>
  </si>
  <si>
    <t xml:space="preserve">«صفرُ عنصرٍ مكرر»، و«لكلٍّ وجهةٌ حيةٌ موجودة» — والمِرساةُ في الرابط يجب أن تشير إلى عنصرٍ حيٍّ في الصفحة.</t>
  </si>
  <si>
    <t xml:space="preserve">أربعةُ روابطَ في سايدبار دور ٣ تكرّر شاشاتٍ سبق ظهورُها بمِراسٍ لا وجودَ لها في الملفات: Equipments/equipments.php#n9g19i1 · Equipments/equipment_sourcing.php#n9g18i1 · Financing/owners_registry.php#n9g17i2 · Fleet/readiness_board.php#n9g8i1. لا يحوي أيٌّ من هذه الملفات عنصرًا بهذه المعرّفات.</t>
  </si>
  <si>
    <t xml:space="preserve">المستخدمُ ينقر رابطًا في مرحلةٍ متأخرةٍ من الدورة فيصل إلى الشاشة نفسِها التي فتحها في المرحلة الأولى بلا تمييزٍ ولا تمريرٍ إلى القسم المقصود؛ فتبدو المراحلُ مملوءةً وهي فارغة.</t>
  </si>
  <si>
    <t xml:space="preserve">مولّدُ التنقل ولّد ظهورًا لكل مرحلةٍ تُذكر فيها الشاشةُ في NAV-09 وأضاف مِرساةً اصطناعيةً لتمييز الصفوف، دون أن تُنفَّذ الأقسامُ المقابلةُ في الشاشات.</t>
  </si>
  <si>
    <t xml:space="preserve">database/schema/seed_reference.sql:4474; :4488; :4489; :4490; مقابل :4467; :4468; :4472; :4473</t>
  </si>
  <si>
    <t xml:space="preserve">١) بدور ٣ انقر «سجل المعدات» في المجموعة «سابعًا». ٢) لاحظ فتحَ الشاشة نفسِها بلا تمرير. ٣) ابحث في مصدر الصفحة عن id="n9g19i1" → غير موجود.</t>
  </si>
  <si>
    <t xml:space="preserve">إمّا أن تُنفَّذ الأقسامُ المستهدَفة (تبويبٌ داخل الشاشة بمعرّفٍ مطابق) وإمّا أن تُحذف الظهوراتُ المكررةُ من nav_items ويُكتفى بظهورٍ واحدٍ في المرحلة المالكة.</t>
  </si>
  <si>
    <t xml:space="preserve">لكل رابطٍ يحمل مِرساةً في سايدبار دور 3: العنصرُ ذو المعرّف موجودٌ في DOM الوجهةِ ويُمرَّر إليه.</t>
  </si>
  <si>
    <t xml:space="preserve">أربعةُ صفوفِ nav_items حيةٍ (active=1) للدور 3 بمراسٍ ميتة: #n9g8i1 · #n9g17i2 · #n9g18i1 · #n9g19i1، وصفرُ مطابقةٍ لهذه المعرّفات في أي ملفِّ PHP، وكلٌّ منها يكرّر ملفًّا ظهر سلفًا بلا مِرساة (الصفوف 6290 · 6295 · 6296 · 6291).</t>
  </si>
  <si>
    <t xml:space="preserve">INJ-0460</t>
  </si>
  <si>
    <t xml:space="preserve">§٧-٣ · §٩-٤ — «زرُّ إظهارِ كلِّ الأعمدة (CM-10) بالاسمِ الموحَّدِ في كل الشاشاتِ — ولا يُغيَّر نصُّه»</t>
  </si>
  <si>
    <t xml:space="preserve">«زرُّ إظهارِ كلِّ الأعمدة (CM-10) — بالاسمِ الموحَّدِ في كل الشاشاتِ — ولا يُغيَّر نصُّه»، والشاشاتُ الطويلةُ (٢٠+ عمودًا) «تحتاج مناظرَ وزرَّ إظهارِ الكلِّ إلزامًا».</t>
  </si>
  <si>
    <t xml:space="preserve">شاشاتُ الأسطول الثلاثُ الطويلة (equipments.php · equipments_drivers.php · equipments_fleet.php) تستعمل مكوّنَ assets/js/column-groups.js بنصٍّ غيرِ موحَّدٍ هو «إظهار الكل / إخفاء الكل»، لا النصَّ الحاكمَ «إظهار كل الأعمدة». وبقيةُ شاشات المجلد (١٢ شبكة) بلا أي أداةِ إظهارٍ للأعمدة إطلاقًا — منها «قراءات العدّادات» و«وثائق المعدات» و«سياسات الإهلاك».</t>
  </si>
  <si>
    <t xml:space="preserve">المستخدمُ لا يجد الزرَّ باسمه المعتمد فيتعلّم اسمين لوظيفةٍ واحدة؛ وفي اثنتي عشرةَ شبكةً لا يستطيع بلوغَ النموذج الكامل أصلًا رغم أن الأعمدةَ موجودةٌ في القاعدة.</t>
  </si>
  <si>
    <t xml:space="preserve">مكوّنان مختلفان لإظهار الأعمدة (column-groups.js و u13_screen_kit) ولا فحصَ آليٌّ يفرض النصَّ الموحَّدَ ولا وجودَ الزر.</t>
  </si>
  <si>
    <t xml:space="preserve">assets/js/column-groups.js:176; Equipments/equipments.php:1237-1245; Equipments/equipments_drivers.php:1319-1327; Equipments/equipments_fleet.php:1556-1564; includes/u13_screen_kit.php:319</t>
  </si>
  <si>
    <t xml:space="preserve">١) افتح سجل المعدات وابحث عن زرٍّ نصُّه «إظهار كل الأعمدة» → الموجودُ «إظهار الكل». ٢) افتح «قراءات العدّادات» → لا زرَّ إطلاقًا رغم طول الجدول.</t>
  </si>
  <si>
    <t xml:space="preserve">وحّد النصَّ في assets/js/column-groups.js:176 إلى «إظهار كل الأعمدة»/«إخفاء الأعمدة الإضافية»، وأضِف المكوّنَ نفسَه إلى شبكات Equipments الاثنتي عشرةَ الباقية عبر includes/u13_screen_kit.php.</t>
  </si>
  <si>
    <t xml:space="preserve">فحصٌ آليٌّ على DOM كل شاشةٍ طويلةٍ في Equipments: يوجد عنصرٌ نصُّه الحرفيُّ «إظهار كل الأعمدة»؛ صفرُ شاشةٍ طويلةٍ بلا منتقٍ.</t>
  </si>
  <si>
    <t xml:space="preserve">assets/js/column-groups.js:176 يطبع «إظهار الكل / إخفاء الكل» ولا يمرّر أيُّ ملفٍّ showAllText، والنصُّ الموحَّدُ «إظهار كل الأعمدة» لا يرد إلا في includes/u13_screen_kit.php:319 الذي لا تستعمله شاشاتُ Equipments — عيبُ اتساقٍ لا فقدُ وظيفة.</t>
  </si>
  <si>
    <t xml:space="preserve">INJ-0461</t>
  </si>
  <si>
    <t xml:space="preserve">§٨ التصدير — «التصديرُ يدعم العرضَ الحاليَّ وجميعَ الأعمدةِ المسموحةِ معًا» (CORE-01 ٤-٢/٧)</t>
  </si>
  <si>
    <t xml:space="preserve">تصنيف الأعطال وأسبابها</t>
  </si>
  <si>
    <t xml:space="preserve">http://localhost/ems/Equipments/fleet_failures.php</t>
  </si>
  <si>
    <t xml:space="preserve">متابعة وتقارير الأسطول</t>
  </si>
  <si>
    <t xml:space="preserve">«يوجب خياري تصدير: العرضُ الحاليُّ · وجميعُ الأعمدة المسموحة» و«يمنع تصديرَ أعمدةٍ غيرِ مسموحة»؛ والتصديرُ يُسجَّل.</t>
  </si>
  <si>
    <t xml:space="preserve">التصديرُ يحترم فلاترَ الـGET الحالية ويمرُّ بحارسِ العرض المركزي؛ والقائمُ فعلًا: مسارٌ سادسٌ خارج الإطار الموحَّد بخيارٍ واحدٍ وبلا سجلِّ تصدير. — [مُصحَّح بعد التحقق] الصياغة الأولى: Equipments/fleet_failures.php ينفّذ تصديرًا خاصًّا به: header() + جدول HTML يُبثّ باسم .xls (الأسطر 30-35 و438-443)، بخيارٍ واحدٍ لا خيارين، بلا احترامٍ للفلاتر أو المنظر، وبلا سطرِ تصديرٍ في السجل. و</t>
  </si>
  <si>
    <t xml:space="preserve">تصديرٌ خارج القناة الموحدة: لا فحصَ حساسيةِ أعمدةٍ ولا سطرَ اطّلاعٍ ولا خيارَ «كل الأعمدة المسموحة»، فيخرج ملفٌّ لا يعرف الفاحصُ محتواه ولا من أخرجه.</t>
  </si>
  <si>
    <t xml:space="preserve">التصديرُ نُفِّذ محليًّا في الشاشة قبل توحيد الإطار ولم يُهاجَر إليه.</t>
  </si>
  <si>
    <t xml:space="preserve">Equipments/fleet_failures.php:30; Equipments/fleet_failures.php:33; Equipments/fleet_failures.php:438; excel.php:81; app/Services/Excel/ExcelService.php:92</t>
  </si>
  <si>
    <t xml:space="preserve">١) بدور ٣ افتح «تصنيف الأعطال وأسبابها». ٢) اضغط زرَّ التصدير. ٣) لاحظ خيارًا واحدًا وملفَّ xls خامًّا. ٤) ابحث عن سطرِ تصديرٍ في سجل الاطّلاع → لا يوجد.</t>
  </si>
  <si>
    <t xml:space="preserve">احذف مسارَ التصدير المحليَّ من Equipments/fleet_failures.php (الأسطر 30-35 و438-443) وسجّل الكيانَ في app/Services/Excel/ExcelRegistry.php ثم استعمل excel.php?entity=failure_codes&amp;action=export بخياري التصدير.</t>
  </si>
  <si>
    <t xml:space="preserve">زرُّ التصدير في الشاشة يعرض خيارين (العرضُ الحاليّ · كلُّ الأعمدة المسموحة)، ويُكتب سطرُ تصديرٍ باسم المصدِّر والوقت.</t>
  </si>
  <si>
    <t xml:space="preserve">التصديرُ المحليُّ خارجَ excel.php مؤكَّدٌ (الأسطر 33-39 و438-443 بلا سجلِّ تصديرٍ وبخيارٍ واحد)، لكن ادعاءَ «بلا احترامٍ للفلاتر» خاطئ: exportToExcel() يُلحق export=excel بعنوانِ الصفحة الحالي فتُحفظ فلاترُ الـGET؛ والعرضُ محروسٌ لأن include insidebar.php (السطر 46) يسبق بثَّ الجدول.</t>
  </si>
  <si>
    <t xml:space="preserve">INJ-0462</t>
  </si>
  <si>
    <t xml:space="preserve">AS-06 · طبقةُ الحوكمة المشتركة — «العمودُ بلا مصدرٍ بعدُ يظهر بمكانه «—»»</t>
  </si>
  <si>
    <t xml:space="preserve">لا يُنشر عمودٌ بلا مصدر (CORE-01 ٤-٢/٨: «كلُّ عمودٍ له مصدرٌ ومالكٌ ونوعٌ وحساسيةٌ وحكمُ تصديرٍ واستيراد»)، ولا رقمٌ لا يُتتبَّع (PR-08).</t>
  </si>
  <si>
    <t xml:space="preserve">شبكاتُ الأسطول تحقن رؤوسَ أعمدةٍ وظيفيةٍ بالسمة data-fn="1" (٢٩ سطرًا في equipments.php · ١٠ في meter_readings.php · ١٢ في fleet_depreciation_profiles.php · ١٠ في fleet_models.php · ٨ في equipment_documents.php)، وحاشيةُ ui-unification.js تملأ خلاياها بـ«—» دائمًا لأن هذه الرؤوس لا تحمل مفتاح data-gov فتصير القيمةُ undefined (ui-unification.js:241-248).</t>
  </si>
  <si>
    <t xml:space="preserve">عشراتُ الأعمدة في شبكات الأسطول تعرض شرطةً أبديةً؛ فيبدو النظامُ ممتلئَ الحقول وهو فارغ، وتُصدَّر هذه الأعمدةُ بالشرطة نفسِها في تصدير DataTables.</t>
  </si>
  <si>
    <t xml:space="preserve">حُقنت رؤوسُ أعمدة المستند قبل ربط مصادرها (اعترافٌ صريحٌ في تعليق الحقن: «الخلايا يحشوها ui-unification.js حتى ربط المصدر»).</t>
  </si>
  <si>
    <t xml:space="preserve">Equipments/equipments.php:882; assets/js/ui-unification.js:221; :241; :247; includes/gov_columns.php:13</t>
  </si>
  <si>
    <t xml:space="preserve">١) افتح سجل المعدات. ٢) مرّر أفقيًّا إلى الأعمدة الوظيفية. ٣) لاحظ أن كلَّ خلاياها «—» في كل الصفوف. ٤) كرّر على «قراءات العدّادات» و«سياسات الإهلاك».</t>
  </si>
  <si>
    <t xml:space="preserve">إمّا أن تُربط رؤوسُ data-fn بمصادرها في استعلام الشاشة (تمريرُ القيمة في الصف نفسِه)، وإمّا أن تُخفى الرؤوسُ غيرُ المربوطة حتى الربط عبر شرطٍ في includes/gov_columns.php، فلا يُنشر عمودٌ بلا مصدر.</t>
  </si>
  <si>
    <t xml:space="preserve">صفرُ عمودٍ في شبكات Equipments تكون كلُّ خلاياه «—» في عيّنةٍ من ٢٠ صفًّا.</t>
  </si>
  <si>
    <t xml:space="preserve">تحقّقت بدقة: `padGovernanceCells` يجمع رؤوسَ data-fn مع data-gov (ui-unification.js:221) ثم يقرأ المفتاحَ من `data-gov` وحدَه (:241) فتصير القيمةُ undefined وتُحشى «—» (:247)؛ وأعدادُ data-fn مطابقةٌ (29/10/12/10/8). الخطورةُ أدنى لأن ظهورَ «—» للعمود بلا مصدرٍ قرارُ مالكٍ معتمد (gov_columns.php:13).</t>
  </si>
  <si>
    <t xml:space="preserve">INJ-0463</t>
  </si>
  <si>
    <t xml:space="preserve">RL-05 · التغييرُ يمرُّ بمسارٍ رسمي · RL-04 الهجرةُ تُختبر على نسخةٍ من الإنتاج</t>
  </si>
  <si>
    <t xml:space="preserve">«الهجرةُ تُختبر على نسخةٍ من الإنتاج» و«التغييرُ يمرُّ بمسارٍ رسمي» — تغييرُ بنيةِ القاعدة يقع في هجرةٍ مسجَّلةٍ لا في زمن تشغيل الشاشة.</t>
  </si>
  <si>
    <t xml:space="preserve">الشرطُ !$equipments_has_company لا يتحقق على المخطط الحالي (equipments.company_id و idx_equipments_company_id موجودان في schema.sql)، وقفلُ الجدول المذكورُ في الأثر لا يقع. — [مُصحَّح بعد التحقق] الصياغة الأولى: شاشةُ سجل المعدات تنفّذ ALTER TABLE و CREATE INDEX عند تحميل الصفحة إن غاب العمود: ems_runtime_ddl($conn, "ALTER TABLE equipments ADD COLUMN company_id …") في السطر 28 و CREATE INDEX في السطر 29.</t>
  </si>
  <si>
    <t xml:space="preserve">تغييرُ بنيةٍ في قاعدة الإنتاج يقع بطلبِ صفحةٍ من مستخدمٍ عادي، بلا مراجعةٍ ولا نسخةٍ احتياطيةٍ ولا خطةِ رجوع؛ وقفلُ الجدول أثناء ALTER على جدولٍ كبيرٍ يوقف الشاشةَ لكل المستخدمين.</t>
  </si>
  <si>
    <t xml:space="preserve">نمطُ «الترقيع الذاتي» أُبقي في الشاشة بعد إتمام الهجرة، فصار مسارَ تغييرٍ موازيًا لمسار database/migrations.</t>
  </si>
  <si>
    <t xml:space="preserve">Equipments/equipments.php:27; Equipments/equipments.php:28</t>
  </si>
  <si>
    <t xml:space="preserve">١) احذف عمودَ company_id من جدول equipments في بيئة اختبار. ٢) افتح http://localhost/ems/Equipments/equipments.php بحساب مستخدمٍ عادي. ٣) لاحظ عودةَ العمود والفهرس دون أي هجرةٍ مسجَّلة.</t>
  </si>
  <si>
    <t xml:space="preserve">احذف نداءَي ems_runtime_ddl من Equipments/equipments.php (السطران 28-29) واستبدلهما بفحصٍ يوقف الشاشةَ برسالةٍ «بنيةُ القاعدة غير مهاجَرة»، وانقل التغييرَ إلى هجرةٍ في database/migrations.</t>
  </si>
  <si>
    <t xml:space="preserve">بحثُ ems_runtime_ddl في Equipments/ يعيد صفرَ نتيجة؛ وفتحُ الشاشة على قاعدةٍ ناقصةِ العمود يعرض رسالةَ منعٍ ولا يغيّر البنية.</t>
  </si>
  <si>
    <t xml:space="preserve">النداءان قائمان فعلًا لكن في السطرين 27-28 لا 28-30، وهما داخل غلافٍ مركزيٍّ ems_runtime_ddl يحرسه EMS_DDL_FREEZE، والعمودُ والفهرسُ موجودان أصلًا في المخطط المشحون فالنداء لا-عملٍ عمليًّا.</t>
  </si>
  <si>
    <t xml:space="preserve">INJ-0464</t>
  </si>
  <si>
    <t xml:space="preserve">PR-05 · الحارسُ في الخادم · CORE-01 ٨-٢ الزوج ١</t>
  </si>
  <si>
    <t xml:space="preserve">«من ينشئ لا يعتمد» (الزوج ١ من مصفوفة الواجبات المتعارضة)، وكلُّ فعلِ اعتمادٍ يحمل رمزَ حمايةٍ وسطرَ تدقيق.</t>
  </si>
  <si>
    <t xml:space="preserve">الاعتمادُ محروسٌ بـ$can_approve (راية can_delete) لا can_edit، ويكتب dep_audit(old,new) بعد التحديث؛ الناقصُ فعلًا مقارنةُ المنشئ بالمعتمِد ورمزُ الحماية. — [مُصحَّح بعد التحقق] الصياغة الأولى: فعلُ «اعتماد ملف الإهلاك» (السطور 92-106) يفحص can_edit فقط: لا مقارنةَ بين منشئ الملف والمعتمِد (لا ems_no_self_approval)، ولا رمزَ حمايةٍ (لا verify_csrf_token في الملف)، ولا سطرَ في سجل التدقيق.</t>
  </si>
  <si>
    <t xml:space="preserve">سياسةُ الإهلاك — التي تحدّد مصروفَ الشركة الشهريَّ من الأصول — يعتمدها من كتبها بنفسه وبلا أثرٍ تدقيقي؛ وهي إحدى شاشات الإدارة الثلاثَ عشرة.</t>
  </si>
  <si>
    <t xml:space="preserve">لم يُلحَق فعلُ الاعتماد بالحارس العامِّ لمنع اعتماد الذات ولا بطبقة التدقيق.</t>
  </si>
  <si>
    <t xml:space="preserve">Equipments/fleet_depreciation_profiles.php:19; :91-94; :103; includes/self_approval_guard.php:22</t>
  </si>
  <si>
    <t xml:space="preserve">١) بحسابٍ واحدٍ أنشئ ملفَّ إهلاكٍ جديدًا (مسودة). ٢) اضغط «اعتماد». ٣) لاحظ نجاحَ الاعتماد بنفس الحساب وغيابَ أي سطرِ تدقيق.</t>
  </si>
  <si>
    <t xml:space="preserve">في Equipments/fleet_depreciation_profiles.php قبل تنفيذ الاعتماد (السطر ~100) اقرأ created_by للملف واستدعِ ems_no_self_approval، وأضِف verify_csrf_token، ثم ems_audit_change بعد نجاح التحديث.</t>
  </si>
  <si>
    <t xml:space="preserve">منشئُ ملف الإهلاك يتلقى 403 عند اعتماده، ومستخدمٌ ثانٍ يعتمده وينشأ سطرُ تدقيقٍ بقيم قبل/بعد.</t>
  </si>
  <si>
    <t xml:space="preserve">غيابُ ems_no_self_approval وverify_csrf_token صحيح، لكن ادعاءَي «يفحص can_edit فقط» و«لا سطرَ تدقيق» خاطئان: الفعلُ خلف $can_approve المستقل، وdep_audit يكتب قيمَ قبل/بعد.</t>
  </si>
  <si>
    <t xml:space="preserve">INJ-0465</t>
  </si>
  <si>
    <t xml:space="preserve">PR-05 · الحارسُ في الخادم — رمزُ الحماية على أفعال الكتابة</t>
  </si>
  <si>
    <t xml:space="preserve">حفظ الجداول الفرعية لكرت المعدة</t>
  </si>
  <si>
    <t xml:space="preserve">http://localhost/ems/Equipments/equipment_child_save.php</t>
  </si>
  <si>
    <t xml:space="preserve">كلُّ فعلِ كتابةٍ يمرّ بحارسٍ في الخادم وبرمزِ حمايةٍ يمنع الطلبَ العابرَ للمواقع.</t>
  </si>
  <si>
    <t xml:space="preserve">حارسُ صلاحيةٍ قائمٌ (can_edit على موديول الأسطول)، وCSRF مركزيٌّ في وضع المراقبة لهذا المسار — لا «بلا رمز حماية» مطلقًا. — [مُصحَّح بعد التحقق] الصياغة الأولى: Equipments/equipment_child_save.php يفحص صلاحيةَ 'equipments_fleet' في السطر 38 (رمزُ وحدةٍ يخالف رمزَ الشاشة المالكة 'Equipments/equipments.php')، ولا يتحقق من أي رمز حماية (لا verify_csrf_token في ا</t>
  </si>
  <si>
    <t xml:space="preserve">أربعُ عمليات كتابةٍ على الجداول الفرعية لكرت المعدة تُنفَّذ بطلبٍ مزوَّرٍ من موقعٍ خارجي بجلسة مستخدم أسطول، ودون تطابقٍ مع صلاحية الشاشة التي أطلقت الطلب.</t>
  </si>
  <si>
    <t xml:space="preserve">المعالجُ فُصل عن شاشته ولم يرث رمزَ وحدتها ولا حارسَ الرمز.</t>
  </si>
  <si>
    <t xml:space="preserve">Equipments/equipment_child_save.php:38; includes/security.php:404-451; config.php:134-135; :467-469</t>
  </si>
  <si>
    <t xml:space="preserve">١) ادخل بدور ٣. ٢) أرسل POST من صفحةٍ خارجيةٍ إلى equipment_child_save.php بحمولةٍ صحيحة. ٣) لاحظ الحفظَ دون أي رفض.</t>
  </si>
  <si>
    <t xml:space="preserve">أضِف verify_csrf_token في رأس Equipments/equipment_child_save.php، ووحّد رمزَ الوحدة مع الشاشة المالكة عبر ems_guard_handler($conn,'Equipments/equipments.php','edit').</t>
  </si>
  <si>
    <t xml:space="preserve">POST بلا رمزٍ صالحٍ يُرفض 403؛ وحسابٌ يملك صلاحية الشاشة المالكة ينجح دائمًا.</t>
  </si>
  <si>
    <t xml:space="preserve">صحيحٌ أنّ الملفَّ يفحص 'equipments_fleet' ولا يستدعي verify_csrf_token، لكنّ الحارسَ المركزيَّ ems_enforce_csrf_protection يعمل على كل POST من config.php:468 والرمزُ يُحقن آليًّا في الفورمات — والإنفاذُ متدرجٌ بالمسار (Equipments خارج CSRF_ENFORCE_PATHS) فالوضعُ مراقبةٌ لا انعدامُ حماية؛ كما أنّ الشاشةَ المالكةَ هي equipment_profile.php لا equipments.php.</t>
  </si>
  <si>
    <t xml:space="preserve">INJ-0466</t>
  </si>
  <si>
    <t xml:space="preserve">INJAZ-FRD-01 §٩-٤ — «◆ عرضٌ مختصر — تُعرض هنا أولُ أربعَ عشرةَ شاشةً من 38»</t>
  </si>
  <si>
    <t xml:space="preserve">جرد شاشات المالية</t>
  </si>
  <si>
    <t xml:space="preserve">تعلن الوثيقةُ للمالية والخزينة ٣٨ شاشةً و٤٥ فعلًا و١٢ مرحلةً، والقائمةُ الكاملةُ في ملف التتبع الورقة ٠٦ مرشَّحةً على «المالية والخزينة».</t>
  </si>
  <si>
    <t xml:space="preserve">مجلد Finance يحوي ٧٣ ملفًّا، منها ٢٩ فقط ظاهرةٌ في سايدبار أي دور (٦٦ منها شاشاتُ عرضٍ والباقي مساعداتٌ وسكربتاتُ cron). فلا العددُ ٣٨ مطابقٌ للمنفَّذ ولا للظاهر، ولا يوجد جدولُ مطابقةٍ يربط الشاشاتِ الثمانيَ والثلاثين المعلَنةَ بمساراتها.</t>
  </si>
  <si>
    <t xml:space="preserve">يستحيل إثباتُ اكتمال شاشات أكبر إدارةٍ في النظام (٦٣٧ حكمًا): لا يُعرف أيُّ الملفات يقابل أيَّ شاشةٍ معلَنة، ولا كم شاشةً معلَنةً لم تُبنَ، ولا كم ملفًّا بُني خارج الوثيقة.</t>
  </si>
  <si>
    <t xml:space="preserve">بُنيت الشاشاتُ في موجاتٍ متتاليةٍ بلا سجلٍّ يربط الاسمَ المعتمدَ بالمسار، والوثيقةُ نفسُها لم تسرد إلا ١٤ من ٣٨.</t>
  </si>
  <si>
    <t xml:space="preserve">Finance/dues_fin.php:1; Finance/fin_ratios.php:1; Finance/ob_register.php:1; Governance/canonical_names.php:1; database/schema/seed_reference.sql:3542</t>
  </si>
  <si>
    <t xml:space="preserve">١) اعدّ ملفاتِ Finance/*.php = ٧٣. ٢) اعدّ ما يظهر منها في nav_items لكل الأدوار = ٢٩. ٣) قارن بالعدد المعلَن ٣٨ → لا تطابق في أي اتجاه.</t>
  </si>
  <si>
    <t xml:space="preserve">املأ Governance/canonical_names بصفٍّ لكل شاشةٍ من الثمانيَ والثلاثين المعلَنة يربطها بمسارها المنفَّذ أو يعلنها غيرَ مبنية، واجعل فاحصَ التتبع يقرأ منه ويصدر تقريرَ فجوةٍ لكل إدارة.</t>
  </si>
  <si>
    <t xml:space="preserve">تقريرُ تتبعٍ يعرض لكل شاشةٍ معلَنةٍ في §٩-٤ حالتَها (مبنية/غير مبنية/ظاهرة) بمسارها؛ وصفرُ ملفٍّ في Finance/ بلا تصنيف.</t>
  </si>
  <si>
    <t xml:space="preserve">القياسُ مطابق: ٧٣ ملفًّا في Finance/ و٢٩ فقط ظاهرةٌ في سايدبار دورٍ ما (٥٤ لها صفوفُ nav منها ٢٥ محجوبة)، ولا جدولَ مطابقةٍ يربط الشاشاتِ المعلَنة؛ لكنها فجوةُ تتبعٍ لا عطبٌ وظيفي.</t>
  </si>
  <si>
    <t xml:space="preserve">INJ-0467</t>
  </si>
  <si>
    <t xml:space="preserve">§٤-٥ قواعدُ السايدبار — «صفرُ عنصرٍ مكرر» (UXR-0036 · UXR-0082)</t>
  </si>
  <si>
    <t xml:space="preserve">صندوق ما ينتظر اعتمادي / أسعار الصرف / ميزانية إدارتي</t>
  </si>
  <si>
    <t xml:space="preserve">أولًا: تحويل العمل إلى مستحق + متابعة وتقارير المالية</t>
  </si>
  <si>
    <t xml:space="preserve">«صفرُ عنصرٍ مكرر»، والعيبُ الحيُّ UI-DEF-05 «تكرارُ عناصرَ في السايدبار» اختبارُ إغلاقه: «فاحصُ التنقلِ يكشف التكرارَ ويوقف التوليد».</t>
  </si>
  <si>
    <t xml:space="preserve">أربعُ شاشاتٍ مكررةٌ في سايدبار أدوار المالية: Finance/approvals_inbox.php (المرحلة ١ + المتابعة) · Finance/currencies_fin.php (المرحلة ٥ + الإعدادات) · Finance/budget_dept.php (المرحلة ٧ + المتابعة) · Contracts/tax_invoices.php (المرحلة ٢ باسم «فواتير العملاء» + المرحلة ٦ باسم «الفاتورة الضريبية والإقرارات»). ويتكرر رابطُ «المراسلات» مرتين في المجموعة صفر لكل الأدوار لأن الرابطَ مثبَّتٌ في المصيّر (includes/unified_nav.php:235) ومبذورٌ في nav_items معًا.</t>
  </si>
  <si>
    <t xml:space="preserve">خمسةُ عناصرَ مكررةٍ في قائمةٍ واحدةٍ تربك المستخدمَ وتكسر مؤشرَ العنصر النشط؛ والتكرارُ عيبٌ مسجَّلٌ سلفًا في وثيقة UXR ولم يُغلق.</t>
  </si>
  <si>
    <t xml:space="preserve">بذرةُ nav_items تولّد ظهورًا لكل ذكرٍ للشاشة في مصفوفة العرض، ورابطُ المراسلات مثبَّتٌ في المصيّر ومبذورٌ معًا، ولا فاحصَ يرفض التكرار.</t>
  </si>
  <si>
    <t xml:space="preserve">includes/unified_nav.php:235; database/schema/seed_reference.sql:3542; Finance/approvals_inbox.php:1; Finance/currencies_fin.php:1; Finance/budget_dept.php:1; Contracts/tax_invoices.php:1</t>
  </si>
  <si>
    <t xml:space="preserve">١) ادخل بدور ١٧. ٢) اقرأ المجموعةَ صفر → «المراسلات» مرتين. ٣) قارن المرحلة ١ بالمتابعة → «صندوق ما ينتظر اعتمادي» مرتين. ٤) قارن المرحلة ٥ بالإعدادات → «أسعار الصرف» مرتين.</t>
  </si>
  <si>
    <t xml:space="preserve">احذف الظهورَ المكرر من nav_items لأدوار المالية وأبقِ ظهورًا واحدًا في المرحلة المالكة؛ واحذف بذرةَ «المراسلات» لأنها مثبَّتةٌ في includes/unified_nav.php:235؛ وأضِف فحصًا في مولّد التنقل يرفض تكرارَ route لنفس الدور.</t>
  </si>
  <si>
    <t xml:space="preserve">استعلامٌ على nav_items لكل دورٍ ماليّ: صفرُ مسارٍ يتكرر بعد تجريد المِرساة؛ و«المراسلات» تظهر مرةً واحدة.</t>
  </si>
  <si>
    <t xml:space="preserve">حسبتُ سايدبارات المالية من nav_items×role_permissions: التكرارُ ثابتٌ للأدوار 17 و19 (approvals_inbox · currencies_fin · tax_invoices · budget_dept) وللدور 18 و20 جزئيًّا؛ و«المراسلات» مثبَّتةٌ في unified_nav.php:235 ومبذورةٌ صفًّا في مجموعة المرحلة صفر معًا.</t>
  </si>
  <si>
    <t xml:space="preserve">INJ-0468</t>
  </si>
  <si>
    <t xml:space="preserve">▐ ١١-٣ مصفوفةُ الظهورِ — «بأفعالٍ مسموحةٍ … ومحجوبٍ عنه»</t>
  </si>
  <si>
    <t xml:space="preserve">صندوق ما ينتظر اعتمادي (دور: قارئ مالي)</t>
  </si>
  <si>
    <t xml:space="preserve">لكل ظهورٍ زاويتُه ومسموحُه ومحجوبُه؛ والقارئُ لا يملك أفعالَ الاعتماد.</t>
  </si>
  <si>
    <t xml:space="preserve">سايدبار دور ٢٢ «قارئ مالي» يعرض «صندوق ما ينتظر اعتمادي» مرتين (المرحلة ١ والمتابعة)، ويعرض «فحص شروط الاستحقاق» و«توليد المستحق من العمل المعتمد» — وهي شاشاتُ قرارٍ لا قراءة. والشاشتان لا تفرّقان بين قارئٍ ومعتمِدٍ في العرض (approvals_inbox يفحص can_view فقط، السطر 34).</t>
  </si>
  <si>
    <t xml:space="preserve">دورُ القراءة يُقاد إلى صناديق القرار؛ وإذا مُنح can_view فقط فسيرى كلَّ ما ينتظر الاعتمادَ في الشركة بمبالغه وأطرافه، وهو تجاوزٌ لزاوية القراءة المقصودة.</t>
  </si>
  <si>
    <t xml:space="preserve">بذرةُ الظهور لأدوار المالية نُسخت من دور الإدارة إلى دور القارئ بلا تصفيةٍ على الزاوية والمسموح.</t>
  </si>
  <si>
    <t xml:space="preserve">database/schema/seed_reference.sql:3542; Finance/approvals_inbox.php:34; Finance/entitlement_gate.php:11; Finance/entitlement.php:26</t>
  </si>
  <si>
    <t xml:space="preserve">١) ادخل بدور ٢٢. ٢) اقرأ المرحلة ١ → «صندوق ما ينتظر اعتمادي» و«فحص شروط الاستحقاق». ٣) افتحهما → تُفتحان بكامل البيانات.</t>
  </si>
  <si>
    <t xml:space="preserve">احذف ظهوراتِ شاشات القرار من nav_items لدور ٢٢ وأبقِ التقاريرَ والقوائمَ؛ وفي Finance/approvals_inbox.php صفِّ الصفوفَ بنطاق الدور بحيث لا يرى القارئُ إلا ما يخصّ قراءتَه.</t>
  </si>
  <si>
    <t xml:space="preserve">بدور ٢٢: لا يظهر صندوقُ الاعتماد ولا بوابةُ الاستحقاق في السايدبار، وفتحُهما مباشرةً يعيد 403.</t>
  </si>
  <si>
    <t xml:space="preserve">التكرارُ ثابتٌ (صفّان لنفس المسار للدور 22: 6659 و6696) وشاشتا الاستحقاق ظاهرتان، لكن منحَ الدور 22 على الوحدات 192 و270 و341 can_view=1 وcan_add/can_edit=0 فلا يملك أفعالَ القرار.</t>
  </si>
  <si>
    <t xml:space="preserve">INJ-0469</t>
  </si>
  <si>
    <t xml:space="preserve">المحاسبون والوحدات / الضرائب / التمويل والالتزامات / سياسات مستحقات المشغّلين</t>
  </si>
  <si>
    <t xml:space="preserve">http://localhost/ems/Finance/accountants_fin.php</t>
  </si>
  <si>
    <t xml:space="preserve">كلُّ فعلِ كتابةٍ ماليٍّ يمرّ برمزِ حمايةٍ خادميٍّ وسطرِ تدقيق.</t>
  </si>
  <si>
    <t xml:space="preserve">لا رمزَ حمايةٍ محليًّا لكن الحارسَ المركزيَّ يغطي /Finance/؛ الفجوةُ المؤكدةُ سجلُّ التدقيق. — [مُصحَّح بعد التحقق] الصياغة الأولى: خمسُ شاشاتٍ ماليةٍ كاتبةٍ بلا أي رمزِ حماية: accountants_fin.php (١٢ حقلَ POST · إدراجان) · tax_fin.php (١٣ · إدراجان) · funding_fin.php (١١ · إدراجان و٤ تحديثات) · operator_pay_policies_fin.php (١٧ ·</t>
  </si>
  <si>
    <t xml:space="preserve">إنشاءُ ضريبةٍ أو مصدرِ تمويلٍ أو سياسةِ أجرٍ للمشغّلين أو حسابٍ في دليل الحسابات يمكن تنفيذُه بطلبٍ عابرٍ للمواقع من جلسة مستخدمٍ ماليٍّ، بلا أي أثرٍ تدقيقي.</t>
  </si>
  <si>
    <t xml:space="preserve">حارسُ الرمز أُضيف في موجة «إصلاح #2» لبعض الشاشات ولم يُعمَّم على شاشات الإعدادات المالية.</t>
  </si>
  <si>
    <t xml:space="preserve">Finance/accountants_fin.php:1; Finance/tax_fin.php:1; Finance/funding_fin.php:1; Finance/operator_pay_policies_fin.php:1; Finance/management_accounting_fin.php:1; Finance/dues_fin.php:28</t>
  </si>
  <si>
    <t xml:space="preserve">١) سجّل الدخولَ بدور مالية. ٢) أرسل POST من صفحةٍ خارجيةٍ إلى Finance/tax_fin.php بحمولةٍ صحيحة. ٣) لاحظ الحفظَ بلا رفض.</t>
  </si>
  <si>
    <t xml:space="preserve">أضِف fin_verify_action_token() في رأس كل معالجِ POST/GET كاتبٍ في الملفات الخمسة، وحقلَ csrf_token في نماذجها، و ems_audit_change بعد كل كتابة.</t>
  </si>
  <si>
    <t xml:space="preserve">POST بلا رمزٍ صالحٍ إلى أيٍّ من الشاشات الخمس يُرفض 409، وكلُّ كتابةٍ ناجحةٍ تترك سطرَ تدقيق.</t>
  </si>
  <si>
    <t xml:space="preserve">CSRF مركزيٌّ بالحقن التلقائي وems_enforce_csrf_protection في config.php:469 و.env يُنفِّذ بادئة /Finance/ حسب docs/HANDOFF_finance_migration — فالباقي الصحيحُ هو غيابُ ems_audit_change في الشاشات الخمس.</t>
  </si>
  <si>
    <t xml:space="preserve">INJ-0470</t>
  </si>
  <si>
    <t xml:space="preserve">INJAZ-FRD-01 §١٠-١ — «◆ ما لا تملكه: الأثرَ التشغيلي · التخصيصَ · الفوترةَ · القيدَ»</t>
  </si>
  <si>
    <t xml:space="preserve">الأعيان والحصص — سجل المعدات</t>
  </si>
  <si>
    <t xml:space="preserve">«◆ ما لا تملكه إدارةُ التمويل: الأثرَ التشغيلي · التخصيصَ · الفوترةَ · القيدَ» — والعارضُ يرى بزاويةٍ ولا يكتب.</t>
  </si>
  <si>
    <t xml:space="preserve">المنحةُ الحيةُ للدور 26 على الموديول 256 هي عرضٌ فقط. — [مُصحَّح بعد التحقق] الصياغة الأولى: سايدبار دور ٢٦ يعرض «سجل المعدات» (Equipments/equipments.php) في مجموعة «ثالثًا: الأعيان والحصص»، والشاشةُ هي شاشةُ الكتابة الكاملة لكرت المعدة (إدراجٌ وتعديلٌ في السطرين 249 و253) وتفحص صلاحيةَ وحدة </t>
  </si>
  <si>
    <t xml:space="preserve">إدارةُ التمويل تُقاد إلى شاشة الكتابة المملوكة للأسطول بدل منظرِ قراءةٍ يخصّها؛ فإمّا تُمنع فلا ترى الأعيان، وإمّا تُمنح فتكتب في سجل إدارةٍ أخرى خلافًا لحدّ اختصاصها المعلَن.</t>
  </si>
  <si>
    <t xml:space="preserve">استُعملت الشاشةُ المالكةُ نفسُها كعارضٍ بدل إنشاء منظرِ قراءةٍ بوحدة صلاحيةٍ منفصلة.</t>
  </si>
  <si>
    <t xml:space="preserve">database/schema/seed_reference.sql:4899; Equipments/equipments.php:48; Equipments/equipments.php:249; Equipments/equipments.php:253</t>
  </si>
  <si>
    <t xml:space="preserve">١) ادخل بدور ٢٦. ٢) افتح «سجل المعدات» من مجموعة «ثالثًا». ٣) إن كانت للدور can_edit على 'equipments' فالنماذجُ قابلةٌ للحفظ.</t>
  </si>
  <si>
    <t xml:space="preserve">أنشئ منظرَ قراءةٍ (equipments.php?view=finance أو شاشةً مستقلة) بوحدة صلاحيةٍ خاصةٍ بالتمويل تعرض المعدةَ وربطَها بالتمويل قراءةً فقط، واستبدل به الظهورَ في سايدبار دور ٢٦.</t>
  </si>
  <si>
    <t xml:space="preserve">دورُ ٢٦ يفتح منظرَ الأعيان قراءةً ولا يستطيع حفظَ أي حقلٍ في سجل المعدات (رفضٌ خادميٌّ عند POST).</t>
  </si>
  <si>
    <t xml:space="preserve">الوصفُ البنيويُّ صحيح (الدور 26 يُقاد إلى شاشة الكتابة نفسِها التي تفحص وحدةَ 'equipments' لا منظرَ قراءة)، لكن الخطرَ افتراضيّ: role_permissions تمنح الدورَ 26 can_view=1 وcan_add=can_edit=0 على الموديول 256، فلا كتابةَ فعليةً اليوم.</t>
  </si>
  <si>
    <t xml:space="preserve">INJ-0471</t>
  </si>
  <si>
    <t xml:space="preserve">INJAZ-FRD-01 §١٠ · ملاحظةُ الوثيقة — «الوثيقةُ تعلن «9 مرحلة» ويسرد الجدولُ ٨ صفوف»</t>
  </si>
  <si>
    <t xml:space="preserve">مراحل دورة التمويل في السايدبار</t>
  </si>
  <si>
    <t xml:space="preserve">«الترتيبُ من الدورةِ لا من تاريخ البرمجة — وهو ما يقود بنيةَ شاشاتها»، والمراحلُ ثمانٍ مسرودةٌ في §١٠-٣.</t>
  </si>
  <si>
    <t xml:space="preserve">التصحيح: النقصُ منحُ صلاحيةٍ (role_permissions) لا غيابُ مجموعات. — [مُصحَّح بعد التحقق] الصياغة الأولى: سايدبار دور ٢٦ يعرض خمسَ مجموعاتٍ مرحليةٍ فقط (أولًا…خامسًا) ثم «متابعة وتقارير التمويل» (بـstage_no=7) ثم «خارج الوثيقة». فالمرحلةُ السادسة «سرية الملكية» والمرحلةُ الثامنة «مخاطرُ الإدارة» غائبتان، </t>
  </si>
  <si>
    <t xml:space="preserve">دورةُ عمل الإدارة تُعرض ناقصةً مرحلتين من ثمانٍ؛ والمستخدمُ لا يرى في قائمته المرحلةَ التي تحكم سريةَ مجاله كلِّه ولا مرحلةَ مخاطره.</t>
  </si>
  <si>
    <t xml:space="preserve">بذرةُ link_groups لدور ٢٦ أُنشئت للمراحل الخمس الأولى ثم قفزت إلى المتابعة.</t>
  </si>
  <si>
    <t xml:space="preserve">database/schema/seed_reference.sql (link_groups 3806-3810); includes/unified_nav.php:70-77</t>
  </si>
  <si>
    <t xml:space="preserve">١) ادخل بدور ٢٦. ٢) اعدّ المجموعاتِ المرحلية → خمسٌ ثم متابعة. ٣) ابحث عن «سادسًا» و«مخاطرُ الإدارة» → غير موجودتين.</t>
  </si>
  <si>
    <t xml:space="preserve">أضِف مجموعتين في link_groups لدور ٢٦: «سادسًا: سرية الملكية» (منح الرؤية والحقول الحساسة قراءةً) و«مخاطرُ الإدارة» (Risk/risk_dept_cap.php)، وصحّح stage_no لمجموعة المتابعة.</t>
  </si>
  <si>
    <t xml:space="preserve">بدور ٢٦ تظهر ثماني مجموعاتٍ بترتيب الوثيقة، وكلُّ مجموعةٍ تحوي شاشاتِها المعلَنة.</t>
  </si>
  <si>
    <t xml:space="preserve">الأثرُ المرصود صحيحٌ (المرحلةُ السادسة لا تُصيَّر ومخاطرُ الإدارة في «خارج الوثيقة») لكن السببَ المذكورَ خاطئ: مجموعتا «سادسًا: سرية الملكية» (3806/3807) **موجودتان ونشطتان** وعنصراهما يسقطان لانعدام can_view؛ وادعاءُ مخالفةِ رقم مجموعة المتابعة (7) لا يستقيم إذ يوافق ترتيبَ الوثيقة.</t>
  </si>
  <si>
    <t xml:space="preserve">INJ-0472</t>
  </si>
  <si>
    <t xml:space="preserve">التصرف في الأصل / ملف عملية التمويل</t>
  </si>
  <si>
    <t xml:space="preserve">لكل شاشةٍ ظهورٌ في مصفوفة العرض بنطاقه وزاويته، ولا شاشةَ تُبلَغ إلا من قائمتها.</t>
  </si>
  <si>
    <t xml:space="preserve">Financing/owners_registry.php يربط asset_disposal.php، وincludes/financing_file_tabs.php وinstallments.php وmain/global_search.php تربط operation_profile.php — فالوصولُ قائمٌ من داخل النظام. — [مُصحَّح بعد التحقق] الصياغة الأولى: شاشتان أساسيتان في نطاق الإدارة لا تظهران في سايدبار دور ٢٦ ولا أي دورٍ آخر: Financing/asset_disposal.php (المسارُ الوحيدُ لنقل الملكية) و Financing/operation_profile.php (ملفُّ العملية بحصصها وأقساطه</t>
  </si>
  <si>
    <t xml:space="preserve">الفعلُ الوحيدُ الذي ينقل ملكيةَ أصلٍ في النظام غيرُ قابلٍ للوصول من أي قائمة؛ فإمّا يُنفَّذ برابطٍ محفوظٍ خارج النظام وإمّا لا يُنفَّذ أصلًا فتبقى الملكيةُ ساكنةً بينما تتغير في الواقع.</t>
  </si>
  <si>
    <t xml:space="preserve">بُنيت الشاشتان في موجة update0007-ب ولم تُبذَر لهما صفوفُ nav_items.</t>
  </si>
  <si>
    <t xml:space="preserve">database/schema/seed_reference.sql:4012; :4013</t>
  </si>
  <si>
    <t xml:space="preserve">١) ادخل بدور ٢٦. ٢) ابحث في السايدبار عن «التصرف في الأصل» أو «ملف العملية» → غير موجودتين. ٣) افتح Financing/asset_disposal.php مباشرةً → تُفتح وتعمل.</t>
  </si>
  <si>
    <t xml:space="preserve">ابذر صفَّي nav_items لدور ٢٦: asset_disposal.php ضمن «ثالثًا: الأعيان والحصص» و operation_profile.php ضمن «ثانيًا: عملية التمويل»، وسجّل الوحدتين في modules.</t>
  </si>
  <si>
    <t xml:space="preserve">بدور ٢٦ يظهر الرابطان في مجموعتيهما ويفتحان الشاشتين؛ وصفرُ ملفِّ شاشةٍ في Financing/ بلا ظهورٍ أو استثناءٍ معلَن.</t>
  </si>
  <si>
    <t xml:space="preserve">غيابُ الشاشتين عن السايدبار صحيحٌ (صفّان في nav_items بـactive=0)، لكنّ «تُفتحان بالرابط المباشر فقط» خطأ وسطرُ الشاهد خاطئ.</t>
  </si>
  <si>
    <t xml:space="preserve">INJ-0473</t>
  </si>
  <si>
    <t xml:space="preserve">سجل الشركات والكيانات / المراسلات</t>
  </si>
  <si>
    <t xml:space="preserve">http://localhost/ems/Governance/entities_registry.php</t>
  </si>
  <si>
    <t xml:space="preserve">«صفرُ عنصرٍ مكرر»، و«لا تُكرَّر العناصرُ الشخصيةُ في كل إدارة».</t>
  </si>
  <si>
    <t xml:space="preserve">سايدبار دور ٢٦ يعرض Governance/entities_registry.php مرتين بعنوانين مختلفين: «سجل الشركات والكيانات» (مع مِرساة #cmp03) في المرحلة الأولى، و«سجل الكيانات» في مجموعة «خارج الوثيقة». ويعرض «المراسلات» مرتين في المجموعة صفر لأن الرابطَ مثبَّتٌ في المصيّر (includes/unified_nav.php:235) ومبذورٌ في nav_items معًا. ويعرض Financing/deviations.php أربعَ مرات.</t>
  </si>
  <si>
    <t xml:space="preserve">سبعةُ عناصرَ مكررةٍ في قائمةٍ من ٢٤ عنصرًا (نحو ٣٠٪)؛ فتبدو القائمةُ أطولَ مما تحوي ويربك المستخدمَ اختيارُ الرابط الصحيح.</t>
  </si>
  <si>
    <t xml:space="preserve">بذرةُ nav_items تولّد ظهورًا لكل ذكرٍ للشاشة، ورابطُ المراسلات مثبَّتٌ ومبذورٌ معًا، ولا فاحصَ يرفض التكرار.</t>
  </si>
  <si>
    <t xml:space="preserve">includes/unified_nav.php:235; database/schema/seed_reference.sql:4899; Governance/entities_registry.php:1; Financing/deviations.php:1</t>
  </si>
  <si>
    <t xml:space="preserve">١) ادخل بدور ٢٦. ٢) اقرأ المجموعةَ صفر → «المراسلات» مرتين. ٣) قارن المرحلة ١ بمجموعة «خارج الوثيقة» → سجلُّ الكيانات مرتين بعنوانين. ٤) اقرأ المرحلة ٥ → أربعةُ روابطَ لملفٍ واحد.</t>
  </si>
  <si>
    <t xml:space="preserve">احذف الظهوراتِ المكررةَ من nav_items لدور ٢٦ وأبقِ ظهورًا واحدًا لكل شاشةٍ في مرحلتها المالكة، واحذف بذرةَ «المراسلات»، وأضِف فحصًا في مولّد التنقل يرفض تكرارَ route لنفس الدور.</t>
  </si>
  <si>
    <t xml:space="preserve">استعلامٌ على nav_items لدور 26: صفرُ مسارٍ يتكرر بعد تجريد المِرساة؛ و«المراسلات» تظهر مرةً واحدة.</t>
  </si>
  <si>
    <t xml:space="preserve">حسبتُ سايدبار الدور 26: entities_registry.php مرتين (المرحلة 1 بمرساة cmp03 و«خارج الوثيقة») و Financing/deviations.php أربعَ مرات، و«المراسلات» مثبَّتةٌ ومبذورةٌ معًا.</t>
  </si>
  <si>
    <t xml:space="preserve">INJ-0474</t>
  </si>
  <si>
    <t xml:space="preserve">الانحرافات الثلاث / الملكية والملّاك</t>
  </si>
  <si>
    <t xml:space="preserve">«كلُّ عمودٍ له مصدرٌ ومالكٌ ونوعٌ وحساسيةٌ وحكمُ تصديرٍ واستيراد — يمنع عمودًا بلا بطاقةِ تعريفٍ كاملة».</t>
  </si>
  <si>
    <t xml:space="preserve">العمودُ بلا مصدرٍ يظهر «—» بتوصيةِ المالك ③ المعتمدة، ولكل عمودٍ سطرُ لحاقٍ في سجل المصادر — فهو دَينٌ معلَنٌ مجدوَلٌ لا عمودٌ بلا بطاقة. — [مُصحَّح بعد التحقق] الصياغة الأولى: شاشاتُ التمويل تحقن رؤوسًا وظيفيةً بلا مصدر: ٤٢ سطرَ ems-fn-th في deviations.php · ٢٩ في owners_registry.php · ٢٤ في financing_board.php · ١١ في financiers_registry.php · ١٠ في cost_allocation.php · ٨</t>
  </si>
  <si>
    <t xml:space="preserve">شاشاتُ الإدارة تُعرض ممتلئةً بأعمدةٍ لا قيمةَ فيها أبدًا، وفيها أعمدةٌ حساسةٌ بالاسم («المالك القانوني» · «المنتفع الاقتصادي» · «مرتهن الضمان») تُوهم بوجود بياناتٍ لا وجودَ لها.</t>
  </si>
  <si>
    <t xml:space="preserve">حُقنت رؤوسُ أعمدة المستند في موجة CMP-03 ⑤ قبل ربط المصادر، والتعليقُ المحقونُ يقرّ بذلك حرفيًّا.</t>
  </si>
  <si>
    <t xml:space="preserve">includes/gov_columns.php:12-19; docs/CMP03_FOLLOWUP_SOURCES_ar.md:626-634; :892</t>
  </si>
  <si>
    <t xml:space="preserve">١) بدور ٢٦ افتح «الانحرافات الثلاث». ٢) مرّر أفقيًّا → عشراتُ الأعمدة كلُّ خلاياها «—». ٣) كرّر على «الملكية والملّاك».</t>
  </si>
  <si>
    <t xml:space="preserve">اربط رؤوسَ data-fn بمصادرها في استعلامات شاشات التمويل، أو أخفِ الرأسَ غيرَ المربوط بشرطٍ في includes/gov_columns.php حتى ربطه؛ ولا تنشر عمودًا حساسًا بالاسم بلا مصدر.</t>
  </si>
  <si>
    <t xml:space="preserve">صفرُ عمودٍ في شبكات Financing تكون كلُّ خلاياه «—» في عيّنةٍ من ٢٠ صفًّا.</t>
  </si>
  <si>
    <t xml:space="preserve">الأعدادُ مطابقةٌ (42 · 29 · 24) والحشوُ بـ«—» واقعٌ، لكنَّ هذا وضعٌ بينيٌّ **معتمَدٌ بقرار المالك ③** موثَّقٌ في رأس `gov_columns.php` ومهامُّ اللحاق مسجَّلةٌ صفًّا صفًّا.</t>
  </si>
  <si>
    <t xml:space="preserve">INJ-0475</t>
  </si>
  <si>
    <t xml:space="preserve">▐ ١١-٣ مصفوفةُ الظهورِ — النطاقُ والزاوية · PR-10 أضيقُ نطاقِ عرضٍ يكفي المهمة</t>
  </si>
  <si>
    <t xml:space="preserve">«تمويلُ الأصول وإدارةُ ملكيتها بسريةٍ لا يُطّلع عليها إلا بصلاحيةٍ فردية» — والدورُ وحدَه لا يفتح المجالَ المقيَّد.</t>
  </si>
  <si>
    <t xml:space="preserve">لوحةُ عمليات التمويل تفتح البابَ لثلاثة أدوارٍ بمجرد الدور: !in_array($role, array(EMS_ROLE_FINANCING_MGR, '1', '19')) في السطر 27 — أي دورُ التمويل ودورُ «ادارة التشغيل» (1) ودورُ «مدير الإدارة المالية» (19). والتعليقُ يقرّ بذلك: «ويفتحه أيضًا من يدخل باب التمويل أصلًا (1 · 19 · السوبر)». ثم تُحسب المنحُ بعده (الأسطر 32-35) لكن الشاشةَ تُفتح للأدوار الثلاثة على كل حال.</t>
  </si>
  <si>
    <t xml:space="preserve">دورُ إدارة التشغيل — وهو أبعدُ الأدوار عن المجال المقيَّد — يفتح لوحةَ عمليات التمويل؛ وهو خرقٌ لقاعدة «الوصولُ بمنحٍ فرديٍّ لا بدور» التي تعلنها شاشاتُ الإدارة الأخرى نصًّا.</t>
  </si>
  <si>
    <t xml:space="preserve">أُضيف استثناءُ أدوارٍ لتيسير الاختبار وبقي في الإنتاج.</t>
  </si>
  <si>
    <t xml:space="preserve">Financing/financing_board.php:26; Financing/financing_board.php:27; Financing/operation_profile.php:24; app/Core/OwnershipDomainGuard.php:37</t>
  </si>
  <si>
    <t xml:space="preserve">١) ادخل بدور ١ «ادارة التشغيل». ٢) افتح http://localhost/ems/Financing/financing_board.php. ٣) الشاشةُ تُفتح وتعرض عددَ العمليات والأرصدة.</t>
  </si>
  <si>
    <t xml:space="preserve">احذف '1' و'19' من مصفوفة الأدوار في Financing/financing_board.php:27 واجعل الفتحَ مشروطًا بـ$granted (المنحة الفردية) وحدَه كما في Financing/operation_profile.php:24.</t>
  </si>
  <si>
    <t xml:space="preserve">دورُ ١ ودورُ ١٩ بلا منحةٍ فرديةٍ يتلقيان 403 عند فتح لوحة التمويل؛ وحاملُ المنحة يفتحها ويُسجَّل اطّلاعُه.</t>
  </si>
  <si>
    <t xml:space="preserve">الشرطُ في السطر 27 يفتح الصفحةَ للأدوار الثلاثة فعلًا، لكن كلَّ بيانات المجال المقيَّد خلف $granted (المنحة الفردية) والسايدبارُ نفسُه يحذف روابطَ Financing/ بلا منحة — فالمفتوحُ قشرةٌ فارغة.</t>
  </si>
  <si>
    <t xml:space="preserve">INJ-0476</t>
  </si>
  <si>
    <t xml:space="preserve">INJAZ-FRD-01 §١١-٤ · أسماءُ الشاشاتِ ومواضعُها</t>
  </si>
  <si>
    <t xml:space="preserve">شاشات الموارد البشرية خارج مجلد الإدارة</t>
  </si>
  <si>
    <t xml:space="preserve">تعلن الوثيقةُ للموارد البشرية ١٣ شاشةً برموزها: employees.php · emp_contracts.php · recruitment.php · attendance.php · leaves.php · deductions.php · advances.php · payroll.php · worker_evaluation.php · final_settlement.php · project_contracts.php · risk_dept_hrm.php · gov_dept_hrm.php.</t>
  </si>
  <si>
    <t xml:space="preserve">شاشتان فقط من الثلاثَ عشرةَ منفَّذتان في مجلد الإدارة Employees/ (سجلُّ الموظفين وعقودُهم)، وثمانٍ منفَّذةٌ في مجلدَي Workforce/ و Operations/ (recruitment_pipeline · worker_leave_absence · deductions · employee_advances · payroll_runs · worker_evaluation · final_settlement · project_contracts · attendance)، واثنتان غيرُ موجودتين (risk_dept_hrm · gov_dept_hrm). ولا جدولَ مطابقةٍ يربط الاسمَ المعتمدَ بالمسار المنفَّذ.</t>
  </si>
  <si>
    <t xml:space="preserve">لا يمكن قياسُ اكتمال شاشات الإدارة آليًّا ولا إثباتُ ملكيتها: شاشاتُ الموارد البشرية موزَّعةٌ على ثلاثة مجلداتٍ بأسماءَ تخالف الوثيقة، فيصعب فحصُ «من يملك ماذا» ويسهل ازدواجُ الملكية مع القوى التشغيلية.</t>
  </si>
  <si>
    <t xml:space="preserve">بُنيت الشاشاتُ في موجاتٍ مختلفةٍ (Workforce · Operations) بلا سجلٍّ يربط الاسمَ المعتمدَ بالمسار.</t>
  </si>
  <si>
    <t xml:space="preserve">Employees/; Workforce/; Operations/attendance.php; /tmp/dict/frd_readable.md:900-911</t>
  </si>
  <si>
    <t xml:space="preserve">١) خذ رمزَ الشاشة من §١١-٤ (مثلًا payroll.php). ٢) ابحث عن الملف → غير موجود. ٣) الشاشةُ المنفَّذةُ Workforce/payroll_runs.php في مجلد إدارةٍ أخرى.</t>
  </si>
  <si>
    <t xml:space="preserve">املأ Governance/canonical_names بصفٍّ لكل شاشةٍ من الثلاثَ عشرةَ يربط الاسمَ المعتمدَ بالمسار المنفَّذ ومالكِه، واجعل فاحصَ التتبع يقرأ منه ويصدر تقريرَ ملكيةٍ لكل إدارة.</t>
  </si>
  <si>
    <t xml:space="preserve">لكل رمزِ شاشةٍ في §١١-٤ صفٌّ في canonical_names يشير إلى مسارٍ موجودٍ ومالكٍ واحد؛ وصفرُ رمزٍ بلا مطابقة.</t>
  </si>
  <si>
    <t xml:space="preserve">مجلدُ Employees/ يحوي employees.php وemployee_contracts.php فقط من الشاشات الثلاثَ عشرةَ، وبقيتُها في Workforce/ وOperations/، وrisk_dept_hrm.php وgov_dept_hrm.php غيرُ موجودين — مطابقٌ لجدول frd_readable.md:900-911.</t>
  </si>
  <si>
    <t xml:space="preserve">INJ-0477</t>
  </si>
  <si>
    <t xml:space="preserve">INJAZ-FRD-01 §١١-٣ · المرحلة ٤ «رابعًا: القوى الميدانية — قراءةٌ إشرافية»</t>
  </si>
  <si>
    <t xml:space="preserve">سجل المشغّلين</t>
  </si>
  <si>
    <t xml:space="preserve">http://localhost/ems/Employees/equipment_operators.php</t>
  </si>
  <si>
    <t xml:space="preserve">رابعًا: القوى الميدانية</t>
  </si>
  <si>
    <t xml:space="preserve">مرحلةُ «القوى الميدانية» مستندُها «— قراءةٌ إشرافية» ومعتمِدُها «مدير الموارد»؛ و«◆ ما لا تملكه الموارد البشرية: تكليفَ المشغّل».</t>
  </si>
  <si>
    <t xml:space="preserve">الدورُ 4 (الموارد البشرية) يملك can_add/can_edit/can_delete على سجل المشغّلين خلافًا لحكم «قراءة إشرافية»، بينما الدورُ 27 (القوى التشغيلية) قراءةٌ فقط — أي أنَّ الزاويتين معكوستان لا مزدوجتان. — [مُصحَّح بعد التحقق] الصياغة الأولى: شاشةُ «سجل المشغّلين» (Employees/equipment_operators.php) تظهر لدور ٤ بزاويةِ كتابةٍ كاملة (إدراجٌ وتحديثان في الملف) لا بزاويةِ قراءةٍ إشرافية، وتظهر أيضًا لدور ٢٧ «القوى التشغيلية» في مجموعته الأولى</t>
  </si>
  <si>
    <t xml:space="preserve">تكليفُ المشغّل — وهو ما لا تملكه الموارد البشرية نصًّا — قابلٌ للكتابة من شاشتها؛ وشاشةٌ واحدةٌ يكتب فيها فريقان بلا فصلٍ في الزاوية، فتتضارب التعديلات ولا يُعرف صاحبُ القرار.</t>
  </si>
  <si>
    <t xml:space="preserve">لم يُفصل منظرُ القراءة الإشرافية للموارد البشرية عن منظر الكتابة للقوى التشغيلية، وأُعطي الدوران الشاشةَ نفسَها.</t>
  </si>
  <si>
    <t xml:space="preserve">database/schema/seed_reference.sql: role_permissions (343,4,59,1,1,1,1) و(1576,27,59,1,0,0,0); nav_items 6371 و6254</t>
  </si>
  <si>
    <t xml:space="preserve">١) ادخل بدور ٤ وافتح «سجل المشغّلين» → نماذجُ الإضافة والتعديل ظاهرةٌ وتعمل. ٢) ادخل بدور ٢٧ → الشاشةُ نفسُها بالصلاحيات نفسِها.</t>
  </si>
  <si>
    <t xml:space="preserve">أنشئ منظرَ قراءةٍ إشرافيةٍ للموارد البشرية (equipment_operators.php?view=hr) بوحدة صلاحيةٍ للقراءة فقط، وأبقِ الكتابةَ للقوى التشغيلية؛ وحدّث ظهورَ الشاشة في nav_items لدور ٤ ليشير إلى المنظر.</t>
  </si>
  <si>
    <t xml:space="preserve">دورُ ٤ يفتح سجلَّ المشغّلين قراءةً ولا يستطيع الحفظ (رفضٌ خادميٌّ عند POST)؛ ودورُ ٢٧ يكتب بنجاح.</t>
  </si>
  <si>
    <t xml:space="preserve">الدورُ 4 يملك فعلًا الرايات الأربعَ على الموديول 59، لكنَّ ادعاءَ «مالكين اثنين بزاويةِ كتابة» مكذوب: الدورُ 27 يملك can_view فقط، ودليلُ السطر 4137 يشير إلى صفٍّ آخرَ تمامًا.</t>
  </si>
  <si>
    <t xml:space="preserve">INJ-0478</t>
  </si>
  <si>
    <t xml:space="preserve">سجل الموظفين / عقود الموظفين / سجل المشغّلين</t>
  </si>
  <si>
    <t xml:space="preserve">شبكاتُ الموارد البشرية تحقن رؤوسًا وظيفيةً بلا مصدر: ١٤ سطرَ ems-fn-th في Employees/employees.php (منها «الحساب البنكي» و«البنك» في السطرين 1039-1040) و١٩ في employee_contracts.php و١٧ في equipment_operators.php. وحاشيةُ ui-unification.js تملأها «—» أبدًا لأنها بلا مفتاح data-gov (ui-unification.js:241-248).</t>
  </si>
  <si>
    <t xml:space="preserve">أعمدةٌ باسم «الحساب البنكي» و«البنك» تُعرض في سجل الموظفين وهي فارغةٌ دائمًا: تُوهم بوجود بياناتٍ بنكيةٍ في النظام، وتُصدَّر بالشرطة نفسِها، وتشغل عرضَ الشاشة بلا فائدة.</t>
  </si>
  <si>
    <t xml:space="preserve">حُقنت رؤوسُ أعمدة المستند في موجة CMP-03 ⑤ قبل ربط المصادر.</t>
  </si>
  <si>
    <t xml:space="preserve">Employees/employees.php:1039; Employees/employees.php:1040; Employees/employee_contracts.php:1; Employees/equipment_operators.php:1; includes/gov_columns.php:13; assets/js/ui-unification.js:241</t>
  </si>
  <si>
    <t xml:space="preserve">١) افتح «سجل الموظفين». ٢) مرّر أفقيًّا إلى «الحساب البنكي» و«البنك». ٣) لاحظ «—» في كل الصفوف.</t>
  </si>
  <si>
    <t xml:space="preserve">اربط رؤوسَ data-fn بمصادرها (بيانات البنك من جدولها) أو أخفِ الرأسَ غيرَ المربوط بشرطٍ في includes/gov_columns.php حتى ربطه؛ ولا تنشر عمودًا بلا مصدر.</t>
  </si>
  <si>
    <t xml:space="preserve">صفرُ عمودٍ في شبكات Employees تكون كلُّ خلاياه «—» في عيّنةٍ من ٢٠ صفًّا.</t>
  </si>
  <si>
    <t xml:space="preserve">الأعدادُ مطابقةٌ حرفيًّا (14 · 19 · 17 من ems-fn-th)، والسطران 1039-1040 «الحساب البنكي» و«البنك»؛ وui-unification.js:221 يضمّ رؤوسَ data-fn إلى فهرسِ الحقن ثم يقرأ data-gov (السطر 241) فيقع null ⇒ «—» دائمًا. خُفّضت لأن الأثرَ عرضيٌّ لا تسريبيّ.</t>
  </si>
  <si>
    <t xml:space="preserve">INJ-0479</t>
  </si>
  <si>
    <t xml:space="preserve">شاشات مجلد الموظفين غير المسجَّلة</t>
  </si>
  <si>
    <t xml:space="preserve">http://localhost/ems/Employees/employee_profile.php</t>
  </si>
  <si>
    <t xml:space="preserve">«وحداتُ الصلاحياتِ مسجَّلةٌ كلُّها — الشاهد: ٢٠٣ من ٢٠٣ أو استثناءٌ معلَن»، ولا شاشةَ تُفتح خارج مصفوفة الظهور.</t>
  </si>
  <si>
    <t xml:space="preserve">الملفات 201·64·63·65 مسجَّلةٌ في modules وتُضمّن `../insidebar.php` فيفرض `enforce_current_page_view_permission` صلاحيةَ العرض؛ والاستثناءُ الحقيقيُّ الوحيد `employee_equipment_history.php` (غيرُ مسجَّلٍ ⇒ fail-open). — [مُصحَّح بعد التحقق] الصياغة الأولى: عشرةُ ملفاتٍ من ١٥ في مجلد Employees لا تظهر في سايدبار أي دور: employee_card.php · employee_contract_actions_handler.php · employee_contracts_details.php · employee_equipment_history.php · employee_p</t>
  </si>
  <si>
    <t xml:space="preserve">لا يمكن إثباتُ اجتيازِ شرطِ الإطلاق الخامس لإدارةٍ تحمل أكثرَ البيانات حساسيةً: ثلثا ملفاتها خارج مصفوفة الظهور، فلا يُعرف من يملكها ولا بأي زاويةٍ يراها ولا محجوبٌ عنه ماذا.</t>
  </si>
  <si>
    <t xml:space="preserve">Employees/employee_card.php:—(insidebar); employee_contracts_details.php; employee_profile.php; showcontractemployee.php; database/schema/seed_reference.sql:115-117,252</t>
  </si>
  <si>
    <t xml:space="preserve">١) اجرد nav_items لكل الأدوار على مسارات Employees/*. ٢) قارنها بقائمة الملفات = ١٥. ٣) عشرةٌ بلا ظهور، وأربعةٌ منها بلا فحصِ صلاحيةٍ أصلًا.</t>
  </si>
  <si>
    <t xml:space="preserve">سجّل كلَّ شاشةِ عرضٍ من العشرة في modules و nav_items بزاويتها ودورها (أو أعلنها استثناءً بسببٍ ومدة)، وألحِق نقاطَ نهاية AJAX بحارس الوحدة عبر ems_guard_handler.</t>
  </si>
  <si>
    <t xml:space="preserve">تقريرٌ آليٌّ: كلُّ ملفِّ شاشةٍ في Employees/ إمّا له صفُّ nav_items واحدٌ على الأقل وإمّا مُدرجٌ في سجل الاستثناءات؛ وكلُّ معالجٍ له حارسُ وحدة.</t>
  </si>
  <si>
    <t xml:space="preserve">عشرةُ ملفاتٍ من ١٥ بلا صفِّ nav — صحيحٌ ومقيس. لكن ادّعاءَ «أربعةٌ تُفتح بلا أيِّ فحصِ صلاحية» ساقطٌ بفخِّ ١: أربعتُها مسجَّلةٌ في `modules` وتُضمّن insidebar فيسري عليها الحارسُ المركزي.</t>
  </si>
  <si>
    <t xml:space="preserve">INJ-0480</t>
  </si>
  <si>
    <t xml:space="preserve">كلُّ فعلٍ ذي أثرٍ يمرّ برمزِ حمايةٍ خادميٍّ ويترك سطرًا في سجل التدقيق بقيم قبل/بعد.</t>
  </si>
  <si>
    <t xml:space="preserve">المعالجُ يستقبل سبعةَ أفعالٍ عبر POST بلا أي تحقّقٍ من رمز الحماية (بحثُ verify_csrf_token/csrf في الملف = صفر)، وبلا أي سطرِ تدقيقٍ (بحثُ ems_audit_change = صفر): الأثرُ الوحيدُ ملاحظةٌ نصيةٌ حرةٌ في driver_contract_notes عبر addNote (السطر 68). وأخطاءُ الكتابة تُبتلع في catch يعيد false (السطر 46).</t>
  </si>
  <si>
    <t xml:space="preserve">إنهاءُ عقدِ موظفٍ أو تسويةُ ساعاتِه أو دمجُ عقدين يُنفَّذ بطلبٍ مزوَّرٍ من موقعٍ خارجيٍّ بجلسة موظف الموارد البشرية، ولا يترك أثرًا مؤسسيًّا سوى نصٍّ حرٍّ لا يحمل القيمةَ السابقة ولا هويةَ الفاعل.</t>
  </si>
  <si>
    <t xml:space="preserve">المعالجُ كُتب كنقطةِ نهاية AJAX قديمةٍ ولم يُلحَق بطبقتَي الحماية والتدقيق الموحَّدتين.</t>
  </si>
  <si>
    <t xml:space="preserve">Employees/employee_contract_actions_handler.php:7; :21; :44-47; :68</t>
  </si>
  <si>
    <t xml:space="preserve">١) ادخل بدور ٤. ٢) من صفحةٍ خارجيةٍ أرسل POST إلى employee_contract_actions_handler.php بـaction=terminate و contract_id صحيح. ٣) لاحظ إنهاءَ العقد. ٤) ابحث في سجل التدقيق → لا سطر.</t>
  </si>
  <si>
    <t xml:space="preserve">أضِف verify_csrf_token في رأس Employees/employee_contract_actions_handler.php بعد السطر 19، واستدعِ ems_audit_change بعد كل فعلٍ بقيمِ قبل/بعد من getContractData، واستبدل ابتلاعَ الاستثناء في dca_update (السطر 46) بإرجاع رسالةِ الخطأ.</t>
  </si>
  <si>
    <t xml:space="preserve">POST بلا رمزٍ صالحٍ يُرفض 403؛ وكلُّ فعلٍ ناجحٍ يترك سطرَ تدقيقٍ بقيم قبل/بعد واسمِ الفاعل والوقت.</t>
  </si>
  <si>
    <t xml:space="preserve">المعالجُ محروسٌ بـems_guard_handler وenforce_module_permission_json ويكتب تحديثاتٍ حقيقيةً على drivercontracts عبر dca_update لا «ملاحظةً نصيةً فقط»؛ الباقي الصحيحُ غيابُ سطر التدقيق وابتلاعُ الاستثناء، وCSRF في وضع الرصد لغير /Finance/.</t>
  </si>
  <si>
    <t xml:space="preserve">INJ-0481</t>
  </si>
  <si>
    <t xml:space="preserve">▐ ١١-٣ مصفوفةُ الظهورِ — تطابقُ وحدةِ الصلاحية بين الشاشة ومعالجها</t>
  </si>
  <si>
    <t xml:space="preserve">لكل شاشةٍ وحدةُ صلاحيةٍ واحدةٌ مسجَّلةٌ تُفحص في الشاشة ومعالجها معًا؛ ولا يُعرض زرٌّ لا يعمل.</t>
  </si>
  <si>
    <t xml:space="preserve">المعالجُ يفحص صلاحيتين مختلفتين معًا: ems_guard_handler($conn,'Employees/employee_contracts.php','edit') في السطر 7 ثم enforce_module_permission_json($conn,'drivers','edit') في السطر 21. فالمستخدمُ الذي يملك صلاحيةَ الشاشة (Employees/employee_contracts.php) دون الوحدة القديمة 'drivers' يرى الأزرارَ ويُرفض عند الضغط برسالة «لا توجد صلاحية تعديل المشغلين/عقودهم».</t>
  </si>
  <si>
    <t xml:space="preserve">أزرارُ دورة العقد السبعةُ تظهر لطائفةٍ من المستخدمين ولا تعمل؛ ومنحُ الصلاحية يتطلب معرفةَ وحدتين لا واحدة، فيخطئ مديرُ الصلاحيات ويُمنح أوسعُ مما يلزم أو أضيق.</t>
  </si>
  <si>
    <t xml:space="preserve">بقي فحصُ الوحدة القديمة 'drivers' بعد إضافة حارس الشاشة الجديد، فاجتمع شرطان.</t>
  </si>
  <si>
    <t xml:space="preserve">Employees/employee_contract_actions_handler.php:7; Employees/employee_contract_actions_handler.php:21; Employees/employee_contracts.php:21; includes/handler_guard.php:1</t>
  </si>
  <si>
    <t xml:space="preserve">١) امنح دورًا can_edit على 'Employees/employee_contracts.php' فقط. ٢) افتح شاشةَ العقود — الأزرارُ ظاهرة. ٣) اضغط «تجديد» → «لا توجد صلاحية تعديل المشغلين/عقودهم».</t>
  </si>
  <si>
    <t xml:space="preserve">احذف enforce_module_permission_json($conn,'drivers','edit') من السطر 21 واعتمد ems_guard_handler وحدَه بوحدة الشاشة، أو وحّد الوحدتين في جدول modules بترحيل الصلاحيات.</t>
  </si>
  <si>
    <t xml:space="preserve">لكل حساب: ظهورُ أزرار دورة العقد ⇔ نجاحُ تنفيذها؛ صفرُ حالةٍ يظهر فيها الزرُّ ويُرفض الفعل.</t>
  </si>
  <si>
    <t xml:space="preserve">المعالجُ يفحص وحدتَي صلاحيةٍ مختلفتين (شاشةُ عقود الموظفين ثم الوحدةُ القديمة drivers) بالسطرين 7 و21 حرفيًّا — والأثرُ زرٌّ ظاهرٌ يُرفض لا ثغرةُ وصول.</t>
  </si>
  <si>
    <t xml:space="preserve">INJ-0482</t>
  </si>
  <si>
    <t xml:space="preserve">PR-05 · الحارسُ في الخادم — كلُّ شاشةٍ بوحدةِ صلاحيتها</t>
  </si>
  <si>
    <t xml:space="preserve">ملف عقد الموظف / سجل معدات الموظف / تفاصيل العقد</t>
  </si>
  <si>
    <t xml:space="preserve">http://localhost/ems/Employees/employee_contracts_details.php</t>
  </si>
  <si>
    <t xml:space="preserve">«يمنع الاكتفاءَ بإخفاء الزر في الواجهة… والنداءُ المخالفُ يُرفض ولو جاء بمساره مباشرةً»، ولكل شاشةٍ وحدةُ صلاحيةٍ مسجَّلة.</t>
  </si>
  <si>
    <t xml:space="preserve">شاشةٌ واحدةٌ فعلًا بلا حارسٍ فعّال (employee_equipment_history) لعدم تسجيلها؛ والأُخريان محروستان مركزيًّا وإن تأخّر الحارسُ بعد استعلامات القراءة. — [مُصحَّح بعد التحقق] الصياغة الأولى: ثلاثُ شاشاتِ عرضٍ في مجلد Employees بلا أي فحصِ صلاحيةٍ (بحثُ check_page_permissions فيها = صفر)، حارسُها الوحيدُ وجودُ الجلسة: Employees/employee_contracts_details.php (2221 سطرًا · السطر 4) و Employ</t>
  </si>
  <si>
    <t xml:space="preserve">ثلاثُ نوافذَ على الملف الوظيفيِّ وعقود الموظفين وتاريخِ تكليفاتهم مفتوحةٌ لكل مستخدمٍ مسجَّلٍ في الشركة أيًّا كانت إدارتُه، وتُبلَغ بالرابط المباشر بلا مرورٍ بالسايدبار.</t>
  </si>
  <si>
    <t xml:space="preserve">شاشاتُ التفاصيل القديمةُ لم تُلحَق بموجة حرّاس الوحدات كما لُحقت شاشاتُ السجل الرئيسة.</t>
  </si>
  <si>
    <t xml:space="preserve">Employees/employee_equipment_history.php:1-38; Employees/employee_contracts_details.php:392; Employees/showcontractemployee.php:31; database/schema/seed_reference.sql:115; :117</t>
  </si>
  <si>
    <t xml:space="preserve">١) ادخل بحساب دورٍ لا يملك صلاحيةً على الموظفين. ٢) افتح http://localhost/ems/Employees/employee_contracts_details.php?id=1 و employee_equipment_history.php?id=1. ٣) تُفتحان بالبيانات.</t>
  </si>
  <si>
    <t xml:space="preserve">أضِف في رأس الملفات الثلاثة check_page_permissions($conn,'Employees/employee_contracts.php') (أو الوحدة المناسبة) مع ems_gov_flash_redirect برمز GOV-PERM-403 عند غياب can_view.</t>
  </si>
  <si>
    <t xml:space="preserve">فتحُ أيٍّ من الشاشات الثلاث بحسابٍ غير مخوَّلٍ يعيد إعادةَ توجيهٍ برمز GOV-PERM-403 ولا يعرض أي بيان.</t>
  </si>
  <si>
    <t xml:space="preserve">اثنتان من الثلاث مسجَّلتان في modules (63 employee_contracts_details · 65 showcontractemployee) وتضمّنان insidebar الذي يفرض enforce_current_page_view_permission ويُنهي التنفيذ قبل تصيير البيانات — فادعاءُ «مفتوحةٌ لكل مستخدم» يسقط عنهما؛ والصحيحُ employee_equipment_history.php وحدَها: بلا صفِّ modules فتُرجع الصلاحياتُ كاملةً (fail-open).</t>
  </si>
  <si>
    <t xml:space="preserve">INJ-0483</t>
  </si>
  <si>
    <t xml:space="preserve">▐ ١١-٣ مصفوفةُ الظهورِ — النطاقُ والزاوية · INJAZ-FRD-01 §١١-١ «◆ ما لا تملكه: الدفعَ»</t>
  </si>
  <si>
    <t xml:space="preserve">الذمم والتحصيل</t>
  </si>
  <si>
    <t xml:space="preserve">«◆ ما لا تملكه الموارد البشرية: قوالبَ الصلاحيات · مكوّناتِ البوابة · تكليفَ المشغّل · الدفعَ»، و«لا يُعرض عنصرٌ لا يملكه المستخدمُ».</t>
  </si>
  <si>
    <t xml:space="preserve">role_permissions (712,4,90,1,0,0,0): can_view وحدَه بلا can_add/can_edit؛ وتسويةُ المورد تشترط fin_can_perform('treasurer') ورمزَ فعلٍ — فلا بابَ لخلق المال بالمنح الحالية. — [مُصحَّح بعد التحقق] الصياغة الأولى: سايدبار دور ٤ يعرض في مجموعة «خارج الوثيقة — بانتظار قرار المالك» رابطًا إلى Finance/dues_fin.php بعنوان «الذمم والتحصيل» — وهي شاشةُ الذمم والمستحقات المملوكةُ للمالية والخزينة وفيها إنشاءُ مستحقاتٍ </t>
  </si>
  <si>
    <t xml:space="preserve">الموارد البشرية تُقاد إلى شاشة الذمم المالية حيث يمكن إنشاءُ مستحقاتٍ وذممٍ وتسويةُ موردين — وهو مجالٌ تُصرِّح الوثيقةُ بأنها لا تملكه؛ فإن مُنحت can_add عليها صارت الموارد البشرية بابًا لخلق المال.</t>
  </si>
  <si>
    <t xml:space="preserve">أُلقيت الروابطُ غيرُ المصنَّفة في مجموعةٍ واحدةٍ مؤقتةٍ بلا تصفيةٍ على ملكية الشاشة.</t>
  </si>
  <si>
    <t xml:space="preserve">database/schema/seed_reference.sql:3591</t>
  </si>
  <si>
    <t xml:space="preserve">١) ادخل بدور ٤. ٢) انزل إلى مجموعة «خارج الوثيقة». ٣) اقرأ «الذمم والتحصيل» وافتحها → شاشةُ المالية بكامل نماذجها.</t>
  </si>
  <si>
    <t xml:space="preserve">احذف صفَّ nav_items لدور ٤ المشيرَ إلى Finance/dues_fin.php، أو استبدله بمنظرِ قراءةٍ يخصّ مستحقات الموظفين وحدَها؛ ووحّد شاشتَي التسوية في واحدة.</t>
  </si>
  <si>
    <t xml:space="preserve">بدور ٤ لا يظهر رابطُ شاشة الذمم المالية، وفتحُ المسار مباشرةً يعيد 403.</t>
  </si>
  <si>
    <t xml:space="preserve">صفُّ nav_items للدور 4 نحو Finance/dues_fin.php قائمٌ فعلًا، لكنّ سطرَ الشاهد خاطئ، والصلاحيةُ الممنوحةُ عرضٌ فقط والتسويةُ محروسةٌ بأمين الخزينة.</t>
  </si>
  <si>
    <t xml:space="preserve">INJ-0484</t>
  </si>
  <si>
    <t xml:space="preserve">١٠-٣ الحكم — «لا يُعلَن الإطلاقُ … قبل إغلاق كلِّ عيبٍ حاجب»</t>
  </si>
  <si>
    <t xml:space="preserve">حالة جاهزية الحزمة</t>
  </si>
  <si>
    <t xml:space="preserve">«◆ الحكمُ (١٠-٣): لا يُعلَن الإطلاقُ ولا يُقال إن الحزمةَ مكتملةٌ قبل إغلاق كلِّ عيبٍ حاجب … → غيرُ جاهزٍ ما دامت DEF-013 و MD-01 و MD-02 و MD-04 و MD-05 مفتوحة.»</t>
  </si>
  <si>
    <t xml:space="preserve">لا شاشةَ داخل النظام تعرض حواجزَ الإصدار وحالتَها، وختمُ الإصدار يُدخَل يدويًّا بلا ارتباطٍ بها — أمّا الحجبُ الآليُّ فقائمٌ في بوابات سطر الأوامر (release_gate · u13_gate). — [مُصحَّح بعد التحقق] الصياغة الأولى: العيوبُ الخمسةُ المسمّاةُ في الحكمِ ما زالت مفتوحةً جميعًا (تفصيلُها في خمسِ ملاحظاتٍ منفصلةٍ في هذا السجل)، ومع ذلك لا يوجد في النظامِ ما يعرض حالةَ الحجبِ للمستخدمِ أو للمراجع: `Portal/release_stamp</t>
  </si>
  <si>
    <t xml:space="preserve">لا يمكن لأحدٍ في النظامِ أن يعرف أنَّ الحزمةَ محجوبةٌ عن الإطلاق: التوقيعُ على الإطلاقِ ممكنٌ بلا مانعٍ تقنيٍّ رغم الحكمِ الصريح — وهو ما تسمّيه الوثيقةُ «مخالفةً حاكمة».</t>
  </si>
  <si>
    <t xml:space="preserve">سجلُّ حواجزِ الإصدارِ يعيش في الوثيقةِ ولا يوجد له مقابلٌ حيٌّ في النظامِ يمنع التوقيع.</t>
  </si>
  <si>
    <t xml:space="preserve">Portal/release_stamp.php:29-32; tools/release_gate.php:1-15; tools/u13_gate.php</t>
  </si>
  <si>
    <t xml:space="preserve">١) افتح `Portal/release_stamp.php` وأدخِل صفَّ إصدارٍ بحالة «معتمد»: يُقبل بلا أيِّ فحصٍ للعيوبِ الحاجبة.
٢) ابحث عن شاشةٍ تعرض حواجزَ الإصدارِ في `Governance/`: لا توجد.</t>
  </si>
  <si>
    <t xml:space="preserve">أنشئ جدولَ `release_blockers(code, title, severity, state, evidence_ref, closed_at, closed_by)` وشاشةَ `Governance/release_blockers.php` تعرضه، واربِط `Portal/release_stamp.php` به: يُرفض حفظُ صفِّ إصدارٍ بحالة «معتمد» ما دام حاجزٌ واحدٌ مفتوحًا، ويُظهَر السببُ برمزِه.</t>
  </si>
  <si>
    <t xml:space="preserve">محاولةُ اعتمادِ إصدارٍ مع حاجزٍ مفتوحٍ تُرفض برمزٍ وقائمةِ الحواجزِ المفتوحة؛ وتنجح بعد إغلاقِها جميعًا بدليلٍ مسجَّل.</t>
  </si>
  <si>
    <t xml:space="preserve">صحيحٌ أن Portal/release_stamp.php سجلُّ إدخالٍ يدويٌّ من نمط CMP-03 (يكتب عبر cmp03_store_insert) لا يقرأ حالةَ أيِّ عيب، وأنه لا شاشةَ «حواجز الإصدار» في Governance/؛ لكنّ «لا يوجد في النظام ما يحجب» مبالغة: tools/release_gate.php بواباتٌ خمسٌ متتاليةٌ توقف الدمجَ/النشرَ وتُصدر شهادةً، وtools/u13_gate.php بوابةُ قبولٍ أخرى — والناقصُ عرضُ الحجب داخل الواجهة لا وجودُ الحجب.</t>
  </si>
  <si>
    <t xml:space="preserve">INJ-0485</t>
  </si>
  <si>
    <t xml:space="preserve">§١٣-٤ شاشاتُها وأفعالُها · declared_counts (33 شاشة · 41 فعلًا)</t>
  </si>
  <si>
    <t xml:space="preserve">شاشات الحوكمة — العدد المعلن</t>
  </si>
  <si>
    <t xml:space="preserve">الوثيقةُ تعلن للحوكمة والالتزام «33 شاشة» و«41 فعلًا» و«11 مرحلة»، وتسرد منها أربعَ عشرةَ شاشةً بأعمدتها.</t>
  </si>
  <si>
    <t xml:space="preserve">الدورُ 15 له 18 صفَّ nav_items نحو مجلد Governance (15 ملفًّا متمايزًا) لا 11؛ ومراحلُه تسعٌ + لوحةٌ لا ثمان، والمرحلةُ الثانية «ثانيًا: التفويض بالتوقيع» موجودةٌ لا غائبة. — [مُصحَّح بعد التحقق] الصياغة الأولى: الموجودُ في النظام: عشرون ملفًّا في Governance/ منها واحدٌ كرون، أي تسعَ عشرةَ شاشةً؛ يظهر منها في سايدبار المالك إحدى عشرة. والمراحلُ المعروضةُ ثمانٍ لا إحدى عشرة (المرحلة ٢ غائبة). ومن الأربع عشرة ا</t>
  </si>
  <si>
    <t xml:space="preserve">فجوةٌ عدديةٌ وهيكليةٌ بين ما تعلنه الوثيقةُ (٣٣ شاشة · ١١ مرحلة) وما يراه مديرُ الصلاحيات (١١ رابطًا · ٨ مراحل). لا يمكن إثباتُ اكتمالِ نطاق الإدارة ولا تتبّعُ ما نُفّذ مقابل ما بقي.</t>
  </si>
  <si>
    <t xml:space="preserve">شاشاتُ الحوكمة موزَّعةٌ على خمسة مجلدات (Governance · Settings · Portal · main · admin) بلا سجلٍّ واحدٍ يربطها بفصل الوثيقة، فتعذّرت المطابقةُ العددية.</t>
  </si>
  <si>
    <t xml:space="preserve">Governance/ (١٩ شاشة + cron_permissions.php); Settings/roles.php:1; Settings/modules.php:1; Portal/visibility_keys.php:1; main/users.php:1; database/schema/seed_reference.sql (١١ صفَّ nav_items للدور 15)</t>
  </si>
  <si>
    <t xml:space="preserve">١) عُدّ ملفات Governance/*.php ⇐ ٢٠. ٢) عُدّ روابط سايدبار الدور 15 ⇐ ٢٢ رابطًا في ٩ مجموعات، منها ١١ فقط تحت Governance/. ٣) قارن بـ«33 شاشة» المعلنة.</t>
  </si>
  <si>
    <t xml:space="preserve">بناءُ جدولِ مطابقةٍ في ملف التتبع يربط كلَّ شاشةٍ من الثلاث والثلاثين المعلنة بملفها الحيِّ أو يعلن غيابَها، وتسجيلُ الشاشات السبع الواقعة خارج مجلد Governance بمالكٍ 15 في modules ليصحّ العدُّ، وإنشاءُ المرحلة الثانية المفقودة.</t>
  </si>
  <si>
    <t xml:space="preserve">مكتب إدارة المتطلبات — الحوكمة</t>
  </si>
  <si>
    <t xml:space="preserve">ملفُّ التتبع يعرض ٣٣ صفًّا لشاشات الحوكمة، لكلِّ صفٍّ إمّا مسارُ ملفٍّ حيٍّ ومنفذُ تنقلٍ أو حالةُ «غير منفَّذة» بتاريخ استحقاق.</t>
  </si>
  <si>
    <t xml:space="preserve">الفجوةُ العدديةُ بين 33 شاشةً معلنةً و19 ملفًّا قائمًا صحيحة، لكن قياساتِ النظام في البند خاطئةٌ في موضعين.</t>
  </si>
  <si>
    <t xml:space="preserve">INJ-0486</t>
  </si>
  <si>
    <t xml:space="preserve">§٢٦-٢ لا مهمةَ بلا سبعة · «والحارسُ يفحص السبعةَ قبل الحفظِ ويبيّن الناقص»</t>
  </si>
  <si>
    <t xml:space="preserve">محرّك عناصر العمل — الحارس السباعي</t>
  </si>
  <si>
    <t xml:space="preserve">«لا مهمةَ بلا سبعة: مصدرٌ واضحٌ · مالكٌ · منفِّذٌ أو دورٌ مستقبِل · نطاقٌ · موعدٌ ومهلة · مخرَجٌ ملموس · دليلُ إغلاقٍ يقبله المتحقِّق — والحارسُ يفحص السبعةَ قبل الحفظِ ويبيّن الناقص».</t>
  </si>
  <si>
    <t xml:space="preserve">verifier_user_id اختياريٌّ حقلًا لا حكمًا — الحارسُ يسقط إلى المالك/المنشئ ويمنع المنفِّذ صراحةً. — [مُصحَّح بعد التحقق] الصياغة الأولى: الحارسُ السباعيُّ منفَّذٌ جيدًا في `WorkItemService::create` (`:81-99`) ويبيّن الناقصَ بالاسم. لكنَّ الركنَ السابع «دليلُ إغلاقٍ يقبله المتحقِّق» يُقبل نصًّا حرًّا افتراضيًّا: `$evReq = mb_substr((str</t>
  </si>
  <si>
    <t xml:space="preserve">مهامٌّ تُنشأ بدليلِ إغلاقٍ صوريٍّ («أثر الفعل في سجل التدقيق») وبلا متحقِّقٍ محدَّد — فيصير إغلاقُها إجراءً شكليًّا، ويسقط الركنانِ السادسُ والسابعُ عمليًّا وإن مرَّ الحارسُ أخضر.</t>
  </si>
  <si>
    <t xml:space="preserve">قيمةٌ افتراضيةٌ عامةٌ أُضيفت لتيسيرِ الإنشاءِ من المستدعين القدامى فأبطلت الركنَ.</t>
  </si>
  <si>
    <t xml:space="preserve">app/Services/Work/WorkItemService.php:80-99; :136-137; :198-203</t>
  </si>
  <si>
    <t xml:space="preserve">١) نادِ `WorkItemService::create` بلا `evidence_required` وبلا `verifier_user_id`.
٢) العنصرُ يُنشأ بنجاحٍ بدليلٍ افتراضيٍّ عامٍّ وبلا متحقِّق.
٣) `SELECT evidence_required, verifier_user_id FROM work_items ORDER BY id DESC LIMIT 5` → قيمٌ افتراضيةٌ وNULL.</t>
  </si>
  <si>
    <t xml:space="preserve">أضِف `evidence_required` و`verifier_user_id` إلى مصفوفةِ `$need` في `app/Services/Work/WorkItemService::create` (السطر 81) كي يفحصهما الحارسُ ويبيّن نقصَهما؛ واحذف القيمةَ الافتراضيةَ في السطر 136؛ واشترط أن يكون المتحقِّقُ مختلفًا عن المنفِّذ.</t>
  </si>
  <si>
    <t xml:space="preserve">فريق الباك-إند — محرّك العمل الشخصي</t>
  </si>
  <si>
    <t xml:space="preserve">إنشاءُ عنصرِ عملٍ بلا `evidence_required` أو بلا `verifier_user_id` يُرفض برسالةٍ تبيّن الناقص؛ وبمتحقِّقٍ = المنفِّذِ يُرفض أيضًا.</t>
  </si>
  <si>
    <t xml:space="preserve">صحيحٌ أن $need (WorkItemService.php:81-85) لا يضمّ evidence_required ولا verifier_user_id وأن السطر 136 يضع دليلًا افتراضيًّا عامًّا؛ لكنّ حكمَ «لا يُغلق أحدٌ مهمتَه بنفسه» مفروضٌ فعلًا عند الانتقال (السطر 198-203: المنفِّذُ ممنوعٌ من دور verifier ولو كان الحقلُ فارغًا).</t>
  </si>
  <si>
    <t xml:space="preserve">INJ-0487</t>
  </si>
  <si>
    <t xml:space="preserve">تصنيف الحمايات</t>
  </si>
  <si>
    <t xml:space="preserve">http://localhost/ems/Settings/guard_classification.php</t>
  </si>
  <si>
    <t xml:space="preserve">«لا حمايةَ بلا صنفٍ معلن · وكلُّ حمايةٍ في النظام تحمل صنفَها في قاموسٍ واحد» (GOV-021-ب).</t>
  </si>
  <si>
    <t xml:space="preserve">الشاشة ذاتُ الأثر الفعلي على تصنيف الحمايات (تكتب وتستدعي AuthorityGuard::sign) لا منفذَ لها، بينما نظيرتُها الاستعراضية Governance/guards.php هي الظاهرة.</t>
  </si>
  <si>
    <t xml:space="preserve">Settings/guard_classification.php:1; database/schema/seed_reference.sql:256</t>
  </si>
  <si>
    <t xml:space="preserve">١) ادخل بدور 15 (وبأيِّ دورٍ آخر). ٢) افتح كلَّ مجموعات السايدبار ⇐ لا رابطَ لهذه الشاشة. ٣) اكتب http://localhost/ems/Settings/guard_classification.php في المتصفح ⇐ تُفتح.</t>
  </si>
  <si>
    <t xml:space="preserve">إضافةُ صفِّ nav_items للدور 15 بمسار Settings/guard_classification.php في «خامسًا: المنع والاستثناء» وحذفُ الازدواج مع Governance/guards.php.</t>
  </si>
  <si>
    <t xml:space="preserve">تحقّقت: لا صفَّ nav_items لـSettings/guard_classification.php رغم تسجيلها في modules (id 205)، ولا رابطَ واردًا من شاشةٍ أخرى (الإشارةُ الوحيدةُ تعليقٌ في tools/sec_perm_checks.php). خفّضتُ الخطورة: شاشةُ إعداداتٍ إداريةٌ حارسُها قائمةُ أدوارٍ صلبة.</t>
  </si>
  <si>
    <t xml:space="preserve">INJ-0488</t>
  </si>
  <si>
    <t xml:space="preserve">مراجعة إذن الاطّلاع / تدقيق الظهور</t>
  </si>
  <si>
    <t xml:space="preserve">http://localhost/ems/Portal/visibility_audit.php</t>
  </si>
  <si>
    <t xml:space="preserve">«يُعرض ما سيراه الدورُ قبل النشر — بلا أثرٍ على البيانات» (SCN-689 / vis.simulate)، وفعلُ المحاكاة من أفعال الحوكمة المعلنة.</t>
  </si>
  <si>
    <t xml:space="preserve">فعلُ vis.simulate — المحاكاةُ قبل النشر — بلا منفذٍ في سايدبار الحوكمة، فتُنشر تغييراتُ الظهور بلا معاينة.</t>
  </si>
  <si>
    <t xml:space="preserve">Portal/visibility_audit.php:1; database/schema/seed_reference.sql (لا صفَّ nav_items بمسار Portal/visibility_audit.php)</t>
  </si>
  <si>
    <t xml:space="preserve">١) ادخل بدور 15 (وبأيِّ دورٍ آخر). ٢) افتح كلَّ مجموعات السايدبار ⇐ لا رابطَ لهذه الشاشة. ٣) اكتب http://localhost/ems/Portal/visibility_audit.php في المتصفح ⇐ تُفتح.</t>
  </si>
  <si>
    <t xml:space="preserve">إضافةُ صفِّ nav_items للدور 15 بمسار Portal/visibility_audit.php في المجموعة «رابعًا: الظهور والبوابة والصفحات» بجوار Portal/visibility_keys.php.</t>
  </si>
  <si>
    <t xml:space="preserve">Portal/visibility_audit.php له صفُّ modules (186) وبلا أيِّ صفٍّ في nav_items ولا إحالةٍ واردةٍ من شاشةٍ أخرى — ملفٌّ يُفتح بالرابط المباشر فقط.</t>
  </si>
  <si>
    <t xml:space="preserve">INJ-0489</t>
  </si>
  <si>
    <t xml:space="preserve">§٤-٥ قواعدُ السايدبار · UXR-0036 «صفرُ عنصرٍ مكرر»· UXR-0082 (UI-DEF-05)</t>
  </si>
  <si>
    <t xml:space="preserve">المراسلات</t>
  </si>
  <si>
    <t xml:space="preserve">«صفرُ عنصرٍ مكرر · وصفرُ عنصرٍ لا يملكه المستخدم» (UXR-0036) — و«تكرارُ عناصرَ في السايدبار» عيبٌ حيٌّ مرصود اختبارُ إغلاقه: «فاحصُ التنقلِ يكشف التكرارَ ويوقف التوليد».</t>
  </si>
  <si>
    <t xml:space="preserve">عددُ الصفوف المكرِّرة ٢٥ (لا ٢٩ دورًا) وكلُّها ظاهرةٌ بـcan_view=1 على المودول 262. — [مُصحَّح بعد التحقق] الصياغة الأولى: «المراسلات» تظهر مرتين في المجموعة الأولى لكل دورٍ من الأدوار التسعة والعشرين بما فيهم الدور 15: مرةً مطبوعةً من المصيّر مباشرةً في printStageNav (سطرٌ ثابتٌ في الكود) ومرةً من صفِّ nav_items الخاص به</t>
  </si>
  <si>
    <t xml:space="preserve">٢٩ سايدبارًا فيها عنصرٌ مكرَّرٌ حرفيًّا في الشاشة الأولى التي يراها كلُّ مستخدم — أظهرُ عيبٍ بصريٍّ في النظام كلِّه وأولُ ما يراه العميل. ويخالف الحكمَ الصريح «القائمةُ تُولَّد ولا تُكتب يدويًّا».</t>
  </si>
  <si>
    <t xml:space="preserve">حقنٌ يدويٌّ في المصيّر (قرارُ مالكٍ 2026-08-03 لتثبيت رأسي كل إدارة) لم يُصاحبه حذفُ صفِّ nav_items المقابل من البذرة، ولا فاحصَ تكرارٍ في المولّد.</t>
  </si>
  <si>
    <t xml:space="preserve">includes/unified_nav.php:236-239; database/schema/seed_reference.sql:4020 وما يماثله (25 صفًّا)</t>
  </si>
  <si>
    <t xml:space="preserve">١) ادخل بأيِّ دور (مثلًا 15). ٢) افتح المجموعة الأولى «لوحة الإدارة». ٣) عُدّ العناصر ⇐ «المراسلات» مرتين.</t>
  </si>
  <si>
    <t xml:space="preserve">حذفُ صفوف nav_items التي route='chats/index.php' من البذرة والقاعدة (تبقى النسخةُ المحقونة في includes/unified_nav.php:235 وحدَها لأنها تحمل شارةَ غير المقروء)، وإضافةُ فحصٍ في printStageNav يتخطى أيَّ عنصرٍ مسارُه chats/index.php أو main/role_board.php بعد الحقن.</t>
  </si>
  <si>
    <t xml:space="preserve">عدُّ روابط chats/index.php في سايدبار أيِّ دورٍ يُرجع 1؛ وفاحصُ التنقل يفشل إن وُجد مساران متطابقان في سايدبارٍ واحد.</t>
  </si>
  <si>
    <t xml:space="preserve">`printStageNav` يطبع رابطَ المراسلات صلبًا في أول مرحلة، ولها إضافةً ٢٥ صفَّ nav_items ظاهرًا في مجموعة «مساحتي الشخصية» داخل المرحلة نفسِها — فالتكرارُ واقع.</t>
  </si>
  <si>
    <t xml:space="preserve">INJ-0490</t>
  </si>
  <si>
    <t xml:space="preserve">§٥-٢ TABLE 21 (المرحلة ٩ متابعة وتقارير الحوكمة)</t>
  </si>
  <si>
    <t xml:space="preserve">المرحلةُ التاسعة «متابعة وتقارير الحوكمة» معلنةٌ بستِّ شاشات، وهي شاشاتُ متابعةٍ للحوكمة نفسِها.</t>
  </si>
  <si>
    <t xml:space="preserve">المجموعة في سايدبار الدور 15 تحوي خمسةَ روابط، ثلاثةٌ منها ليست حوكمية: «بلاغات إدارتي» (Tickets/dept_inbox.php) و«أبلغ عن مشكلة من هذه الشاشة» (Tickets/ticket_contextual_open.php) و«ميزانية إدارتي» (Finance/budget_dept.php)، والرابعةُ «إنجاز الإدارة» والخامسةُ «مركز التقارير». صفرُ شاشةِ تقاريرِ حوكمةٍ فعلية (gov_reports.php غائبة).</t>
  </si>
  <si>
    <t xml:space="preserve">المرحلةُ الحاكمة الأخيرة في دورة الحوكمة تعرض روابطَ عامةً مشتركةً بين كل الإدارات بدل تقارير الحوكمة الست؛ فالحوكمةُ بلا لوحةِ متابعةٍ لعملها هي، والعددُ المعلن (٦ شاشات) مقابلُه صفرٌ حقيقيّ.</t>
  </si>
  <si>
    <t xml:space="preserve">المجموعةُ مُلئت بالروابط العامة التي تُحقن لكل الأدوار في مرحلتها الأخيرة، ولم تُضَف شاشاتُ التقارير الحوكمية المخصصة.</t>
  </si>
  <si>
    <t xml:space="preserve">database/schema/seed_reference.sql:301; nav_items 6788-6793 (link_groups 3854 و3855)</t>
  </si>
  <si>
    <t xml:space="preserve">١) ادخل بدور 15. ٢) افتح مجموعة «متابعة وتقارير الحوكمة» ⇐ خمسةُ روابطَ ثلاثةٌ منها بلاغاتٌ وميزانية. ٣) لا رابطَ لتقارير الحوكمة.</t>
  </si>
  <si>
    <t xml:space="preserve">إضافةُ صفوف nav_items للدور 15 في المجموعة: Governance/gov_reports.php (تقارير الحوكمة) · Governance/gov_dept_gov.php (حوكمة إدارة الحوكمة) · Governance/gov_m14_actions.php (أفعال M-14) · شاشةُ سجل التدقيق الجديدة · شاشةُ سجل الاطّلاع الجديدة، وإبقاءُ الروابط العامة في مجموعةٍ منفصلةٍ باسم «المتابعة العامة».</t>
  </si>
  <si>
    <t xml:space="preserve">مجموعةُ «متابعة وتقارير الحوكمة» تعرض ستَّ شاشاتٍ حوكميةً على الأقل، وليس فيها رابطُ ميزانيةٍ ولا بلاغات.</t>
  </si>
  <si>
    <t xml:space="preserve">المجموعةُ التاسعةُ للدور 15 روابطُها ستةٌ (لا خمسة) وكلُّها عامةٌ أو ماليةٌ أو بلاغات، وGovernance/gov_reports.php مسجَّلٌ بموديول 253 لكن بـis_link=0 وبلا صفِّ nav_items.</t>
  </si>
  <si>
    <t xml:space="preserve">INJ-0491</t>
  </si>
  <si>
    <t xml:space="preserve">§٤-٥ · «◆ المجموعةُ التي فرغت من العناصرِ لا تُعرض أصلًا» · الأبوابُ الستة</t>
  </si>
  <si>
    <t xml:space="preserve">باب الحوكمة في المصيّر</t>
  </si>
  <si>
    <t xml:space="preserve">http://localhost/ems/includes/unified_nav.php</t>
  </si>
  <si>
    <t xml:space="preserve">القائمةُ تُولَّد من مصفوفة العرض ولا تُكتب يدويًّا، والمجموعةُ الفارغةُ لا تُعرض — والأبوابُ المعلنة ثمانيةٌ لها دلالةٌ تشغيلية.</t>
  </si>
  <si>
    <t xml:space="preserve">التصحيح: صفوفُ RISK كلُّها داخل مجموعاتٍ مرحلية (stage_no=99) فتُطبع في وضع المراحل ولا تبلغ حلقةَ الأبواب — فأثرُ ترتيب FIELD معدوم. — [مُصحَّح بعد التحقق] الصياغة الأولى: البابُ GOV معرَّفٌ في unifiedNavDoors() ولا يحمله أيُّ صفِّ nav_items نشط، فلا يُصيَّر أبدًا (الشرطُ `if (empty($byDoor[$doorKey])) continue;`) — شيفرةٌ ميتة. وفي المقابل ثمانون صفَّ nav_items نشطًا ت</t>
  </si>
  <si>
    <t xml:space="preserve">نموذجان للتنقل يتعايشان في المصيّر نفسِه (أبوابٌ ومراحل)، أحدُهما شبهُ ميتٍ لكنه يفرض ترتيبًا على بياناتٍ لا تستعمله. تعقيدٌ يضلّل من يصون المولّد ويجعل تشخيصَ خللِ التنقل تخمينًا.</t>
  </si>
  <si>
    <t xml:space="preserve">انتقالٌ غيرُ مكتملٍ من وضع الأبواب إلى وضع المراحل: الكودُ القديم لم يُزَل والبياناتُ لم تُنظَّف.</t>
  </si>
  <si>
    <t xml:space="preserve">includes/unified_nav.php:38; :80; :294; database/schema/seed_reference.sql (nav_items door='RISK')</t>
  </si>
  <si>
    <t xml:space="preserve">١) نفّذ استعلامًا: SELECT door, COUNT(*) FROM nav_items WHERE active=1 GROUP BY door ⇐ لا صفَّ door='GOV' وثمانون صفًّا door='RISK'. ٢) اقرأ includes/unified_nav.php:294 ⇐ البابُ الفارغ يُتخطّى.</t>
  </si>
  <si>
    <t xml:space="preserve">حذفُ البابين GOV وأخواتِه غيرِ المستعملة من unifiedNavDoors() في includes/unified_nav.php:37-39 إن حُسم الانتقالُ إلى وضع المراحل، أو ضبطُ قيم door في nav_items لتقتصر على الأبواب الثمانية المعرَّفة — والقرارُ واحدٌ يُنفَّذ في موضعين.</t>
  </si>
  <si>
    <t xml:space="preserve">استعلامُ قيم door المميزة في nav_items النشطة يُرجع مجموعةً فرعيةً من الأبواب المعرَّفة في unifiedNavDoors فقط، ولا يبقى بابٌ معرَّفٌ بلا صفوف.</t>
  </si>
  <si>
    <t xml:space="preserve">تحقّقت بالعدّ: البابُ GOV له ٨ صفوفٍ كلُّها active=0 فلا يُصيَّر أبدًا (شيفرةٌ ميتة)، وثمانون صفًّا نشطًا يحمل door='RISK' وهي قيمةٌ خارج unifiedNavDoors وخارج ترتيب FIELD (وكذلك 41 صفًّا بـdoor='main').</t>
  </si>
  <si>
    <t xml:space="preserve">INJ-0492</t>
  </si>
  <si>
    <t xml:space="preserve">§٥ الحالاتُ الخمس · حالةُ الخطأ والرسالة</t>
  </si>
  <si>
    <t xml:space="preserve">رسائل النظام في الرابط (١٧٨ شاشة)</t>
  </si>
  <si>
    <t xml:space="preserve">رسالةُ النظامِ عنصرُ واجهةٍ محكومٌ برمزٍ وسببٍ ومسارِ تصحيح — لا نصٌّ يُمرَّر في الرابط.</t>
  </si>
  <si>
    <t xml:space="preserve">العددُ 171 لا 178، والرسائلُ مهرَّبةٌ عند الطباعة فالأثرُ انتحالُ رسالةِ نجاحٍ لا XSS. — [مُصحَّح بعد التحقق] الصياغة الأولى: ١٧٨ شاشةً تمرّر رسالةَ النظامِ في سلسلةِ الاستعلام ثم تطبعها: النمطُ `?msg=&lt;نص&gt;` ثم `if (!empty($_GET['msg'])) { echo ... }` — أمثلةٌ محقَّقة: `Clients/commercial_risks.php:416-420` (وهي تبني الرسالةَ</t>
  </si>
  <si>
    <t xml:space="preserve">① الرسالةُ تبقى في الرابطِ بعد التحديثِ فتتكرر ويظنُّها المستخدمُ حدثًا جديدًا. ② الرابطُ قابلٌ للمشاركةِ برسالةِ نجاحٍ كاذبةٍ («تم الحفظ ✅») — تضليلٌ متعمَّدٌ ممكن. ③ لا رمزَ خطأٍ ولا مسارَ تصحيحٍ في الرسالة. ④ الرابطُ يحمل نصًّا عربيًّا طويلًا في السجلاتِ وفي المفضّلة.</t>
  </si>
  <si>
    <t xml:space="preserve">نمطُ POST-Redirect-GET نُفِّذ بتمريرِ النصِّ نفسِه بدل مفتاحِ رسالةٍ في الجلسة.</t>
  </si>
  <si>
    <t xml:space="preserve">Clients/commercial_risks.php:416-420; includes/u13_screen_kit.php:245-247; Portal/ceo_risk.php:204-206</t>
  </si>
  <si>
    <t xml:space="preserve">١) نفِّذ حفظًا في `Clients/commercial_risks.php`: العنوانُ يصير `...?msg=تم إضافة الخطر بنجاح ✅`.
٢) حدِّث الصفحة: الرسالةُ تظهر ثانيةً.
٣) عدِّل الرابطَ يدويًّا إلى `?msg=تم الحذف نهائيًّا ✅` وافتحه: تظهر رسالةُ نجاحٍ كاذبةٍ بلا أيِّ فعل.</t>
  </si>
  <si>
    <t xml:space="preserve">استعمِل `ems_gov_flash_redirect()` القائمةَ لتخزينِ الرسالةِ في الجلسةِ بمفتاحٍ ورمزٍ (`GOV-INFO-200`) بدل تمريرِ النصّ، واقرأها مرةً واحدةً في الشاشة؛ وابدأ بـ`includes/u13_screen_kit.php:245` (يصلح ٤٤ شاشةً دفعةً) ثم `Clients/commercial_risks.php` و`Portal/ceo_risk.php`؛ وأضِف فاحصًا يرسب على `$_GET['msg']` في التصيير.</t>
  </si>
  <si>
    <t xml:space="preserve">لا شاشةَ تطبع نصًّا من `$_GET`؛ وتعديلُ الرابطِ يدويًّا لا يُظهر أيَّ رسالةِ نجاح؛ والرسالةُ تختفي بعد التحديثِ الأول.</t>
  </si>
  <si>
    <t xml:space="preserve">النمطُ قائمٌ فعلًا وواسع (171 ملفًّا يطبع $_GET['msg']، ومنها u13_screen_kit.php:245-247 المشتركة)، لكنّ الخطورةَ مبالَغٌ فيها: كلُّ المواضع المفحوصةِ تُخرِج النصَّ مهرَّبًا (risk_e/htmlspecialchars) فلا حقنَ — والعيبُ حوكمةُ الرسالةِ لا ثغرةُ أمن.</t>
  </si>
  <si>
    <t xml:space="preserve">INJ-0493</t>
  </si>
  <si>
    <t xml:space="preserve">§٦-٢ الشاشاتُ الطويلةُ ومناظرُها · CM-09 · CM-10</t>
  </si>
  <si>
    <t xml:space="preserve">الشاشات الطويلة (١٦٥ جدولًا ≥ ٢٠ عمودًا)</t>
  </si>
  <si>
    <t xml:space="preserve">لكلِّ شاشةٍ طويلةٍ مناظرُها الإلزاميةُ (CM-09) وزرُّ «إظهار كلِّ الأعمدة» (CM-10) — والمنظرُ المحفوظُ يُستعاد.</t>
  </si>
  <si>
    <t xml:space="preserve">١٦٥ جدولًا بعشرين عمودًا فأكثر، و**صفرُ** شاشاتٍ تستعمل «المناظرَ المحفوظة». الآليةُ الوحيدةُ الحيةُ هي منتقي المنظرِ في وحدةِ المخاطر (`Risk/_risk_views.php:18-30`) وفي عُدّةِ u13 (`u13_views()` في `includes/u13_screen_kit.php:76-87`) — وكلاهما يشتقُّ المنظرَ من صنفِ الحقولِ ولا يحفظ اختيارَ المستخدم.</t>
  </si>
  <si>
    <t xml:space="preserve">المستخدمُ يعيد ضبطَ الأعمدةِ في كلِّ زيارةٍ لكلِّ شاشةٍ طويلة؛ وفي شاشاتٍ بستةٍ وثلاثين عمودًا (سجلُّ المخاطر) يصير الجدولُ غيرَ قابلٍ للقراءةِ على أيِّ شاشةٍ عادية.</t>
  </si>
  <si>
    <t xml:space="preserve">بُنيت المناظرُ اشتقاقًا من التصنيفِ ولم يُبنَ تخزينُ اختيارِ المستخدمِ ولا زرُّ CM-10 الموحَّد.</t>
  </si>
  <si>
    <t xml:space="preserve">Risk/_risk_views.php:17-30; includes/u13_screen_kit.php:75-87; database/schema/schema.sql (159 جدولًا ≥20 عمودًا)</t>
  </si>
  <si>
    <t xml:space="preserve">١) افتح `Risk/risk_register.php` واختر منظرًا.
٢) انتقل إلى شاشةٍ أخرى ثم عُد: المنظرُ عاد إلى الافتراضي.
٣) `grep -rn 'saved_view\|user_view' --include=*.php .` → لا آليةَ حفظ.</t>
  </si>
  <si>
    <t xml:space="preserve">أضِف جدولَ `user_screen_views(user_id, screen_code, view_key, columns_json)` ودالةً مشتركةً في `includes/screen_contract.php` تقرأ وتكتب اختيارَ المستخدم، ونادِها من `Risk/_risk_views.php` و`includes/u13_screen_kit.php` وأطُرِ الجداولِ الأخرى؛ وأضِف زرَّ CM-10 موحَّدًا في `includes/page_header.php`.</t>
  </si>
  <si>
    <t xml:space="preserve">اختيارُ منظرٍ في شاشةٍ طويلةٍ يبقى بعد الخروجِ والدخول؛ وكلُّ شاشةٍ بعشرين عمودًا فأكثر تعرض منتقي منظرٍ وزرَّ «إظهار كلِّ الأعمدة».</t>
  </si>
  <si>
    <t xml:space="preserve">لا آليةَ حفظِ منظرٍ للمستخدم في المستودع؛ منتقي المخاطر (Risk/_risk_views.php) وu13_views يشتقّان المنظرَ من صنف الحقول ولا يحفظان اختيارًا — والجداولُ ذاتُ العشرين عمودًا فأكثر 159 جدولًا في schema.sql (قريبٌ من 165 المذكورة).</t>
  </si>
  <si>
    <t xml:space="preserve">INJ-0494</t>
  </si>
  <si>
    <t xml:space="preserve">§٤-٥ · «الشاشةُ المسجَّلةُ في سجلِّ الشاشات»</t>
  </si>
  <si>
    <t xml:space="preserve">سجل الشاشات مقابل الملفات الحية</t>
  </si>
  <si>
    <t xml:space="preserve">«نظامُ الشاشاتِ هو المصدرُ الموحَّدُ الوحيدُ للتنقل» — فكلُّ شاشةٍ حيةٍ لها صفٌّ في سجلِّ الشاشاتِ وصفٌّ في القوائم.</t>
  </si>
  <si>
    <t xml:space="preserve">عددُ صفوف modules في البذرة 387 لا 397، وems_shell_axes في 362 ملفًّا لا 373. — [مُصحَّح بعد التحقق] الصياغة الأولى: عددُ ملفاتِ PHP التي تضمّن `insidebar.php` (أي تُصيَّر كشاشةٍ داخلَ القشرة) = ٣٧٢، والتي تضمّن `inheader.php` = ٣٥٧، بينما `modules` يحوي ٣٩٧ صفًّا و`ems_shell_axes` يُنادى في ٣٧٣ ملفًّا. الأعدادُ الأ</t>
  </si>
  <si>
    <t xml:space="preserve">لا يمكن الإجابةُ عن سؤالٍ أساسي: «كم شاشةً في النظام؟» — ولا كشفُ الشاشاتِ غيرِ المسجَّلةِ التي تُمنح صلاحياتٍ كاملةً تلقائيًّا (انظر ملاحظةَ الحارسِ المفتوح). وهو الجذرُ التقنيُّ لعيبِ MD-01.</t>
  </si>
  <si>
    <t xml:space="preserve">لا قيدَ ولا فاحصَ يربط الملفاتِ الحيةَ بسجلِّ الشاشات؛ والتسجيلُ خطوةٌ يدويةٌ في هجراتِ البذرة.</t>
  </si>
  <si>
    <t xml:space="preserve">insidebar.php:12-14; includes/permissions_helper.php:806-818; database/schema/seed_reference.sql (387 صفَّ modules)</t>
  </si>
  <si>
    <t xml:space="preserve">١) `grep -rl 'insidebar.php' --include=*.php . | wc -l` → ٣٧٢.
٢) `grep -rl 'inheader.php' --include=*.php . | wc -l` → ٣٥٧.
٣) `SELECT COUNT(*) FROM modules` → ٣٩٧.
٤) لا أداةَ تُخرج الفرقَ بين المجموعتين.</t>
  </si>
  <si>
    <t xml:space="preserve">أضِف أداةَ فحصٍ (`tools/screen_registry_gate.php`) تُقارن مجموعةَ الملفاتِ التي تضمّن `insidebar.php` بمجموعةِ `modules.code` وتُخرج الفرقَ في الاتجاهين، وترسب على أيِّ ملفٍّ حيٍّ بلا صفٍّ وعلى أيِّ صفٍّ بلا ملف؛ وأدرِجها في بوابةِ القبول.</t>
  </si>
  <si>
    <t xml:space="preserve">الأداةُ تُخرج صفرَ فروقٍ في الاتجاهين، والعددُ المُعلَنُ للشاشاتِ واحدٌ في كلِّ التقارير.</t>
  </si>
  <si>
    <t xml:space="preserve">الأعدادُ متباينةٌ فعلًا (372 ملفًّا يضمّن insidebar · 357 يضمّن inheader · 362 ينادي ems_shell_axes · 387 صفَّ modules في البذرة) ولا أداةَ تقارن مجموعةَ الملفات الحيةِ بمجموعة modules.code — وأثرُ ذلك fail-open للشاشة غير المسجَّلة (permissions_helper.php:810-818).</t>
  </si>
  <si>
    <t xml:space="preserve">INJ-0495</t>
  </si>
  <si>
    <t xml:space="preserve">UXR-0111 «لا تظهر شاشةٌ جديدةٌ بلا الغلافِ الحاكم» · AR-03 الأعمدةُ الحاكمة</t>
  </si>
  <si>
    <t xml:space="preserve">شاشات الحوكمة — الأعمدة الحاكمة المحقونة</t>
  </si>
  <si>
    <t xml:space="preserve">«ثلاثةَ عشرَ عمودًا حاكمًا تُحقن في كل جدولٍ يحمل مستندًا — أساسُها السبعةُ: الكيانُ والمُنشئُ بصفته وتاريخُ الإنشاء والمعتمِدُ بصفته وتاريخُ الاعتماد ومرجعُ التفويض والمرجعُ الأب … وغيابُ أحدها يمنع قبولَ الجدولِ في مراجعةٍ قانونيةٍ أو ائتمانية» (AR-03).</t>
  </si>
  <si>
    <t xml:space="preserve">الأعمدةُ الحاكمة تُحقن رؤوسًا فارغةً (th بلا مصدرِ خادم) ويملؤها ui-unification.js في المتصفح؛ وملفُّ includes/gov_columns.php يعلن في رأسه أن العمودَ يعرض «—» ما لم يكن له مصدرٌ بعد. عمليًّا: «المعتمِد — الاسم والصفة» و«تاريخ الاعتماد» و«مرجع التفويض» و«المرجع الأب» و«عكس عن» و«معكوس بـ» تُعرض «—» في شاشات الحوكمة لأن لا مصدرَ خادميًّا لها.</t>
  </si>
  <si>
    <t xml:space="preserve">الغلافُ الحاكم موجودٌ شكلًا لا مضمونًا: ستةٌ من ثلاثةَ عشرَ عمودًا حاكمًا فارغةٌ دائمًا في شاشات الحوكمة، فيظنّ المراجعُ أن الطبقةَ مطبَّقةٌ وهي رؤوسٌ بلا بيان — وهو ما يمنع قبولَ الجدول في مراجعةٍ قانونيةٍ بنصِّ AR-03.</t>
  </si>
  <si>
    <t xml:space="preserve">الأعمدةُ حُقنت في طبقةِ عرضٍ مشتركةٍ (خطوةٌ صحيحة) قبل بناء مصادرِها الخادمية، ولم تُتبَع بموجةِ ربطٍ.</t>
  </si>
  <si>
    <t xml:space="preserve">includes/gov_columns.php:13; :16; :38; Governance/break_glass.php:192; :209; Maintenance/return_to_service.php:64; :66; :67</t>
  </si>
  <si>
    <t xml:space="preserve">١) افتح أيَّ شاشةِ حوكمةٍ فيها الأعمدة الحاكمة. ٢) انظر عمود «المعتمِد — الاسم والصفة» و«مرجع التفويض» ⇐ «—» في كل صف حتى للصفوف المعتمدة.</t>
  </si>
  <si>
    <t xml:space="preserve">بناءُ مصدرٍ خادميٍّ للأعمدة الستة: إضافةُ approver_user_id وapproved_at وauthority_id وparent_ref إلى جداول scr_* وملؤها من مسار الاعتماد، وتعديلُ includes/gov_columns.php ليقرأ من الخادم بدل الحشو في المتصفح، وإخفاءُ أيِّ عمودٍ حاكمٍ لا مصدرَ له بدل عرضه فارغًا.</t>
  </si>
  <si>
    <t xml:space="preserve">الأعمدةُ الحاكمة الثلاثة عشر في شاشات الحوكمة تحمل قيمًا حقيقيةً للصفوف المعتمدة، ولا يظهر أيُّ عمودٍ حاكمٍ بقيمة «—» في كل صفوف الجدول.</t>
  </si>
  <si>
    <t xml:space="preserve">الوصفُ دقيق: الرؤوسُ تُحقن والخلايا يحشوها ui-unification.js وتظهر «—» لغياب المصدر. لكن هذا وضعٌ انتقاليٌّ معلَنٌ ومعتمدٌ من المالك في رأس includes/gov_columns.php (توصية ③) مع مهامِ لحاقٍ مسجلةٍ في docs/CMP03_FOLLOWUP_SOURCES_ar.md ⇒ P3 لا P2.</t>
  </si>
  <si>
    <t xml:space="preserve">INJ-0496</t>
  </si>
  <si>
    <t xml:space="preserve">§٢ الرموزُ التصميمية — الطبقاتُ الثلاث</t>
  </si>
  <si>
    <t xml:space="preserve">١٠٣ رموزٍ بثلاثِ طبقاتٍ (أوليّ/دلاليّ/مكوّن) — «ولا يستدعي مكوّنٌ رمزًا أوليًّا مباشرةً»؛ واللونُ يأتي من الرمزِ لا من قيمةٍ صلبة.</t>
  </si>
  <si>
    <t xml:space="preserve">٧٢٩١ لونًا صلبًا في المستودع (٤٦٧٥ في PHP في ٣١١ ملفًّا + ٢٦١٦ في CSS الخاص) بـ٩٦٤ قيمةً لونيةً متمايزةً مقابل ٢٦ رمزًا لونيًّا في `assets/css/design-tokens.css`. والملفُّ الحاكمُ `:root` مسطَّحٌ بطبقةٍ واحدةٍ لا ثلاث، والقشرةُ نفسُها تخالفه: `assets/css/ems-shell.css` يحوي ٦٠ لونًا صلبًا (منها `background:#1f2937` في مكوّنِ شريطِ الفلاتر).</t>
  </si>
  <si>
    <t xml:space="preserve">لا يمكن تغييرُ هويةٍ لونيةٍ ولا إضافةُ وضعٍ داكنٍ ولا ضمانُ تباينٍ متسق: أيُّ تعديلٍ يتطلب تحريرَ آلافِ المواضع. والقشرةُ الحاكمةُ نفسُها تخالف الرموزَ فتُبطل قيمةَ وجودِها.</t>
  </si>
  <si>
    <t xml:space="preserve">أُنشئت الرموزُ متأخرةً بعد كتابةِ معظمِ الشاشاتِ ولم تُنفَّذ هجرةٌ ولا فاحصٌ يمنع اللونَ الصلب.</t>
  </si>
  <si>
    <t xml:space="preserve">assets/css/design-tokens.css:1; assets/css/ems-shell.css:137; :145; inheader.php:46; insidebar.php:50</t>
  </si>
  <si>
    <t xml:space="preserve">١) نفِّذ `grep -rohE '#[0-9a-fA-F]{3,8}\b' --include=*.php --include=*.css . | wc -l` → آلافُ النتائج.
٢) افتح `assets/css/ems-shell.css`: ألوانٌ صلبةٌ داخلَ القشرةِ الحاكمة.
٣) قارِن عددَ القيمِ المتمايزةِ (٩٦٤) بعددِ الرموزِ (٢٦).</t>
  </si>
  <si>
    <t xml:space="preserve">① أعِد بناءَ `design-tokens.css` بثلاثِ طبقاتٍ (`--c-*` أوليّ ← `--sem-*` دلاليّ ← `--cmp-*` مكوّن). ② هاجِر `assets/css/ems-shell.css` أولًا (٦٠ لونًا) ثم أعلى ٢٠ ملفًّا كثافةً. ③ أضِف فاحصًا (`tools/`) يرسب على أيِّ لونٍ صلبٍ جديدٍ في ملفاتِ CSS/PHP المهاجَرة.</t>
  </si>
  <si>
    <t xml:space="preserve">عددُ الألوانِ الصلبةِ في `assets/css/ems-shell.css` و`insidebar.php` و`includes/topbar.php` = 0؛ وتغييرُ رمزٍ دلاليٍّ واحدٍ يغيّر مظهرَ القشرةِ كلِّها.</t>
  </si>
  <si>
    <t xml:space="preserve">المقاييسُ الجوهريةُ مطابقة: design-tokens.css بستةٍ وعشرين لونًا في :root مسطَّحةٍ بطبقةٍ واحدة، وems-shell.css بستين لونًا صلبًا منها background:#1f2937 في مكوّن شريط الفلاتر (السطر 145) — والأعدادُ الكليةُ قريبةٌ لا مطابقة (987 قيمةً متمايزةً مقيسة).</t>
  </si>
  <si>
    <t xml:space="preserve">INJ-0497</t>
  </si>
  <si>
    <t xml:space="preserve">§١ CM-00 · UXR-0110 · AS-06</t>
  </si>
  <si>
    <t xml:space="preserve">الغلاف الحاكم CM-00 وشريط الفلاتر AS-06</t>
  </si>
  <si>
    <t xml:space="preserve">الغلافُ الحاكمُ CM-00 يبذر محاورَ الشاشةِ لتقرأها المكوّناتُ؛ وAS-06 شريطُ الفلاترِ أحدُ مكوّناتِ القشرةِ الثمانية.</t>
  </si>
  <si>
    <t xml:space="preserve">المحاورُ تُقرأ عالميًّا عبر EmsScreenShell.seed/apply و bootShellCss في ui-unification.js؛ الضعفُ الحقيقي أن مستهلكيها قليلو الأثر (ems-write-action في ملفٍ واحد) وأن ems-filterbar/ems-actionbar بصفر مستهلك. — [مُصحَّح بعد التحقق] الصياغة الأولى: `ems_shell_axes()` يُنادى في ٣٧٣ ملفًّا ويبذر `data-ems-ax-*` على `&lt;body&gt;` (`inheader.php:84-90`)، لكنَّ القارئَ الوحيدَ لأيِّ محورٍ هو شريحةُ المزامنةِ في `assets/js/ems-components.js:102-103` المستع</t>
  </si>
  <si>
    <t xml:space="preserve">جهدُ بناءٍ كاملٌ في القشرةِ لا يصل المستخدم: لا شريطَ فلاترٍ موحَّدًا في أيِّ شاشةٍ رغم ١٦٥ جدولًا بعشرين عمودًا فأكثر، والمحاورُ المبذورةُ حِملٌ بلا فائدة — وهو نصُّ UXR-0110.</t>
  </si>
  <si>
    <t xml:space="preserve">بُنيت مكوّناتُ القشرةِ قبل تعريفِ مسارِ تبنٍّ إلزاميٍّ في الشاشات.</t>
  </si>
  <si>
    <t xml:space="preserve">inheader.php:84; :90; assets/js/ems-components.js:102; assets/css/ems-shell.css:137; :148; :155; :163; Risk/dept_risk_space.php:12; main/my_workspace.php:76</t>
  </si>
  <si>
    <t xml:space="preserve">١) `grep -rl 'ems-filterbar' --include=*.php /tmp/ems | wc -l` → 0.
٢) `grep -rl 'ems-actionbar' --include=*.php /tmp/ems | wc -l` → 0.
٣) افحص `&lt;body&gt;` في أيِّ شاشة: سماتُ `data-ems-ax-*` موجودةٌ ولا يقرؤها شيء.</t>
  </si>
  <si>
    <t xml:space="preserve">① طبِّق `.ems-filterbar` على الشاشاتِ الطويلةِ الخمسِ الأكثرِ استعمالًا أولًا بربطِه بمرشِّحاتها القائمة. ② اجعل `ui-unification.js` يقرأ محاورَ CM-00 لتفعيلِ سلوكٍ فعليٍّ (وضعُ القراءة · شريحةُ الحالة · تعطيلُ الأزرار) وإلا فأزِل بذرَها. ③ أضِف عدَّادَ تبنٍّ لكلِّ مكوّنٍ في بوابةِ القبول.</t>
  </si>
  <si>
    <t xml:space="preserve">خمسُ شاشاتٍ طويلةٍ على الأقلِّ تستعمل `.ems-filterbar`، وكلُّ محورٍ مبذورٍ له قارئٌ واحدٌ على الأقلِّ في JS — وإلا فقد أُزيل.</t>
  </si>
  <si>
    <t xml:space="preserve">الشقُّ الثاني صحيح: ems-filterbar و ems-actionbar بصفر مستهلكٍ في php. أمّا «المحاورُ تُبذَر ولا تُقرَأ في 368 شاشة» فمردود: EmsScreenShell.seed() في ui-unification.js:613 يقرأ data-ems-ax-* على كل صفحةٍ ويبثّها data-ax-*، وbootShellCss (626-637) يستهلك محورَي edit و freshness (لافتةُ البيانات غير اللحظية) عالميًّا.</t>
  </si>
  <si>
    <t xml:space="preserve">INJ-0498</t>
  </si>
  <si>
    <t xml:space="preserve">§١ القشرة · RTL</t>
  </si>
  <si>
    <t xml:space="preserve">صفحات التقارير والطباعة</t>
  </si>
  <si>
    <t xml:space="preserve">http://localhost/ems/Reports/contract_report.php</t>
  </si>
  <si>
    <t xml:space="preserve">التقارير والتحليلات</t>
  </si>
  <si>
    <t xml:space="preserve">النظامُ عربيٌّ RTL بقشرةٍ واحدة — واتجاهُ التخطيطِ لا يختلف بين شاشةٍ وأخرى.</t>
  </si>
  <si>
    <t xml:space="preserve">القشرةُ الرئيسةُ تُحمّل نسخةَ Bootstrap **LTR** (`inheader.php:39` — `bootstrap.min.css`) بينما عشرُ صفحاتٍ تُحمّل نسخةَ **RTL** (`bootstrap.rtl.min.css`): ثمانٍ في `Reports/` واثنتان في `emsreports/`. فالنظامُ يعمل بنسختين متعارضتين من الإطارِ نفسِه.</t>
  </si>
  <si>
    <t xml:space="preserve">اختلافُ الحشوِ والهوامشِ ومواضعِ الأعمدةِ بين الشاشاتِ العاديةِ وشاشاتِ التقارير؛ وتعارضُ قواعدِ CSS إن حُمّلت النسختان في صفحةٍ واحدةٍ — وهو ما يفسّر جزءًا من انكساراتِ المحاذاةِ المرصودة.</t>
  </si>
  <si>
    <t xml:space="preserve">أُصلح اتجاهُ القشرةِ الرئيسةِ بـCSS مخصَّصٍ فوق نسخةِ LTR، بينما نُقلت صفحاتُ التقاريرِ إلى نسخةِ RTL الرسمية.</t>
  </si>
  <si>
    <t xml:space="preserve">inheader.php:38; :39; Reports/contract_report.php:1; Reports/equipments_reports.php:1; emsreports/index.php:24; emsreports/reports/_report_template.php:47</t>
  </si>
  <si>
    <t xml:space="preserve">١) `grep -n bootstrap inheader.php` → `bootstrap.min.css` (LTR).
٢) `grep -rl bootstrap.rtl.min.css --include=*.php .` → عشرُ صفحات.
٣) افتح شاشةً رئيسةً ثم `Reports/contract_report.php`: فرقٌ ظاهرٌ في المحاذاةِ والحشو.</t>
  </si>
  <si>
    <t xml:space="preserve">وحِّد على `bootstrap.rtl.min.css` في `inheader.php:39` وأزِل قواعدَ التصحيحِ اليدويةِ التي كُتبت فوق نسخةِ LTR، أو العكس؛ ثم أزِل تحميلَ النسخةِ الثانيةِ من صفحاتِ `Reports/` و`emsreports/` بحيث لا تُحمّل نسختان في المنتج.</t>
  </si>
  <si>
    <t xml:space="preserve">`grep -rl 'bootstrap.min.css' --include=*.php .` و`grep -rl 'bootstrap.rtl.min.css' --include=*.php .` — واحدةٌ منهما فارغة؛ والمحاذاةُ متطابقةٌ بين شاشةٍ رئيسةٍ وشاشةِ تقرير.</t>
  </si>
  <si>
    <t xml:space="preserve">inheader.php:39 يحمّل bootstrap.min.css (LTR) بينما عشرةُ ملفاتٍ (ثمانٍ في Reports/ واثنتان في emsreports/) تحمّل bootstrap.rtl.min.css — نسختان متعارضتان مؤكَّدتان بالعدّ.</t>
  </si>
  <si>
    <t xml:space="preserve">INJ-0499</t>
  </si>
  <si>
    <t xml:space="preserve">§١ القشرة · طبقاتُ القوالبِ الإضافية</t>
  </si>
  <si>
    <t xml:space="preserve">طبقات القوالب فوق القشرة الرئيسة</t>
  </si>
  <si>
    <t xml:space="preserve">قشرةٌ حاكمةٌ واحدةٌ بمكوّناتٍ مشتركة — والقالبُ الإضافيُّ يرث القشرةَ ولا ينافسها.</t>
  </si>
  <si>
    <t xml:space="preserve">فوق القشرةِ الرئيسةِ طبقتا قوالبَ متنافستان: `includes/fin_analysis_shell.php` (١٧ مستهلكًا، يضمّن `inheader.php` في السطر ٤٨) و`includes/u13_screen_kit.php` (٤٤ مستهلكًا، يبني ترويستَه وأنماطَه الخاصةَ في `:280-289` و`:293-309`). لكلٍّ منهما نمطُ رأسٍ وشرحٍ وحالةِ فراغٍ مختلفٌ عن `includes/page_header.php` وعن `ems_screen_about`.</t>
  </si>
  <si>
    <t xml:space="preserve">ثلاثةُ مظاهرَ للشاشةِ الواحدةِ داخلَ القشرةِ نفسِها: شاشةٌ مكتوبةٌ يدويًّا، وشاشةُ تحليلٍ ماليّ، وشاشةٌ مولَّدة — يختلف فيها موضعُ الشرحِ ونمطُ الرسالةِ وحالةُ الفراغ. ٦١ شاشةً (١٧+٤٤) بمظهرٍ مختلفٍ عن الباقي.</t>
  </si>
  <si>
    <t xml:space="preserve">بُنيت القوالبُ لتسريعِ التوليدِ قبل استقرارِ مكوّناتِ القشرةِ المشتركة.</t>
  </si>
  <si>
    <t xml:space="preserve">includes/fin_analysis_shell.php:48; includes/u13_screen_kit.php:238; :280; :293; :316; includes/page_header.php:115</t>
  </si>
  <si>
    <t xml:space="preserve">١) افتح شاشةً مكتوبةً يدويًّا (`Risk/risk_register.php`) ثم شاشةً مولَّدةً (`Audit/iaf_findings.php`) ثم شاشةَ تحليلٍ ماليّ.
٢) قارِن موضعَ الشرحِ ونمطَ رسالةِ النظامِ وحالةَ الفراغ: ثلاثةُ أنماط.</t>
  </si>
  <si>
    <t xml:space="preserve">اجعل `u13_screen_kit` و`fin_analysis_shell` يستهلكان المكوّناتِ المشتركةَ نفسَها: `includes/page_header.php` للرأس، و`ems_screen_about` للشرح، و`EmsUI.emptyState` للفراغ، و`ems_gov_flash` للرسالة — واحذف كتلَ `&lt;style&gt;` المحليةَ فيهما.</t>
  </si>
  <si>
    <t xml:space="preserve">الشاشاتُ الثلاثُ (يدوية · مولَّدة · تحليل مالي) تعرض الرأسَ والشرحَ والفراغَ والرسالةَ بالمكوّناتِ نفسِها وبمظهرٍ متطابق.</t>
  </si>
  <si>
    <t xml:space="preserve">‏fin_analysis_shell.php بسبعةَ عشرَ مستهلكًا ويضمّن inheader.php في السطر 48، وu13_screen_kit.php بأربعةٍ وأربعين مستهلكًا ويبني ترويستَه وكتلَ &lt;style&gt; الخاصةَ (280-289 · 293-309) بمعزلٍ عن page_header.php. مخالفةُ اتساقٍ لا عطل.</t>
  </si>
  <si>
    <t xml:space="preserve">INJ-0500</t>
  </si>
  <si>
    <t xml:space="preserve">§١ القشرةُ (ز) صفحاتُ الحجبِ والخطأ · UI-14</t>
  </si>
  <si>
    <t xml:space="preserve">صفحات الحجب والخطأ</t>
  </si>
  <si>
    <t xml:space="preserve">حالةُ «لا صلاحية» إحدى الحالاتِ الخمسِ الإلزامية، ولها مكوّنُها الموحَّد UI-14 برمزٍ وسببٍ ومسارِ طلبِ صلاحية.</t>
  </si>
  <si>
    <t xml:space="preserve">سبعُ صفحاتِ حجبٍ مبنيةٌ بتسلسلِ نصوصٍ وأنماطٍ داخلَ `body` في `includes/security.php:471,714,755,811` و`app/Services/Portal/SupplierPortalGuard.php:75,235` — ولا واحدةَ منها تستعمل مكوّنَ UI-14، وأربعٌ منها بلا وسمِ `viewport`. وهي بالضبط ما يراه المستخدَمُ المحجوبُ — أي أسوأُ لحظةٍ في التجربةِ تُعالَج بأضعفِ قشرة.</t>
  </si>
  <si>
    <t xml:space="preserve">المستخدمُ المحجوبُ يرى صفحةً بلا هويةٍ ولا رمزِ سببٍ ولا مسارِ طلبِ صلاحية، وغيرَ قابلةٍ للقراءةِ على الجوال (بلا viewport) — وهي أكثرُ الصفحاتِ احتمالًا للظهورِ في عرضٍ خارجيٍّ أو لقطةِ شاشةٍ من مستخدمٍ غاضب.</t>
  </si>
  <si>
    <t xml:space="preserve">كُتبت صفحاتُ الحجبِ داخلَ طبقةِ الأمنِ قبل وجودِ القشرةِ والمكوّنات، ولم تُهاجَر.</t>
  </si>
  <si>
    <t xml:space="preserve">includes/security.php:471; :712; :753; :809; app/Services/Portal/SupplierPortalGuard.php:75; :235</t>
  </si>
  <si>
    <t xml:space="preserve">١) حاوِل فتحَ شاشةٍ بلا صلاحيةٍ بمسارها المباشر.
٢) لاحظ صفحةً بلا ترويسةٍ ولا هويةٍ ولا رمزِ سبب.
٣) افتحها على عرضِ جوال: بلا viewport فتظهر مصغَّرةً.</t>
  </si>
  <si>
    <t xml:space="preserve">أنشئ قالبًا واحدًا `includes/blocked_page.php` يستعمل القشرةَ الحاكمةَ ومكوّنَ UI-14 ويعرض: رمزَ الحجب (`GOV-PERM-403`)، والسببَ من `includes/perm_explain_live.php`، ومسارَ «اطلب الصلاحية»؛ واستبدِل به المواضعَ الستةَ في `includes/security.php` و`SupplierPortalGuard.php`.</t>
  </si>
  <si>
    <t xml:space="preserve">كلُّ صفحاتِ الحجبِ تعرض القالبَ نفسَه برمزٍ وسببٍ ومسارِ طلبٍ، وتحمل `viewport`، وتظهر صحيحةً على عرضِ ٣٦٠px.</t>
  </si>
  <si>
    <t xml:space="preserve">ستُّ صفحاتِ حجبٍ مبنيةٌ بتسلسلِ نصوصٍ داخل body ولا واحدةَ منها تستعمل مكوّنَ UI-14؛ بل صفرُ وسمِ viewport في includes/security.php كلِّه لا في أربعٍ فقط.</t>
  </si>
  <si>
    <t xml:space="preserve">INJ-0501</t>
  </si>
  <si>
    <t xml:space="preserve">§٢ الرموزُ · تعدُّدُ مجموعاتِ الرموز</t>
  </si>
  <si>
    <t xml:space="preserve">مجموعات الرموز المتنافسة</t>
  </si>
  <si>
    <t xml:space="preserve">مجموعةُ رموزٍ واحدةٌ حاكمة (١٠٣ رمزٍ بثلاثِ طبقات) — ولا يستدعي مكوّنٌ رمزًا أوليًّا مباشرةً.</t>
  </si>
  <si>
    <t xml:space="preserve">قشرةُ المنتج تحمّل design-tokens.css ثم ems.main.all.style.css ثم ems-tables/forms/journey/shell؛ وnew.main.all.style.css لا يُحمَّل من أيِّ مكان، وbrand-identity.css وmain_admin_style.css وكتلةُ :root تُحمَّل في admin/includes/layout_head.php وحدَها. — [مُصحَّح بعد التحقق] الصياغة الأولى: ستُّ مجموعاتِ رموزٍ متنافسةٍ تُحمَّل في المنتج: `assets/css/design-tokens.css` (٩٩ خاصيةً · ٢٦ لونًا · محمَّلٌ من `inheader.php:46` و`insidebar.php:50`)، و`assets/css/brand-identity.css`، و`assets/css</t>
  </si>
  <si>
    <t xml:space="preserve">لا مصدرَ حقيقةٍ للهوية: تغييرُ لونٍ في الرموزِ لا ينعكس لأنَّ ورقةً لاحقةً تكتب فوقه؛ ووجودُ `ems.main.all.style.css` و`new.main.all.style.css` معًا يعني نسختين من التصميمِ تتنازعان الأسبقية.</t>
  </si>
  <si>
    <t xml:space="preserve">تراكمُ أوراقِ الأنماطِ عبر الموجاتِ بلا حذفِ القديمةِ ولا ترتيبِ أسبقيةٍ معلَن.</t>
  </si>
  <si>
    <t xml:space="preserve">inheader.php:46; :48; :56; insidebar.php:48-52; admin/includes/layout_head.php:53; :57</t>
  </si>
  <si>
    <t xml:space="preserve">١) `ls /tmp/ems/assets/css/` → ورقتان باسمَي `ems.main.all.style.css` و`new.main.all.style.css`.
٢) افحص ترتيبَ التحميلِ في `inheader.php`: الرموزُ تُحمَّل قبل الأوراقِ الكبيرة.
٣) غيِّر قيمةَ رمزٍ في `design-tokens.css` ولاحظ عدمَ انعكاسِها في مواضعَ كثيرة.</t>
  </si>
  <si>
    <t xml:space="preserve">احذف الورقةَ القديمةَ (`ems.main.all.style.css` أو `new.main.all.style.css` بعد المقارنة)، واجعل `design-tokens.css` آخرَ ما يُحمَّل من طبقةِ الرموزِ وأولَ ما تعتمده الأوراقُ الأخرى، وأزِل كتلةَ `:root` من `admin/includes/layout_head.php` واستورِد الرموزَ الموحَّدة؛ ووثِّق ترتيبَ الأسبقيةِ في رأسِ `inheader.php`.</t>
  </si>
  <si>
    <t xml:space="preserve">ورقةُ أنماطٍ رئيسةٌ واحدةٌ في المنتج، ومجموعةُ رموزٍ واحدةٌ؛ وتغييرُ رمزٍ لونيٍّ واحدٍ ينعكس في القشرةِ ولوحةِ الإدارةِ العليا معًا.</t>
  </si>
  <si>
    <t xml:space="preserve">تعدُّدُ مجموعات الرموز صحيحٌ في الجملة، لكنَّ التفصيلَ مبالَغٌ فيه: new.main.all.style.css غيرُ محمَّلٍ في أيِّ ملفِّ PHP (شيفرةٌ ميتة)، وbrand-identity.css وكتلةُ :root الإداريةُ محصورتان في قشرة admin/ لا في قشرة المنتج.</t>
  </si>
  <si>
    <t xml:space="preserve">INJ-0502</t>
  </si>
  <si>
    <t xml:space="preserve">٥-١ بواباتُ التسليمِ الخمس · «لا تُقفز — وتتوقف صادقةً حيث تتوقف»</t>
  </si>
  <si>
    <t xml:space="preserve">بوابة u13 — الفحص ⑨-٠٤</t>
  </si>
  <si>
    <t xml:space="preserve">نصُّ الفحصِ نفسِه: «وكلُّ شاشةٍ في قائمةِ دورِها — فالمبنيُّ الذي لا يُبلَغ كالمعدوم» — أي أنَّ الفحصَ يُثبت **بلوغَ** الشاشةِ من القائمةِ لا مجرَّدَ وجودِ صفٍّ في جدول.</t>
  </si>
  <si>
    <t xml:space="preserve">الفحصُ ⑨-٠٤ يقيس وجودَ صفِّ تنقُّلٍ لا بلوغَه من القائمة — ضعفُ صياغةِ فحصٍ في أداةِ بوابة، لا شهادةُ زورٍ على واقعٍ راسب. — [مُصحَّح بعد التحقق] الصياغة الأولى: الفحصُ يقيس شرطًا لا علاقةَ له بالتصيير: `SELECT COUNT(*) FROM nav_items WHERE route='../&lt;rel&gt;' AND active=1` (`tools/u13_gate.php:1172-1173`). فصفوفُ الدور 33 الستةَ عشرَ تحمل `route` مسبوقًا بـ`'../</t>
  </si>
  <si>
    <t xml:space="preserve">بوابةُ القبولِ تشهد بأنَّ الشاشاتِ في قوائمِ أدوارها وهي ليست — دليلُ تسليمٍ كاذب. وهذا مثالٌ مباشرٌ لـMD-04 («بوابةُ القبولِ تقيس وجودَ الرموزِ لا التزامَ الشاشات») ويُبطل الثقةَ في كلِّ نتائجِ البوابة.</t>
  </si>
  <si>
    <t xml:space="preserve">كُتب الفحصُ على شكلِ البياناتِ (وجودُ صفٍّ بمسار) لا على سلوكِ المصيِّرِ (هل يُطبع الرابطُ فعلًا لهذا الدور؟).</t>
  </si>
  <si>
    <t xml:space="preserve">tools/u13_gate.php:1168-1176; :1185-1209</t>
  </si>
  <si>
    <t xml:space="preserve">١) شغِّل `php tools/u13_gate.php`: الفحصُ ⑨-٠٤ يمرُّ أخضرَ بعددِ الشاشات.
٢) ادخل بحساب دور 33 في المتصفح: لا رابطَ في السايدبار.
٣) قارِن `door` في الصفوفِ بمفاتيحِ `unifiedNavDoors()`.</t>
  </si>
  <si>
    <t xml:space="preserve">أعِد كتابةَ الفحصِ ⑨-٠٤ في `tools/u13_gate.php:1168-1176` ليُنادي `getUnifiedNavItems($db, $role)` فعليًّا ويتحقق من وجودِ `route` الشاشةِ ضمن المُعاد، ومن أنَّ `door` من الثمانيةِ أو `stage_no` غيرُ فارغ، ومن أنَّ `route` لا يبدأ بـ`../`.</t>
  </si>
  <si>
    <t xml:space="preserve">أدخِل صفَّ `nav_items` ببابٍ وهميٍّ لشاشةٍ في البيان: يجب أن يرسب الفحصُ ⑨-٠٤؛ وبعد التصحيحِ يمرّ.</t>
  </si>
  <si>
    <t xml:space="preserve">نصُّ الفحص كما وُصف: tools/u13_gate.php:1170-1174 يعدّ صفَّ nav_items بـroute='../&lt;rel&gt;' وactive=1 وهو دليلُ وجودٍ لا دليلُ بلوغ؛ لكنّ البوابةَ ليست عمياء — ⑨-06/⑨-07 (سطر 1185-1209) تُصيّر كلَّ شاشةٍ حيًّا بـtools/u13_render_one.php وتتحقق من رفضها لدورٍ غيرِ مالك، والنتيجةُ المزعومةُ («شهادةٌ كاذبةٌ لشاشاتٍ لا تُطبع») تسقط بسقوط الملاحظة 637.</t>
  </si>
  <si>
    <t xml:space="preserve">INJ-0503</t>
  </si>
  <si>
    <t xml:space="preserve">عطالة المستهلك (ProcessedOperations)</t>
  </si>
  <si>
    <t xml:space="preserve">«كلُّ فعلٍ ذي أثرٍ يحمل مفتاحًا مركَّبًا لا يتكرر. وإعادةُ النداء ترجع مرجعَ الأثر الأول ولا تولّد ثانيًا» — ويلزم **كلَّ الإدارات**.</t>
  </si>
  <si>
    <t xml:space="preserve">الصنفُ `App\Core\ProcessedOperations` مبنيٌّ كاملًا بدالتَي `claim()` و`isProcessed()` وبجدولِ `processed_operations` المسجَّلِ في `app/Core/TenantRegistry.php:590`، لكنَّ **مستهلكيه صفر** في كودِ الإنتاج: بحثٌ شاملٌ يُرجع تعريفَ الصنفِ وتعليقَ الاستعمالِ في رأسِه واختبارًا واحدًا (`tests/n06_transaction_bounds_test.php`). وكذلك جدولُ `ems_processed_events` (`database/schema/schema.sql:2555`) لا يُكتب من أيِّ سطرٍ في الإنتاج — يُقرأ عدَّادُه فقط في `admin/bus_monitor.php:49`.</t>
  </si>
  <si>
    <t xml:space="preserve">لا حمايةَ من ازدواجِ الأثرِ عند إعادةِ المحاولةِ أو النافذةِ الثانيةِ أو المزامنةِ المتأخرة — وهو ما تحذّر منه الوثيقةُ نصًّا للبيئاتِ الميدانيةِ ضعيفةِ الاتصال. ويعني عمليًّا احتمالَ قيدين ماليين أو مهمتين أو إشارتين من فعلٍ واحد.</t>
  </si>
  <si>
    <t xml:space="preserve">بُنيت الطبقةُ (N-06 ركن ③) ولم تُطبَّق على أيِّ مستهلكٍ فعليّ — L1 بلا L3 على سلّمِ الإغلاقِ الرباعي.</t>
  </si>
  <si>
    <t xml:space="preserve">app/Core/ProcessedOperations.php:3; app/Core/EventPublisher.php:616; admin/bus_monitor.php:164</t>
  </si>
  <si>
    <t xml:space="preserve">١) `grep -rn 'ProcessedOperations' /tmp/ems --include=*.php | grep -v '^/tmp/ems/tests' | grep -v '^/tmp/ems/app/Core/ProcessedOperations.php'` → لا نتائج.
٢) `grep -rn 'ems_processed_events' /tmp/ems --include=*.php` → قراءةُ عدَّادٍ في `admin/bus_monitor.php` فقط.
٣) أرسل الطلبَ نفسَه مرتين لأيِّ فعلٍ ذي أثرٍ مالي: لا مفتاحَ عطالةٍ يمنع الثاني.</t>
  </si>
  <si>
    <t xml:space="preserve">أدخِل `ProcessedOperations::claim()` في كلِّ مستهلكِ حدثٍ ذي أثرٍ (بدءًا بـ`app/Services/Finance/RoutingConsumer.php` و`app/Services/Work/RequestService` و`app/Services/Risk/RiskService::createSignal`) بمفتاحٍ (المستهلك × المستند × نوعُ الأثر)، واكتب `ems_processed_events` في الموزّع؛ وأضِف فحصًا في بوابةِ القبولِ يرسب على مستهلكٍ بلا `claim`.</t>
  </si>
  <si>
    <t xml:space="preserve">إرسالُ الطلبِ نفسِه مرتين بالتوازي بمفتاحِ عطالةٍ واحد يُنتج صفًّا واحدًا في القاعدةِ ويعيد الاستجابةُ الثانيةُ مرجعَ الأول.</t>
  </si>
  <si>
    <t xml:space="preserve">الواقعةُ صحيحة (`ProcessedOperations` بلا مستهلكٍ إنتاجيٍّ و`ems_processed_events` لا يُكتب)، لكن استنتاجَ خرقِ AR-04 مردود: العطالةُ مضمونةٌ فعلًا بـ`idempotency_key` في EventPublisher (تكرارٌ ⇒ duplicate=true) وبمؤشّرِ المستهلك وجدولِ التسليمات — و`ems_processed_events` موصوفٌ في الشاشة نفسِها بأنه «عطالةٌ موزّعةٌ احتياطية تُفعَّل عند تعدّد الموزّعات».</t>
  </si>
  <si>
    <t xml:space="preserve">INJ-0504</t>
  </si>
  <si>
    <t xml:space="preserve">١٠-٣ الحكم · العيوبُ المقياسيةُ الأربعة — MD-01</t>
  </si>
  <si>
    <t xml:space="preserve">عيبٌ مقياسيٌّ حرج — مقامُ التبنّي يستبعد ٦١ شاشةً حية</t>
  </si>
  <si>
    <t xml:space="preserve">«MD-01 | مقامُ التبنّي يستبعد إحدى وستين شاشةً حية | حرجة … والعيوبُ المقياسيةُ الأربعةُ أخطرُ من غيرها لأنها تُفسد قياسَ الباقي».</t>
  </si>
  <si>
    <t xml:space="preserve">اختلافُ تعريفِ «الشاشة» بين ثلاثةِ جرودٍ حية — عيبُ قياسٍ في التقرير لا خللٌ في المنتج. — [مُصحَّح بعد التحقق] الصياغة الأولى: المقامُ المستعملُ في قياسِ التبنّي ٣٤٦ شاشةً (عددُ ملفاتِ PHP التي تضمّن `inheader.php`)، بينما الجردَ الحيَّ يُظهر ٣٥٧ ملفًّا يضمّن `inheader.php` و٣٧٢ ملفًّا يضمّن `insidebar.php` و٣٧٣ ملفًّا ينادي </t>
  </si>
  <si>
    <t xml:space="preserve">كلُّ نسبةِ تبنٍّ مُعلَنةٍ (G5-B ٣٫٨٪، حالةُ الفراغ ٢٫٩٪) محسوبةٌ على مقامٍ ناقص — فلا يمكن الوثوقُ بأيِّ رقمِ تقدُّمٍ في الحزمة.</t>
  </si>
  <si>
    <t xml:space="preserve">(جردٌ حي) inheader=357 · insidebar=372 · ems_shell_axes=373 · modules=387</t>
  </si>
  <si>
    <t xml:space="preserve">١) افتح سجلَّ العيوبِ والقراراتِ في وثيقةِ التنفيذِ وتحقَّق من حالةِ MD-01: مفتوح.
٢) ابحث في النظامِ عن أثرِ إغلاقِه بالأدلةِ المذكورةِ في حقل Evidence: غيرُ موجود.
٣) قارِن بالحكمِ: «لا يُعلَن الإطلاقُ ولا يُقال إن الحزمةَ مكتملةٌ قبل إغلاق كلِّ عيبٍ حاجب».</t>
  </si>
  <si>
    <t xml:space="preserve">وحِّد تعريفَ «الشاشة» في مصدرٍ واحد (`modules` النشطة) واحسب كلَّ نسبِ التبنّي عليه؛ وانشر جردًا آليًّا (`tools/`) يطبع المقامَ ومكوّناتِه في كلِّ إصدار، ويرسب إن اختلف عن عددِ صفوفِ `modules` النشطة.</t>
  </si>
  <si>
    <t xml:space="preserve">سجلُّ حواجزِ الإصدارِ يُظهر MD-01 بحالةِ «مغلق» مع دليلٍ ملفًّا وسطرًا واختبارٍ آليٍّ يمنع عودتَه (المستوى L4).</t>
  </si>
  <si>
    <t xml:space="preserve">أعدتُ الجردَ فطابق الأرقامَ المدَّعاة: 357 ملفًّا يضمّن inheader.php و372 يضمّن insidebar.php و373 ينادي ems_shell_axes و387 صفًّا في modules. لكن هذا عيبٌ في مقياس التقرير نفسِه لا في النظام: لا أثرَ على مستخدمٍ ولا على بيانٍ ولا على سلسلة، والرقمُ 346 المدَّعى مقامًا لا يُوجد في الشيفرة ليُفحص.</t>
  </si>
  <si>
    <t xml:space="preserve">INJ-0505</t>
  </si>
  <si>
    <t xml:space="preserve">٤-٢ العيوبُ الحاجبة · ملاحظةُ تدقيق — تعارضٌ في العدد</t>
  </si>
  <si>
    <t xml:space="preserve">سجل العيوب الحاجبة</t>
  </si>
  <si>
    <t xml:space="preserve">«◆ ملاحظةُ تدقيق — تعارضٌ في العدد: الملخصُ التنفيذيُّ وعنوانُ §٨-١ يقولان **ستة** (والجدولُ ستةُ صفوف)، بينما §٧ يقول «العيوبِ الحاجبةِ **السبعة**» و§١٠-٣ يقول «**سبعةَ** عيوبٍ حاجبة». الفرقُ غيرُ محسومٍ في نصِّ الوثيقة.»</t>
  </si>
  <si>
    <t xml:space="preserve">الوثيقةُ نفسُها تعلن التعارضَ ولا تحسمه، ولا يوجد في النظامِ سجلٌّ حيٌّ للعيوبِ الحاجبةِ يمكن عدُّه (لا جدولَ ولا شاشةَ في `Governance/`) — فلا يمكن معرفةُ العددِ الصحيحِ ولا التحقُّقُ من إغلاقِها.</t>
  </si>
  <si>
    <t xml:space="preserve">عددُ الحواجزِ غيرُ محسوم: قد يُوقَّع الإطلاقُ بإغلاقِ ستةٍ بينما الحاجزُ السابعُ مفتوح — والحكمُ صريحٌ أنَّ الإعلانَ خلافَ ذلك «مخالفةٌ حاكمة».</t>
  </si>
  <si>
    <t xml:space="preserve">سجلُّ الحواجزِ نصٌّ في الوثيقةِ بأقسامٍ متعارضةٍ بلا مصدرِ حقيقةٍ واحد.</t>
  </si>
  <si>
    <t xml:space="preserve">Portal/release_stamp.php:32; :50; tools/release_gate.php:1</t>
  </si>
  <si>
    <t xml:space="preserve">١) قارِن §٤-٢ (ستةُ صفوف) بـ§٧ و§١٠-٣ (سبعة) في وثيقةِ التنفيذ.
٢) ابحث عن سجلٍّ حيٍّ في النظامِ يعدُّها: لا يوجد.</t>
  </si>
  <si>
    <t xml:space="preserve">احسِم العددَ بقرارٍ مرقَّمٍ من مالكِ الحزمة، وأنشئ جدولَ `release_blockers` وشاشةَ `Governance/release_blockers.php` مصدرًا وحيدًا يُقرأ منه العددُ والحالة، واربِط `tools/release_gate.php` به.</t>
  </si>
  <si>
    <t xml:space="preserve">عددُ العيوبِ الحاجبةِ واحدٌ في الوثيقةِ وفي السجلِّ الحيِّ وفي تقريرِ البوابة؛ وبوابةُ الإصدارِ ترسب ما دام حاجزٌ مفتوحًا.</t>
  </si>
  <si>
    <t xml:space="preserve">التعارضُ منصوصٌ في الوثيقة نفسِها (ستةٌ في الملخص و§٨-١ مقابل سبعةٍ في §٧ و§١٠-٣) ولا جدولَ ولا شاشةَ للعيوب الحاجبة في المستودع تُقرأ منها الحالةُ — فالبندُ غيرُ قابلٍ للاختبار كما صُنِّف.</t>
  </si>
  <si>
    <t xml:space="preserve">INJ-0506</t>
  </si>
  <si>
    <t xml:space="preserve">▐ ٢-٢ الحكمُ الرابع · «كلُّ منعٍ يُنفَّذ في الخادمِ قبل الحفظ»</t>
  </si>
  <si>
    <t xml:space="preserve">الأدوار وقوالب صلاحياتها / صلاحيات الأدوار</t>
  </si>
  <si>
    <t xml:space="preserve">شاشاتُ الأدوار وقوالبِ الصلاحيات من أخطر شاشات النظام، وحارسُها يجب أن يمنع قبل الحفظ لا أن يمرَّ عند الجهل.</t>
  </si>
  <si>
    <t xml:space="preserve">الحارسان يمرّان عند تعذُّر حلِّ الموديول (fail-open)، وهذا لا يقع بالبذرة الحالية لأن الصفَّين قائمان والمطابقةُ تشمل اسمَ الملف. — [مُصحَّح بعد التحقق] الصياغة الأولى: الحارسان في Settings/roles.php وSettings/role_permissions.php مشروطان بوجود الموديول: `if ($perms['id'] !== null &amp;&amp; !$perms['can_view'])` و`if (REQUEST_METHOD==='POST' &amp;&amp; $perms['id'] !== null &amp;&amp; !$pe</t>
  </si>
  <si>
    <t xml:space="preserve">بابُ تصعيدِ امتيازٍ يُفتح بحذفِ صفٍّ واحدٍ من جدول modules — وهو صفٌّ يمكن حذفُه من Settings/modules.php نفسها. حسابُ مبيعاتٍ يمنح نفسَه دورَ إدارة الصلاحيات.</t>
  </si>
  <si>
    <t xml:space="preserve">الحارسُ كُتب متسامحًا مع الشاشات غير المسجَّلة اتّباعًا لسلوك الطبقة المركزية بدل أن يكون fail-closed كما في includes/governance_guard.php.</t>
  </si>
  <si>
    <t xml:space="preserve">Settings/roles.php:18; :23; Settings/role_permissions.php:21; :25; includes/permissions_helper.php:584-604; database/schema/seed_reference.sql (modules: Settings/roles.php · Settings/role_permissions.php)</t>
  </si>
  <si>
    <t xml:space="preserve">١) بدور 1 افتح Settings/modules.php واحذف (أو غيّر code) صفَّ الموديول الخاص بـSettings/role_permissions.php. ٢) ادخل بحسابٍ بدورٍ عادي. ٣) افتح http://localhost/ems/Settings/role_permissions.php ⇐ تُفتح ويمكن الحفظ.</t>
  </si>
  <si>
    <t xml:space="preserve">استبدالُ الشرطين في Settings/roles.php:18,23 وSettings/role_permissions.php:22,26 بنداء ems_require_governance_screen($conn) الموجود في includes/governance_guard.php (وهو fail-closed بالبناء: id===null ⇒ حجبٌ مسجَّل)، بعد حصر أرضيته في الدور 15.</t>
  </si>
  <si>
    <t xml:space="preserve">حذفُ صفِّ الموديول لا يفتح الشاشتين: كلتاهما تُعيدان 403 برسالة «الشاشة غير مسجَّلة في سجل الوحدات» وتكتبان صفَّ رفض.</t>
  </si>
  <si>
    <t xml:space="preserve">الشرطان في Settings/roles.php:18,23 وrole_permissions.php:21,25 مقروءان كما وُصفا (fail-open عند id===null)، لكنَّ الشاشتين مسجَّلتان فعلًا في بذرة modules، وget_module_id_by_script_path يطابق بالمسار التامِّ **وباسم الملف وبذيله** فلا يسقط الحلُّ بتغيير مسار — فالسيناريو يقتضي حذفَ صفِّ الموديول يدويًّا؛ عيبُ تصلُّبٍ (fail-open) رخيصُ الإصلاح لا ثغرةٌ نافذة.</t>
  </si>
  <si>
    <t xml:space="preserve">INJ-0507</t>
  </si>
  <si>
    <t xml:space="preserve">سجل أنواع المستندات</t>
  </si>
  <si>
    <t xml:space="preserve">http://localhost/ems/Governance/doc_types.php</t>
  </si>
  <si>
    <t xml:space="preserve">سابعًا: بنية المستندات</t>
  </si>
  <si>
    <t xml:space="preserve">فعلُ dt.define يعرّف نوعَ مستندٍ بمدة حفظه النظامية وحالاته — «ومدةُ الحفظ النظاميةُ تُفرض» (SCN-912-ب).</t>
  </si>
  <si>
    <t xml:space="preserve">للشاشة حارسُ صلاحيةٍ فعليٌّ على POST (السطر 41) — الفجوةُ في العقد لا في الحارس. — [مُصحَّح بعد التحقق] الصياغة الأولى: الشاشة نموذجُ CMP-03 عامّ: نموذجُ إضافةٍ حقولُه كلُّها نصٌّ حرّ (input type=text) يُحفظ صفًّا واحدًا في جدولِ عرضٍ عبر cmp03_store_insert، وجدولُ عرضٍ بخلايا نصٍّ بلا عمود إجراءات. لا تعديلَ ولا حذفَ </t>
  </si>
  <si>
    <t xml:space="preserve">أنواعُ المستندات تُسجَّل نصًّا ولا تُفرض: لا مدةَ حفظٍ تُطبَّق ولا نوعَ مستندٍ يُقيّد سلوكَ أيِّ شاشة. المرحلةُ السابعة «بنية المستندات» شكليةٌ كاملةً.</t>
  </si>
  <si>
    <t xml:space="preserve">Governance/doc_types.php:84-93; includes/cmp03_registry.php:480-482; includes/cmp03_local_store.php:31; :73</t>
  </si>
  <si>
    <t xml:space="preserve">إنشاءُ جدولِ doc_types حقيقيٍّ بمفتاحٍ ومدةِ حفظٍ وحالات، وربطُ الشاشة به، ثم استهلاكُه في وظيفةِ أرشفةٍ دوريةٍ تفرض مدةَ الحفظ.</t>
  </si>
  <si>
    <t xml:space="preserve">الشاشةُ تكتب صفًّا في scr_doc_types عبر cmp03_store_insert بحقولٍ نصيةٍ حرة، بلا تعديلٍ أو حذفٍ أو اعتمادٍ أو حدثٍ أو تدقيق، ولا مستهلكَ للجدول في المستودع — فمدةُ الحفظ النظاميةُ غيرُ مفروضة.</t>
  </si>
  <si>
    <t xml:space="preserve">INJ-0508</t>
  </si>
  <si>
    <t xml:space="preserve">حالات المستندات وانتقالاتها</t>
  </si>
  <si>
    <t xml:space="preserve">http://localhost/ems/Governance/state_machines.php</t>
  </si>
  <si>
    <t xml:space="preserve">فعلُ sm.define يعرّف آلةَ حالةٍ للمستند فتُلزَم كلُّ الشاشات بانتقالاتها المعرَّفة، ولا يقع انتقالٌ خارجها.</t>
  </si>
  <si>
    <t xml:space="preserve">الشاشةُ **محروسة**: `check_page_permissions` في :33 وفحصُ can_add/can_edit قبل الكتابة في :41 — والنقصُ في المضمون لا في الحارس. — [مُصحَّح بعد التحقق] الصياغة الأولى: الشاشة نموذجُ CMP-03 عامّ: نموذجُ إضافةٍ حقولُه كلُّها نصٌّ حرّ (input type=text) يُحفظ صفًّا واحدًا في جدولِ عرضٍ عبر cmp03_store_insert، وجدولُ عرضٍ بخلايا نصٍّ بلا عمود إجراءات. لا تعديلَ ولا حذفَ </t>
  </si>
  <si>
    <t xml:space="preserve">آلاتُ الحالة تُوصف نصًّا ولا تُلزم شيئًا: كلُّ شاشةٍ في النظام تُعرّف حالاتِها وانتقالاتِها في كودها (Maintenance/orders.php:46 · Tickets/tkt_helpers.php:557 …) بلا مرجعٍ مركزي. فتتعدد آلاتُ الحالة بلا حوكمة.</t>
  </si>
  <si>
    <t xml:space="preserve">Governance/state_machines.php:33-41; :84-93; includes/cmp03_local_store.php:31-60</t>
  </si>
  <si>
    <t xml:space="preserve">جعلُ Governance/state_machines.php مصدرَ الحقيقة في جدولٍ حقيقيٍّ (doc_state_machines + transitions)، وقراءتُه من طبقةٍ مشتركةٍ تُستدعى قبل كل انتقالِ حالةٍ في الشاشات بدل المصفوفات المرمَّزة.</t>
  </si>
  <si>
    <t xml:space="preserve">الشاشةُ فعلًا نموذجُ CMP-03 عامٌّ يحفظ صفًّا نصيًّا في مخزنٍ مولَّدٍ بلا تعديلٍ ولا اعتمادٍ ولا حدثٍ ولا تدقيق، ولا يقرأ منها حارس؛ لكنها وضعٌ بينيٌّ موثَّقٌ في سجل اللحاق.</t>
  </si>
  <si>
    <t xml:space="preserve">INJ-0509</t>
  </si>
  <si>
    <t xml:space="preserve">§١٤-٤ شاشاتُها وأفعالُها (ticket_open.php — عارضوها 15 إدارة) · TKT-01 §2-⑧</t>
  </si>
  <si>
    <t xml:space="preserve">أبلغ عن مشكلة من هذه الشاشة</t>
  </si>
  <si>
    <t xml:space="preserve">http://localhost/ems/Tickets/ticket_contextual_open.php</t>
  </si>
  <si>
    <t xml:space="preserve">«أبلغ عن مشكلة من هذه الشاشة» (ticket_open.php) شاشةٌ بـ٢٦ عمودًا يعرضها خمس عشرة إدارة — أي أن منفذَ فتح البلاغ من داخل أيِّ شاشةٍ حكمٌ عامّ، «ولا يُدخل المستخدمُ حرفًا مما يعرفه النظام».</t>
  </si>
  <si>
    <t xml:space="preserve">الميزةُ منفَّذةٌ فعلًا وأُثبت ذلك بالفحص: زرٌّ عامٌّ في الرأس الموحَّد يظهر في ٣٦٦ شاشةً تُضمّن includes/page_header.php ويحمل ctx_screen، وزرٌّ احتياطيٌّ عائمٌ مسجَّلٌ بـregister_shutdown_function في insidebar.php:30 لكل شاشةٍ لم تُصيّر زرًّا، ونقطةُ استقبالٍ Tickets/ticket_contextual_open.php تحمل السياقَ للقراءة وتنشئ البلاغَ عبر TicketRouter. لكن الزرَّ الغنيَّ بالسياق (ems_report_button الذي يحمل site_id وequipment_id وcontract_id وshift_no) مستدعًى في سبع شاشاتٍ فقط في النظام كلِّه: Contracts/claims.php · Approvals/hours_approval.php · movement/movement_operations.php · Oprators/oprators.php · Procurement/stock_proc.php · Maintenance/orders.php · Transport/transfer_requests.php.</t>
  </si>
  <si>
    <t xml:space="preserve">٣٥٩ شاشةً ترسل اسمَ الشاشة وحدَه؛ فالبلاغُ يصل بلا معدةٍ ولا موقعٍ ولا عقد. ولأن TicketRouter يرفض ٤٢٢ أيَّ بلاغٍ من شاشةٍ تشغيليةٍ بلا site_id أو equipment_id، فإن المستخدمَ في شاشةٍ تشغيليةٍ غيرِ مغطّاةٍ بالزر الغني يُمنع من فتح بلاغٍ أصلًا أو يفتحه بسياقٍ ناقصٍ يعطّل التوجيهَ الآليَّ ورفعَ الأولوية للمقعد التعاقدي.</t>
  </si>
  <si>
    <t xml:space="preserve">الزرُّ الغنيُّ يحتاج نداءً يدويًّا في كل شاشةٍ بمتغيراتها، ولا فاحصَ يفرض وجودَه في الشاشات التشغيلية؛ فاكتُفي بالزر العام في الرأس.</t>
  </si>
  <si>
    <t xml:space="preserve">includes/report_button.php:16; includes/page_header.php:159-166; insidebar.php:27-31; Maintenance/orders.php:537</t>
  </si>
  <si>
    <t xml:space="preserve">١) افتح Timesheet/timesheet.php (شاشةٌ تشغيليةٌ محورية). ٢) اضغط زرَّ البوق في الرأس. ٣) في شاشة البلاغ لا يظهر إلا ctx_screen ⇐ لا معدةَ ولا موقع. ٤) اختر نوعًا واحفظ ⇐ إن كان اسمُ الشاشة ضمن القائمة التشغيلية يُرفض ٤٢٢ «سياق ناقص».</t>
  </si>
  <si>
    <t xml:space="preserve">استدعاءُ ems_report_button بسياقٍ كاملٍ في كل شاشةٍ تشغيلية — أولويةً: Timesheet/timesheet.php · Timesheet/view_timesheet.php · Operations/shift_log.php · Operations/attendance.php · Equipments/equipments.php · Fleet/readiness_board.php — وإضافةُ فاحصٍ في tools/ يفشل إن وُجدت شاشةٌ ضمن قائمة الشاشات التشغيلية في TicketRouter:63 لا تستدعي ems_report_button.</t>
  </si>
  <si>
    <t xml:space="preserve">فتحُ بلاغٍ من أيِّ شاشةٍ تشغيليةٍ يحمل site_id وequipment_id تلقائيًّا ويظهران في بطاقة السياق للقراءة، ولا يُرفض أيُّ بلاغٍ برمز ٤٢٢ «سياق ناقص».</t>
  </si>
  <si>
    <t xml:space="preserve">ems_report_button مستدعًى في سبع شاشاتٍ إنتاجيةٍ فقط (والثامنة اختبار)، بينما الزرُّ العامُّ بلا سياقٍ غنيٍّ يُبثُّ من page_header.php:159-166 والاحتياطيُّ من insidebar — والبندُ نفسُه يقرّ بأن الميزةَ الأساسَ منفَّذة.</t>
  </si>
  <si>
    <t xml:space="preserve">INJ-0510</t>
  </si>
  <si>
    <t xml:space="preserve">§١٤-٣ المرحلة ١ (أولًا: الاستقبال — بلاغ جديد · 2 شاشة)</t>
  </si>
  <si>
    <t xml:space="preserve">بلاغات إدارتي</t>
  </si>
  <si>
    <t xml:space="preserve">http://localhost/ems/Tickets/dept_inbox.php</t>
  </si>
  <si>
    <t xml:space="preserve">غير موجود في سايدبار الدور 24</t>
  </si>
  <si>
    <t xml:space="preserve">«بلاغات إدارتي» (tickets_dept.php) شاشةٌ يعرضها أربعَ عشرةَ إدارة، ومركزُ البلاغات مالكُها؛ وهو «مركزٌ رقابيٌّ وخدميٌّ عابرٌ للإدارات لا إدارةٌ مركزيةٌ كالمالية — يخدم الكلَّ ولا يخصُّ واحدةً».</t>
  </si>
  <si>
    <t xml:space="preserve">غيابُ check_page_permissions لا يعني انفتاحَ العرض — insidebar.php:12-13 يفرضه. — [مُصحَّح بعد التحقق] الصياغة الأولى: الشاشةُ موجودةٌ ومربوطةٌ بسبعةٍ وعشرين دورًا في سايدباراتهم — إلا الدورَ 24 (إدارة البلاغات) نفسَه: ليس له صفُّ nav_items لهذه الشاشة. وهي بلا نداءِ check_page_permissions (حارسُها الجلسةُ وcompany_id</t>
  </si>
  <si>
    <t xml:space="preserve">مديرُ البلاغات وحدَه لا يرى «بلاغات إدارتي» — وإن كان يرى الكلَّ من قائمة المركز، فإن غيابَ العنصر يكسر اتساقَ التجربة بين الأدوار ويمنعه من رؤية بلاغاتِ وحدته هو بوصفه إدارةً لها بلاغاتُها.</t>
  </si>
  <si>
    <t xml:space="preserve">توليدُ nav_items استثنى الدورَ المالك من الشاشة العابرة على افتراض أن قائمةَ المركز تغني عنها.</t>
  </si>
  <si>
    <t xml:space="preserve">Tickets/dept_inbox.php:17; :19; :24; database/schema/seed_reference.sql (صفوف nav_items بمسار Tickets/dept_inbox.php لسبعةٍ وعشرين دورًا دون الدور 24)</t>
  </si>
  <si>
    <t xml:space="preserve">١) ادخل بدور 13 ⇐ «بلاغات إدارتي» ظاهرة. ٢) ادخل بدور 24 ⇐ غير موجودة في أيٍّ من مجموعاته العشر.</t>
  </si>
  <si>
    <t xml:space="preserve">إضافةُ صفِّ nav_items للدور 24 بمسار Tickets/dept_inbox.php في مجموعة «متابعة وتقارير المركز»، وإضافةُ check_page_permissions إلى رأس Tickets/dept_inbox.php ليُحكَم عرضُها كبقية الشاشات.</t>
  </si>
  <si>
    <t xml:space="preserve">الدور 24 يرى «بلاغات إدارتي» في سايدباره وتعرض بلاغاتِ وحدته هو؛ ودورٌ بلا منحةٍ يُرفض 403.</t>
  </si>
  <si>
    <t xml:space="preserve">عدُّ الصفوف النشطةِ لمسار Tickets/dept_inbox.php يعطي 27 دورًا ليس فيها الدور 24 — مطابقٌ للادعاء حرفيًّا. ملاحظةٌ: العرضُ محروسٌ مركزيًّا لأن الشاشةَ مسجَّلةٌ في modules (307) وinsidebar يفرض can_view.</t>
  </si>
  <si>
    <t xml:space="preserve">INJ-0511</t>
  </si>
  <si>
    <t xml:space="preserve">§١٤-٣ المرحلة ٩ (مخاطرُ الإدارة) · §١٤-٤ (risk_dept_crp.php)</t>
  </si>
  <si>
    <t xml:space="preserve">مخاطر البلاغات والوقائع</t>
  </si>
  <si>
    <t xml:space="preserve">المرحلةُ التاسعة «مخاطرُ الإدارة» مستندُها «سجلُّ مخاطرٍ مقروءٌ ودليلُ ضوابط»، وشاشتُها risk_dept_crp.php باثنين وعشرين عمودًا وثلاثة أفعال؛ و«مساحةُ المخاطرِ الموحَّدة: عنصرٌ واحدٌ في سايدبار كلِّ إدارةٍ بعنوانٍ خاصٍّ بها».</t>
  </si>
  <si>
    <t xml:space="preserve">الرابطُ موجودٌ لكنه في المجموعة الأخيرة عنوانُها «خارج الوثيقة — بانتظار قرار المالك» (stage_no=99) وبعنوانٍ عامٍّ «مساحة مخاطر الإدارة» لا بعنوانٍ خاصٍّ بالمركز؛ ومعه في المجموعة نفسِها رابطٌ ثانٍ «مخاطرُ الميدان» (Risk/risk_field.php) ورابطُ إعداداتِ المهل.</t>
  </si>
  <si>
    <t xml:space="preserve">مرحلةٌ معلنةٌ في دورة عمل الإدارة تُعرض تحت عنوانٍ يقول للمستخدم صراحةً إنها «خارج الوثيقة» — رسالةٌ متناقضةٌ تُضعف الثقةَ بالقائمة كلِّها، وتخالف نصَّ «عنصرٌ واحدٌ … بعنوانٍ خاصٍّ بها».</t>
  </si>
  <si>
    <t xml:space="preserve">المكوّنُ الموحَّد للمخاطر أُلحق بمجموعةِ الاحتياط في خمس عشرة إدارةً بدل إدراجه في مرحلته المعلنة بعنوانٍ مخصَّص.</t>
  </si>
  <si>
    <t xml:space="preserve">Risk/dept_risk_space.php:22; includes/unified_nav.php:207; :208; includes/nav_icon_map.php:391; database/schema/seed_reference.sql (nav_items role_id=24 stage_no=99 route='Risk/dept_risk_space.php')</t>
  </si>
  <si>
    <t xml:space="preserve">١) ادخل بدور 24. ٢) افتح المجموعة الأخيرة ⇐ عنوانُها «خارج الوثيقة — بانتظار قرار المالك» وفيها «مساحة مخاطر الإدارة».</t>
  </si>
  <si>
    <t xml:space="preserve">إنشاءُ مجموعةٍ بـstage_no=9 وstage_title «مخاطر مركز البلاغات» للدور 24 ونقلُ صفِّ Risk/dept_risk_space.php إليها بعنوان «مخاطر البلاغات والوقائع»، وتمريرُ نطاق الوحدة إلى الشاشة بمعاملٍ ثابت — ونفسُ المعالجة للإدارات الخمس عشرة الأخرى.</t>
  </si>
  <si>
    <t xml:space="preserve">سايدبارُ الدور 24 يعرض مجموعةً باسم «مخاطر مركز البلاغات» فيها عنصرٌ واحدٌ بعنوانٍ خاصٍّ بالمركز، ولا تبقى مجموعةٌ باسم «خارج الوثيقة».</t>
  </si>
  <si>
    <t xml:space="preserve">صفّا المخاطر للدور 24 في مجموعة stage_no=99 «خارج الوثيقة» بعنوانٍ عامٍّ ومعهما «مخاطر الميدان» — مخالفةُ تصنيفٍ وتسميةٍ في التنقل بلا حجبٍ ولا خطأِ بيانات.</t>
  </si>
  <si>
    <t xml:space="preserve">INJ-0512</t>
  </si>
  <si>
    <t xml:space="preserve">§٤-٥ · UXR-0082 (UI-DEF-05 تكرارُ عناصرَ في السايدبار) · schema uq_nav_role_route</t>
  </si>
  <si>
    <t xml:space="preserve">البلاغات المتكررة / البلاغات الدورية المولَّدة</t>
  </si>
  <si>
    <t xml:space="preserve">http://localhost/ems/Tickets/ticket_recurrence.php</t>
  </si>
  <si>
    <t xml:space="preserve">رابعًا: المتابعة والتصعيد · سادسًا: القوالب الدورية</t>
  </si>
  <si>
    <t xml:space="preserve">«صفرُ عنصرٍ مكرر»؛ ولكلِّ شاشةٍ في الوثيقة ملفٌّ فريدٌ له غرضٌ ومالكٌ وأعمدةٌ وأفعال — فشاشتان مختلفتان في الوثيقة (ticket_recur.php وticket_periodic.php) ملفّان مختلفان.</t>
  </si>
  <si>
    <t xml:space="preserve">ملفٌّ واحد Tickets/ticket_recurrence.php يخدم رابطين بعنوانين مختلفين في مرحلتين مختلفتين: «البلاغات المتكررة وسببها الجذري» (المرحلة ٤) و«البلاغات الدورية المولَّدة» (المرحلة ٦ بالمرساة #n9g10i1). الفرقُ الوحيد بين الرابطين لاحقةُ المرساة، وهي حيلةٌ تتجاوز المفتاحَ الفريد uq_nav_role_route(role_id,route) في المخطط. والملفُّ لا يقرأ المرساةَ (هي معالَجةٌ في المتصفح لا في الخادم) فتُفتح الشاشةُ نفسُها بالمحتوى نفسِه في الحالتين.</t>
  </si>
  <si>
    <t xml:space="preserve">شاشتان معلنتان في الوثيقة بأعمدةٍ مختلفةٍ (٢٠ عمودًا مقابل ٢٣) تُختزلان في ملفٍّ واحد؛ فمن يبحث عن «البلاغات الدورية المولَّدة» يجد شاشةَ التكرار. والمرساةُ تكسر إضاءةَ العنصر النشط فيبدو المستخدمُ في المرحلة الرابعة وهو في السادسة.</t>
  </si>
  <si>
    <t xml:space="preserve">المفتاحُ الفريد على (الدور، المسار) منع تكرارَ الصفِّ فالتُفّ عليه بلاحقة مرساةٍ بدل بناء الشاشة الثانية.</t>
  </si>
  <si>
    <t xml:space="preserve">database/schema/seed_reference.sql:4924; :4926; database/schema/schema.sql:6972; Tickets/ticket_recurrence.php:1</t>
  </si>
  <si>
    <t xml:space="preserve">١) ادخل بدور 24. ٢) افتح «رابعًا ← البلاغات المتكررة وسببها الجذري». ٣) افتح «سادسًا ← البلاغات الدورية المولَّدة». ٤) الشاشتان متطابقتان محتوًى وعنوانًا داخليًّا.</t>
  </si>
  <si>
    <t xml:space="preserve">بناءُ Tickets/ticket_periodic.php المستقلة لعرض القوالب الدورية المولَّدة بأعمدتها الثلاثة والعشرين وربطُها بالمرحلة ٦، أو — إن قرّر المالك دمجَهما — حذفُ صفِّ المرحلة ٦ وإبقاءُ رابطٍ واحدٍ بعنوانٍ جامع. ومنعُ لاحقة المرساة في مولّد nav_items بفحصٍ يرفض أيَّ route يحوي '#'.</t>
  </si>
  <si>
    <t xml:space="preserve">كلُّ رابطٍ في سايدبار الدور 24 يشير إلى ملفٍّ مختلف؛ ولا يحوي أيُّ صفٍّ في nav_items محرفَ '#'.</t>
  </si>
  <si>
    <t xml:space="preserve">صفّان حيّان للدور 24 على الملف نفسِه لا يفرّق بينهما إلا لاحقةُ المرساة (6745 بلا مرساة و6747 بـ#n9g10i1) — وهي حيلةٌ تتخطى UNIQUE(role_id,route) (schema.sql:6972)، والملفُّ لا يقرأ المرساةَ خادميًّا فالمحتوى واحد.</t>
  </si>
  <si>
    <t xml:space="preserve">INJ-0513</t>
  </si>
  <si>
    <t xml:space="preserve">§٤-٥ «صفرُ عنصرٍ مكرر» · §١٤-٤ (ticket_kpi.php)</t>
  </si>
  <si>
    <t xml:space="preserve">مؤشرات البلاغات</t>
  </si>
  <si>
    <t xml:space="preserve">http://localhost/ems/Tickets/ticket_dashboard.php</t>
  </si>
  <si>
    <t xml:space="preserve">لوحة الإدارة · متابعة وتقارير المركز</t>
  </si>
  <si>
    <t xml:space="preserve">«صفرُ عنصرٍ مكرر»، ولوحةُ الإدارة (المنطقة ②) محتواها لوحةُ المؤشرات وغرفةُ العمليات، والتقاريرُ منطقةٌ منفصلة (⑤).</t>
  </si>
  <si>
    <t xml:space="preserve">اسمُ المجموعةِ الثانيةِ «المؤشرات» ضمن مرحلة «متابعة وتقارير المركز». — [مُصحَّح بعد التحقق] الصياغة الأولى: الرابطُ نفسُه بالعنوان نفسِه «مؤشرات البلاغات» يظهر مرتين في سايدبار الدور 24: في المجموعة الأولى «لوحة الإدارة» (تحت عنوانٍ فرعيٍّ «برج المراقبة») وفي المجموعة السابعة «متابعة وتقارير المركز» بالمرسا</t>
  </si>
  <si>
    <t xml:space="preserve">تكرارٌ حرفيٌّ بالعنوان نفسِه في سايدبارٍ واحد — وهو العيبُ الحيُّ المرصود UI-DEF-05 الذي اختبارُ إغلاقه «فاحصُ التنقلِ يكشف التكرارَ ويوقف التوليد». ويشغل موضعَ «برج المراقبة» الغائب.</t>
  </si>
  <si>
    <t xml:space="preserve">لاحقةُ المرساة أتاحت تكرارَ المسار رغم المفتاح الفريد، ولم يُفرَّق بين لوحةِ المنطقة ② وتقارير المنطقة ⑤.</t>
  </si>
  <si>
    <t xml:space="preserve">Tickets/ticket_dashboard.php:1; database/schema/seed_reference.sql (nav_items role_id=24: stage_no=0 route='Tickets/ticket_dashboard.php'، وstage_no=7 route='Tickets/ticket_dashboard.php#n9g11i1')</t>
  </si>
  <si>
    <t xml:space="preserve">١) ادخل بدور 24. ٢) المجموعة الأولى: «مؤشرات البلاغات». ٣) المجموعة السابعة: «مؤشرات البلاغات» ثانيةً. ٤) الرابطان يفتحان الملفَّ نفسَه.</t>
  </si>
  <si>
    <t xml:space="preserve">حذفُ صفِّ nav_items ذي المرساة #n9g11i1 من المرحلة ٧، ووضعُ Tickets/watchtower.php مكانَه في «متابعة وتقارير المركز»، وإبقاءُ لوحة المؤشرات في «لوحة الإدارة» وحدَها.</t>
  </si>
  <si>
    <t xml:space="preserve">«مؤشرات البلاغات» تظهر مرةً واحدةً في سايدبار الدور 24.</t>
  </si>
  <si>
    <t xml:space="preserve">للدور 24 صفّان نشطان لنفس الملف والعنوان: Tickets/ticket_dashboard.php في مجموعة المرحلة 0 «برج المراقبة»، وTickets/ticket_dashboard.php#n9g11i1 في المرحلة 7 «المؤشرات» — تكرارٌ حرفيٌّ كما ادُّعي؛ لكنه عيبُ تنقّلٍ لا يمنع عملًا ⇒ P3.</t>
  </si>
  <si>
    <t xml:space="preserve">INJ-0514</t>
  </si>
  <si>
    <t xml:space="preserve">§٤-٥ «صفرُ عنصرٍ مكرر» · §١٤-٣ المرحلة ٨ (إعدادات البلاغات)</t>
  </si>
  <si>
    <t xml:space="preserve">إعدادات البلاغات — الأنواع والمهل والتصعيد</t>
  </si>
  <si>
    <t xml:space="preserve">إعدادات البلاغات</t>
  </si>
  <si>
    <t xml:space="preserve">المرحلة الثامنة «إعدادات البلاغات» شاشتُها ticket_config.php بـ٢٤ عمودًا وتجمع الأنواعَ والمهلَ والتصعيد؛ ولكلِّ شاشةٍ ملفٌّ فريد.</t>
  </si>
  <si>
    <t xml:space="preserve">الرابطُ يشير إلى Tickets/ticket_types_config.php بالمرساة #n9g14i1 — وهو الملفُّ نفسُه المستعمَل في المرحلة ٢ بعنوان «تصنيف البلاغ وتوجيهه آليًّا». وشاشتا الإعداد الأخريان (المهل والتصعيد) في ملفين آخرين: ticket_escalation_config.php (المرحلة ٤) وticket_sla_config.php (المرحلة ٩٩). فالإعداداتُ الثلاثة موزَّعةٌ على ثلاث مراحل، وشاشةُ «الأنواع» مكرَّرةٌ في اثنتين.</t>
  </si>
  <si>
    <t xml:space="preserve">الإعداداتُ التي تعلنها الوثيقةُ شاشةً واحدةً جامعةً مبعثرةٌ على ثلاث مجموعاتٍ إحداها «خارج الوثيقة»، وأحدُ ملفاتها مكرَّرٌ بعنوانين متناقضين. مديرُ البلاغات لا يجد مكانًا واحدًا يضبط منه أنواعَ البلاغات ومهلَها وتصعيدَها.</t>
  </si>
  <si>
    <t xml:space="preserve">بذرةُ nav_items أُنشئت قبل حسمِ بنية الإعدادات، فوُزّعت الملفاتُ الثلاثة على مراحل مختلفة.</t>
  </si>
  <si>
    <t xml:space="preserve">Tickets/ticket_types_config.php:1; Tickets/ticket_escalation_config.php:1; Tickets/ticket_sla_config.php:1; database/schema/seed_reference.sql (nav_items role_id=24: stage_no=8 route='Tickets/ticket_types_config.php#n9g14i1'، stage_no=4 route='Tickets/ticket_escalation_config.php'، stage_no=99 route='Tickets/ticket_sla_config.php')</t>
  </si>
  <si>
    <t xml:space="preserve">١) ادخل بدور 24. ٢) افتح «إعدادات البلاغات» ⇐ شاشةُ الأنواع نفسُها المستعملة في المرحلة ٢. ٣) ابحث عن المهل ⇐ في المجموعة الأخيرة «خارج الوثيقة».</t>
  </si>
  <si>
    <t xml:space="preserve">تجميعُ الإعدادات الثلاثة تحت مجموعة «إعدادات البلاغات» (المرحلة ٨) بثلاثة صفوفٍ لثلاثة ملفاتٍ مختلفة (الأنواع · المهل · التصعيد)، وحذفُ الصفِّ المكرر بالمرساة، ونقلُ ticket_sla_config.php من مجموعة «خارج الوثيقة».</t>
  </si>
  <si>
    <t xml:space="preserve">مجموعةُ «إعدادات البلاغات» تحوي ثلاثة روابطَ لثلاثة ملفاتٍ مختلفة، ولا يظهر أيُّ ملفِّ إعداداتٍ في مجموعة «خارج الوثيقة».</t>
  </si>
  <si>
    <t xml:space="preserve">سايدبار الدور 24 المحسوب يُظهر ticket_types_config.php مرتين (المرحلة 2 «تصنيف البلاغ» والمرحلة 8 بالمرساة n9g14i1)، وticket_escalation_config في المرحلة 4، وticket_sla_config في المجموعة 99 — والوثيقة frd_readable.md:1090 و1110 تُثبت شاشةً واحدةً للمرحلة 8.</t>
  </si>
  <si>
    <t xml:space="preserve">INJ-0515</t>
  </si>
  <si>
    <t xml:space="preserve">فئات البلاغات</t>
  </si>
  <si>
    <t xml:space="preserve">http://localhost/ems/Tickets/ticket_categories_config.php</t>
  </si>
  <si>
    <t xml:space="preserve">«تصنيف البلاغ» ثلاثيّ: الفئةُ ثم النوعُ ثم الأولوية — والفئاتُ مرجعٌ يُضبط من إعدادات البلاغات (المرحلة ٨).</t>
  </si>
  <si>
    <t xml:space="preserve">الملفُّ موجودٌ على القرص ويُفتح بالرابط المباشر، ولا صفَّ nav_items يشير إليه في أيٍّ من السايدبارات التسعة والعشرين، ولا رابطَ واردٌ من شاشةٍ أخرى.</t>
  </si>
  <si>
    <t xml:space="preserve">شاشةُ ضبط الفئات — وهي المستوى الأول في التصنيف الثلاثي الذي تعتمده شاشةُ فتح البلاغ — بلا منفذ؛ فالفئاتُ تُدار في القاعدة مباشرةً أو لا تُدار.</t>
  </si>
  <si>
    <t xml:space="preserve">database/schema/seed_reference.sql (nav_items id=417, active=0); Tickets/ticket_categories_config.php:1</t>
  </si>
  <si>
    <t xml:space="preserve">١) ادخل بدور 24 وافتح مجموعات السايدبار العشر ⇐ لا رابطَ للشاشة. ٢) اكتب http://localhost/ems/Tickets/ticket_categories_config.php ⇐ تُفتح.</t>
  </si>
  <si>
    <t xml:space="preserve">إضافةُ صفِّ nav_items للدور 24 بمسار Tickets/ticket_categories_config.php في مجموعة «إعدادات البلاغات».</t>
  </si>
  <si>
    <t xml:space="preserve">يوجد صفُّ nav_items (id=417) للدور 24 بمسار الشاشة لكنه active=0 ومجموعتُه (201) غيرُ موجودةٍ في link_groups — فالنتيجةُ إخفاءٌ لا انعدامُ صف.</t>
  </si>
  <si>
    <t xml:space="preserve">INJ-0516</t>
  </si>
  <si>
    <t xml:space="preserve">الاستعلام عن بلاغ</t>
  </si>
  <si>
    <t xml:space="preserve">http://localhost/ems/Tickets/inquiry.php</t>
  </si>
  <si>
    <t xml:space="preserve">المبلِّغُ يتابع بلاغَه ويرجع إليه بضغطة؛ وشاشاتُ مساحة عملي «كلُّ عنصرٍ يرجع إلى مستنده أو سجله الأصليِّ بضغطةٍ واحدة».</t>
  </si>
  <si>
    <t xml:space="preserve">الصفُّ (1336, role 24, «الاستفسار عن بلاغ متعثر») قائمٌ لكن active=0 فلا يُصيَّر — والأثرُ العمليُّ كما وُصف. — [مُصحَّح بعد التحقق] الصياغة الأولى: الملفُّ موجودٌ على القرص ويُفتح بالرابط المباشر، ولا صفَّ nav_items يشير إليه في أيٍّ من السايدبارات التسعة والعشرين، ولا رابطَ واردٌ من شاشةٍ أخرى.</t>
  </si>
  <si>
    <t xml:space="preserve">شاشةُ الاستعلام عن حالة بلاغٍ برقمه بلا منفذ، فيضطرّ المبلِّغُ للبحث في القائمة.</t>
  </si>
  <si>
    <t xml:space="preserve">database/schema/seed_reference.sql:4015</t>
  </si>
  <si>
    <t xml:space="preserve">١) ادخل بدور 24 وافتح مجموعات السايدبار العشر ⇐ لا رابطَ للشاشة. ٢) اكتب http://localhost/ems/Tickets/inquiry.php ⇐ تُفتح.</t>
  </si>
  <si>
    <t xml:space="preserve">إمّا إضافةُ صفِّ nav_items في «مساحة عملي ← بلاغاتي» لكل الأدوار، وإمّا حذفُ الملف إن كانت قائمةُ البلاغات تغني عنه — والقرارُ يُوثَّق.</t>
  </si>
  <si>
    <t xml:space="preserve">الشاشةُ فعلًا بلا منفذٍ حيٍّ ولا رابطٍ واردٍ من أيِّ ملف، لكنّ صفَّ nav_items موجودٌ لا معدوم.</t>
  </si>
  <si>
    <t xml:space="preserve">INJ-0517</t>
  </si>
  <si>
    <t xml:space="preserve">§٤-٥ «◆ لا ترقيمَ (أولًا/ثانيًا) في النصِّ اليوميّ» (UXR-0036-ب)</t>
  </si>
  <si>
    <t xml:space="preserve">سايدبار مركز البلاغات</t>
  </si>
  <si>
    <t xml:space="preserve">«◆ لا ترقيمَ «أولًا/ثانيًا» في النصِّ اليوميِّ · والمجموعةُ المفتوحةُ ظاهرةٌ والعنصرُ النشطُ مميَّز» (UXR-0036-ب).</t>
  </si>
  <si>
    <t xml:space="preserve">عناوينُ المجموعات في سايدبار الدور 24 — وفي كل الأدوار الثمانية والعشرين العاملة بوضع المراحل — تحمل الترقيمَ اللفظيَّ حرفيًّا: «أولًا: الاستقبال» · «ثانيًا: التصنيف والتوجيه» · «ثالثًا: التحويل والتفريع» · «رابعًا: المتابعة والتصعيد» · «خامسًا: الإغلاق» · «سادسًا: القوالب الدورية». والقيمةُ تأتي من link_groups.stage_title مباشرةً بلا تنقيةٍ في المصيّر.</t>
  </si>
  <si>
    <t xml:space="preserve">مخالفةٌ مباشرةٌ لحكمٍ بصريٍّ منصوصٍ عليه، تتكرر في ست مجموعاتٍ لكل دورٍ من ثمانيةٍ وعشرين دورًا — أي في كل شاشةٍ يفتحها أيُّ مستخدم. وهي أظهرُ ما يراه العميلُ في العرض الخارجي.</t>
  </si>
  <si>
    <t xml:space="preserve">الترقيمُ جزءٌ من قيمة stage_title في البذرة، والمصيّر يطبعها كما هي (htmlspecialchars فقط).</t>
  </si>
  <si>
    <t xml:space="preserve">includes/unified_nav.php:207; :223; database/schema/seed_reference.sql:2923-2924</t>
  </si>
  <si>
    <t xml:space="preserve">١) ادخل بدور 24. ٢) اقرأ عناوين المجموعات ⇐ كلُّها مسبوقةٌ بترقيمٍ لفظيّ. ٣) كرّر بأيِّ دورٍ آخر ⇐ النتيجةُ نفسُها.</t>
  </si>
  <si>
    <t xml:space="preserve">إمّا تنقيةُ العنوان في المصيّر عند الطباعة (دالةٌ تحذف البادئة «أولًا: … عاشرًا: » من stage_title في includes/unified_nav.php:207-208 مع إبقاء الترتيب من stage_no)، وإمّا تنظيفُ قيم stage_title في البذرة والقاعدة — والأول أأمنُ لأنه لا يمسّ البيانات.</t>
  </si>
  <si>
    <t xml:space="preserve">لا يظهر أيُّ عنوانِ مجموعةٍ في السايدبار مسبوقًا بترقيمٍ لفظيّ في أيٍّ من الأدوار، ويبقى ترتيبُ المجموعات بالمراحل كما هو.</t>
  </si>
  <si>
    <t xml:space="preserve">`printStageNav` يطبع `stage_title` كما هو، وقيمُ link_groups تحمل الترقيمَ اللفظيَّ حرفيًّا («سابعًا: الإخراج من الخدمة» · «ثانيًا: التصنيف والتوجيه»)، والحكمُ منقولٌ بدقةٍ من ux_readable.md:107.</t>
  </si>
  <si>
    <t xml:space="preserve">INJ-0518</t>
  </si>
  <si>
    <t xml:space="preserve">AS-05 الرأسُ الموحَّد · UXR-0111 «لا تظهر شاشةٌ بلا الغلافِ الحاكم»</t>
  </si>
  <si>
    <t xml:space="preserve">زر الإبلاغ الاحتياطي العالمي</t>
  </si>
  <si>
    <t xml:space="preserve">http://localhost/ems/insidebar.php</t>
  </si>
  <si>
    <t xml:space="preserve">منفذُ البلاغ عنصرٌ من الغلاف الحاكم يُصيَّر ضمن بنية الصفحة — «شريطُ أفعالٍ واحدٌ وسطرُ سياقٍ ومنفذُ بلاغٍ من مصدرٍ واحد».</t>
  </si>
  <si>
    <t xml:space="preserve">الزرُّ الاحتياطي يُبثّ عبر register_shutdown_function، أي أن نصَّه (div ثابتُ الموضع يحوي form وbutton) يُطبع بعد انتهاء تنفيذ السكربت — بعد وسم &lt;/html&gt; الختامي في كل شاشةٍ تُغلق وسومَها. وهو يُسجَّل في insidebar.php فيسري على كلِّ شاشةٍ تُضمّن السايدبار، بما فيها الشاشاتُ التي تنتهي بردٍّ غيرِ HTML إن ضمّنته.</t>
  </si>
  <si>
    <t xml:space="preserve">نصٌّ خارج بنية المستند في كل شاشةٍ في النظام؛ المتصفحُ يعيد إلحاقَه بالجسم فيعمل غالبًا، لكنه يكسر تحققَ صحة HTML، ويقع خارج أيِّ حاويةِ تنسيقٍ أو اتجاهٍ (dir=rtl) فقد يظهر بمحاذاةٍ خاطئة، ويتعذّر على الشاشة التحكمُ في موضعه أو إخفاؤه.</t>
  </si>
  <si>
    <t xml:space="preserve">اختيرت آليةُ الإغلاق لضمان «صفر شاشةٍ بلا زرِّ إبلاغ» بلا تعديلِ ٤٩١ ملفًّا، فوقع البثُّ خارج الغلاف.</t>
  </si>
  <si>
    <t xml:space="preserve">insidebar.php:26; :27; :29; :30; includes/report_button.php:47; :52; :53; :55</t>
  </si>
  <si>
    <t xml:space="preserve">١) افتح أيَّ شاشةٍ لا تستدعي ems_report_button (مثلًا Governance/break_glass.php). ٢) اعرض مصدر الصفحة. ٣) ابحث عن ems-report-fallback ⇐ تجدها بعد &lt;/html&gt;.</t>
  </si>
  <si>
    <t xml:space="preserve">نقلُ نداء ems_report_button_fallback من register_shutdown_function في insidebar.php:30 إلى موضعٍ داخل الغلاف: إمّا في نهاية includes/page_header.php (فيُصيَّر داخل الرأس) أو في تذييلٍ موحَّدٍ يُضمَّن قبل &lt;/body&gt;، مع إبقاء منطق عدم الازدواج ($__ems_rb_rendered).</t>
  </si>
  <si>
    <t xml:space="preserve">مصدرُ أيِّ صفحةٍ لا يحوي أيَّ عنصرٍ بعد &lt;/html&gt;، وزرُّ الإبلاغ الاحتياطي يظهر داخل الجسم بمحاذاةٍ صحيحةٍ في الوضع العربي.</t>
  </si>
  <si>
    <t xml:space="preserve">insidebar.php:26-30 يسجّل ems_report_button_fallback عبر register_shutdown_function، والدالةُ (report_button.php:48-55) تطبع div ثابتَ الموضع بلا أيِّ فحصٍ لنوع المحتوى أو لبنية الصفحة — فالبثُّ يقع بعد إغلاق الوسوم.</t>
  </si>
  <si>
    <t xml:space="preserve">INJ-0519</t>
  </si>
  <si>
    <t xml:space="preserve">AR-08 النشرُ ببصمةٍ · N-26 جاهزيةُ البنية</t>
  </si>
  <si>
    <t xml:space="preserve">الدورة المجدوَلة للبلاغات</t>
  </si>
  <si>
    <t xml:space="preserve">http://localhost/ems/Tickets/cron_tickets.php</t>
  </si>
  <si>
    <t xml:space="preserve">مهامُ المهل والتصعيد والتوليد الدوريِّ عملياتٌ مجدولةٌ معلنةٌ بدوريّتها، والدليلُ على تشغيلها جزءٌ من جاهزية الإصدار.</t>
  </si>
  <si>
    <t xml:space="preserve">الوثيقةُ تسمّي الدورياتِ والأوامرَ وتنصُّ «تُنفَّذ بيد المشغّل»؛ والناقصُ سجلُّ تشغيلٍ (cron_runs) يجعل الغيابَ مرئيًّا. — [مُصحَّح بعد التحقق] الصياغة الأولى: الملفُّ محكمُ الحراسة (CLI أو مفتاحٌ fail-closed: مفتاحٌ غيرُ مضبوطٍ = لا مسار ويب) ويؤدي المهامَّ الثلاث على جداول الوحدة وحدَها. لكن جدولتَه غيرُ موجودةٍ في المستودع: الإشارةُ الوحيدة إليها سطرٌ في </t>
  </si>
  <si>
    <t xml:space="preserve">لا يمكن إثباتُ أن المهلَ تُحتسب والتصعيدَ يقع والبلاغاتِ الدوريةَ تُولَّد في البيئة الحية؛ فإن لم تُجدوَل فالمرحلةُ الرابعة «المتابعة والتصعيد» معطَّلةٌ كليًّا وتقريرُ التأخّر لا يُنتَج.</t>
  </si>
  <si>
    <t xml:space="preserve">الجدولةُ خارج المستودع (على مستوى الخادم) بلا ملفِّ إعلانٍ ولا شاشةِ حالةٍ تعرض آخرَ تشغيلٍ ناجح.</t>
  </si>
  <si>
    <t xml:space="preserve">docs/nfr/N-26_infra_readiness_ar.md:54-63; tools/n26_infra_probe.php:77-90</t>
  </si>
  <si>
    <t xml:space="preserve">١) ابحث في المستودع عن ملفِّ جدولةٍ (crontab · *.timer · workflow) يستدعي cron_tickets.php ⇐ لا شيء. ٢) افتح لوحة البلاغات ⇐ لا مؤشرَ لآخر تشغيلٍ للدورة.</t>
  </si>
  <si>
    <t xml:space="preserve">إضافةُ ملفِّ جدولةٍ مُصانٍ في المستودع (مثلًا deploy/crontab.d/ems.cron) يعلن المهامَّ الأربع بدوريّاتها، وإضافةُ جدولِ cron_runs يسجّل كلَّ تشغيلٍ بنتيجته، وبطاقةٍ في Tickets/ticket_dashboard.php تعرض «آخر تشغيلٍ للدورة» فيصير الغيابُ مرئيًّا.</t>
  </si>
  <si>
    <t xml:space="preserve">مكتب الهندسة — إدارة الإصدار</t>
  </si>
  <si>
    <t xml:space="preserve">لوحةُ البلاغات تعرض وقتَ آخر تشغيلٍ ناجحٍ للدورة المجدوَلة، ويفشل فحصُ الجاهزية إن تجاوز عمرُه ضِعفَ الدورية المعلنة.</t>
  </si>
  <si>
    <t xml:space="preserve">صحيحٌ أن لا ملفَّ جدولةٍ في المستودع، لكن N-26 يعلن الجدولةَ **قرارَ مشغّلٍ** ويولّد أوامرَ schtasks جاهزةً بمساراتٍ حيّة — فالفجوةُ في إثبات التشغيل لا في غياب التوثيق.</t>
  </si>
  <si>
    <t xml:space="preserve">INJ-0520</t>
  </si>
  <si>
    <t xml:space="preserve">GOV-018-د «اعتمادُ الذات» منعٌ مطلق · TKT T6</t>
  </si>
  <si>
    <t xml:space="preserve">لوحة المسارات — اعتماد السبب الفني</t>
  </si>
  <si>
    <t xml:space="preserve">«اعتمادُ الذات» من أمثلة المنع المطلق الذي لا يُتجاوز؛ ونصُّ الدالة نفسِها يعلن الحارس: «المعتمد ليس مكلف المسار نفسه (لا اعتماد ذات) — يد ثانية».</t>
  </si>
  <si>
    <t xml:space="preserve">الحارسُ غيرُ منفَّذٍ فعلًا، لكنَّ الدالةَ نفسَها بلا مسارٍ إنتاجيّ — فاعتمادُ الذات غيرُ ممكنٍ اليومَ من أيِّ شاشة. — [مُصحَّح بعد التحقق] الصياغة الأولى: الحارسُ معلَنٌ في تعليقٍ ومُهيَّأٌ في الكود ثم مُهمَل: السطر 56 يجلب assignee_person_id في المتغير $w، والمتغيرُ لا يُستعمل في أيِّ سطرٍ بعده (فحصٌ نصيٌّ على الملف كلِّه يُرجع ظهورًا واحدًا للمتغير هو</t>
  </si>
  <si>
    <t xml:space="preserve">من أصلح العطلَ يعتمد سببَه الفنيَّ بنفسه، فتسقط «اليدُ الثانية» التي بُني عليها الأثرُ على الفوترة والاستحقاق. والأخطرُ أن التعليقَ يوهم المراجعَ بوجود ضابطٍ غيرِ موجود — عيبٌ أسوأُ من غيابٍ معلَن.</t>
  </si>
  <si>
    <t xml:space="preserve">استُخرج الصفُّ استعدادًا للفحص ثم لم يُكتب شرطُ المقارنة، ولا اختبارَ يغطي هذا المسار (الدالةُ نفسُها بلا نداءٍ إنتاجيّ).</t>
  </si>
  <si>
    <t xml:space="preserve">app/Services/Tickets/TicketEffectService.php:55; :56; :57; app/Services/Tickets/TicketStateService.php:85</t>
  </si>
  <si>
    <t xml:space="preserve">١) اقرأ app/Services/Tickets/TicketEffectService.php:55-60. ٢) ابحث عن $w في بقية الملف ⇐ ظهورٌ واحدٌ فقط (سطر الإسناد). ٣) لا شرطَ يقارن assignee_person_id بـ$approverPersonId.</t>
  </si>
  <si>
    <t xml:space="preserve">إضافةُ الشرط المفقود بعد السطر 56 في app/Services/Tickets/TicketEffectService.php: if ($w &amp;&amp; intval($w['assignee_person_id']) === intval($approverPersonId)) { return array('ok'=&gt;false,'code'=&gt;403,'reason'=&gt;'لا اعتماد ذات — يد ثانية'); } على غرار الحارس المطبَّق في TicketStateService::closeWorkstream:85.</t>
  </si>
  <si>
    <t xml:space="preserve">محاولةُ مكلَّفِ مسارِ الصيانة اعتمادَ السبب الفني لمساره تُرفض 403 وتُسجَّل؛ واعتمادُ شخصٍ آخرَ يمرّ.</t>
  </si>
  <si>
    <t xml:space="preserve">العيبُ نصًّا مؤكَّد: $w يُسند في السطر 56 ولا يُستعمل في الملف كلِّه (ظهورٌ واحدٌ فقط)، فالحارسُ المعلَنُ في التعليق غيرُ منفَّذ. لكن الأثرَ غيرُ واقعٍ إنتاجيًّا: approveTechnicalCause بلا مستدعٍ خارجَ tests/ (لوحةُ المسارات تستدعي recordLightEffect فقط في السطر 48).</t>
  </si>
  <si>
    <t xml:space="preserve">INJ-0521</t>
  </si>
  <si>
    <t xml:space="preserve">PR-05 · TABLE 46 (الحارسُ في الخادم) · GOVX-0994 (المحجوب لا يُصيَّر)</t>
  </si>
  <si>
    <t xml:space="preserve">قائمة البلاغات</t>
  </si>
  <si>
    <t xml:space="preserve">«لا يُعرض عنصرٌ لا يملكه المستخدم»، والمحجوبُ لا يُرسَل في الاستجابة أصلًا؛ وكلُّ منعٍ في الخادم قبل الحفظ.</t>
  </si>
  <si>
    <t xml:space="preserve">الإعفاءُ منصوصٌ في الحارس المركزي (includes/permissions_helper.php حول السطر 731) بنمط إعفاء المراسلات — فهو قرارُ تصميمٍ موثَّقٌ لا سهو؛ والفجوةُ الحقيقيةُ أن app/Services/Tickets/ConfidentialityGuard.php لا يُستدعى إلا في الاختبارات. — [مُصحَّح بعد التحقق] الصياغة الأولى: الشاشةُ تعلن في رأسها أن «الوصول متاحٌ لكل مستخدم مسجَّل (كشاشة المراسلات)» ولا تستدعي check_page_permissions إطلاقًا. الترشيحُ الوحيدُ شرطُ نطاقٍ يُبنى من شجرة الأدوار (owner_role_id ضمن أجداد الدور </t>
  </si>
  <si>
    <t xml:space="preserve">لا يمكن منعُ دورٍ من فتح قائمة البلاغات أصلًا حتى لو قرّرت الحوكمةُ ذلك، ولا تسجيلُ رفضٍ. والاعتمادُ على شجرة الأدوار وحدَها يعني أن أيَّ خطأٍ في parent_role_id يوسّع الرؤيةَ صامتًا عبر الشجرة كلِّها.</t>
  </si>
  <si>
    <t xml:space="preserve">قرارُ تصميمٍ عامل بالشاشة معاملةَ «المراسلات» (شاشةٌ عامة) رغم أنها تعرض مستنداتٍ ذاتَ تصنيفِ سرية.</t>
  </si>
  <si>
    <t xml:space="preserve">Tickets/tickets_list.php:12-13; :43-47; includes/permissions_helper.php:726-733</t>
  </si>
  <si>
    <t xml:space="preserve">١) ادخل بأيِّ دورٍ لا منحةَ له على الشاشة. ٢) افتح http://localhost/ems/Tickets/tickets_list.php ⇐ تُفتح وتعرض البلاغات ضمن نطاق شجرة دوره. ٣) لا صفَّ رفضٍ في guard_denials.</t>
  </si>
  <si>
    <t xml:space="preserve">إضافةُ check_page_permissions($conn,'Tickets/tickets_list.php') وحجبِ can_view في رأس Tickets/tickets_list.php مع تسجيل الرفض، وإبقاءِ ترشيح النطاق كطبقةٍ ثانيةٍ فوقه، وتمريرِ الاستعلام عبر ConfidentialityGuard لحجب البلاغات السرية عن غير أطرافها.</t>
  </si>
  <si>
    <t xml:space="preserve">دورٌ بلا can_view على قائمة البلاغات يُرفض 403 ويُسجَّل الرفض؛ والبلاغُ السريُّ لا يظهر في القائمة لغير أطرافه.</t>
  </si>
  <si>
    <t xml:space="preserve">الوصفُ دقيقٌ لكنه سلوكٌ مقصودٌ مركزيًّا: enforce_current_page_view_permission يعفي شاشةَ البلاغات صراحةً كالمراسلات، والترشيحُ بشجرة الأدوار قائم؛ الباقي أن ConfidentialityGuard بلا مستدعٍ إنتاجي.</t>
  </si>
  <si>
    <t xml:space="preserve">INJ-0522</t>
  </si>
  <si>
    <t xml:space="preserve">RK-05 «ليس كل حدثٍ خطرًا» · §١٠-٢ ما تتأثر به من أفعالِ غيرها</t>
  </si>
  <si>
    <t xml:space="preserve">البلاغُ لا يصير خطرًا آليًّا؛ يصير «إشارةً» تنتظر الفرزَ، والتحويلُ إلى خطرٍ قرارٌ بسببٍ مكتوب.</t>
  </si>
  <si>
    <t xml:space="preserve">الحكمُ محقَّقٌ في التصميم وأُثبت بالفحص: محرّكُ الإشارات RiskSignalEngine (القاعدة SG-11) يقرأ tickets ويستدعي RiskService::createSignal لا createRisk، وتعليقُ الملف يعلن الثابتَ صراحةً «فلا سطرَ هنا يكتب في risk_register»، ومجلد Tickets/ لا يمسّ جداولَ المخاطر إطلاقًا. لكن المحرّكَ لا يعمل تلقائيًّا: نداءُ runAll الوحيدُ في tools/m16_risk_cron.php — أداةٌ تُشغَّل يدويًّا من سطر الأوامر، ولا أثرَ لها في cron_events.php ولا في أيِّ مجدولٍ داخل المستودع.</t>
  </si>
  <si>
    <t xml:space="preserve">قاعدةُ «الإشارةُ لا الخطر» صحيحةٌ في الشيفرة ومعطَّلةٌ في التشغيل: البلاغاتُ المتكررةُ ثلاثًا لا تولّد إشارةً ما لم يُشغّل أحدٌ الأداةَ يدويًّا. الرصدُ الاستباقيُّ الذي يبرّر وجودَ المركز («يرصد ولا يُصلح») لا يقع.</t>
  </si>
  <si>
    <t xml:space="preserve">المحرّكُ بُني بواجهةِ أداةٍ في tools/ لا بمدخلٍ مجدولٍ في جذر التطبيق كما فُعل مع cron_tickets.php وcron_events.php.</t>
  </si>
  <si>
    <t xml:space="preserve">app/Services/Risk/RiskSignalEngine.php:11; :74; :382; tools/m16_risk_cron.php:61; cron_events.php:38; Tickets/cron_tickets.php:19</t>
  </si>
  <si>
    <t xml:space="preserve">١) نفّذ grep -rn "RiskSignalEngine::runAll" --include=*.php . ⇐ tools/m16_risk_cron.php وحدَها. ٢) افتح ثلاثةَ بلاغاتٍ متشابهةٍ على معدةٍ واحدة. ٣) افتح Risk/risk_signals.php ⇐ لا إشارةَ جديدة.</t>
  </si>
  <si>
    <t xml:space="preserve">نقلُ تشغيل RiskSignalEngine::runAll إلى مدخلٍ مجدولٍ في جذر التطبيق بنمط Tickets/cron_tickets.php (حارسُ CLI أو مفتاحٌ fail-closed)، وتوثيقُ جدولته في وثيقة البنية، أو استدعاؤه من cron_events.php ضمن دورته اليومية.</t>
  </si>
  <si>
    <t xml:space="preserve">ثلاثةُ بلاغاتٍ متشابهةٍ خلال شهرٍ تُنتج إشارةً في risk_signals بحالة pending خلال دورةِ الجدولة، بلا أيِّ صفٍّ جديدٍ في risk_register.</t>
  </si>
  <si>
    <t xml:space="preserve">runAll لا يُنادى إلا من tools/m16_risk_cron.php فعلًا، لكن جدولةَ كلِّ عمال cron (cron_events.php · Tickets/cron_tickets.php) خارج المستودع فلا تُثبَت الشيفرةُ وحدَها أن المحرّك لا يعمل.</t>
  </si>
  <si>
    <t xml:space="preserve">INJ-0523</t>
  </si>
  <si>
    <t xml:space="preserve">§١٥-٤ (failures.php — تصنيف الأعطال وأسبابها · ٢٠ عمودًا · مالكُها الصيانة)</t>
  </si>
  <si>
    <t xml:space="preserve">http://localhost/ems/Equipments/manage_failure_codes.php</t>
  </si>
  <si>
    <t xml:space="preserve">«تصنيف الأعطال وأسبابها» (failures.php) شاشةٌ من شاشات إدارة الصيانة الثمانية بعشرين عمودًا وعارضين اثنين؛ و«لكل شاشةٍ مالكٌ واحدٌ يملك مضمونَها».</t>
  </si>
  <si>
    <t xml:space="preserve">الملكيةُ مسجَّلةٌ للصيانة في `modules`؛ الخللُ في موضع الملف وفي أن `Maintenance/master_data.php` (صفّان بـactive=0) و`failure_report.php` (بلا صفٍّ) لا منفذَ لهما. — [مُصحَّح بعد التحقق] الصياغة الأولى: الرابطُ في مجموعة «أولًا: استقبال العطل وتشخيصه» يقود إلى Equipments/manage_failure_codes.php — ملفٌّ في مجلد الأسطول. وفي مجلد Maintenance/ ملفّان أقربُ إلى المعنى بلا منفذٍ إطلاقًا: Maintenance/mast</t>
  </si>
  <si>
    <t xml:space="preserve">تصنيفُ العطل وسببُه — أساسُ التشخيص وإسنادِ التوقف والمطالبة — يُدار من شاشةٍ يملكها الأسطول، فيتنازع مالكان على مرجعٍ واحد؛ وملفّان صيانيّان جاهزان معطَّلان يمثلان دَينًا وسطحَ خطر.</t>
  </si>
  <si>
    <t xml:space="preserve">بذرةُ nav_items أسندت المرحلةَ إلى الملف القائم في الأسطول، ولم تُراجَع ملكيةُ المرجع بعد إقرار فصول الإدارات.</t>
  </si>
  <si>
    <t xml:space="preserve">database/schema/seed_reference.sql:92 (module 38 owner=13); :4172 (nav#5996)</t>
  </si>
  <si>
    <t xml:space="preserve">١) ادخل بدور 13. ٢) افتح «أولًا ← تصنيف الأعطال وأسبابها» ⇐ شاشةٌ تحت Equipments/. ٣) اكتب http://localhost/ems/Maintenance/master_data.php ⇐ تُفتح ولا رابطَ لها.</t>
  </si>
  <si>
    <t xml:space="preserve">حسمُ المالك: إمّا نقلُ قاموس الأعطال إلى Maintenance/master_data.php وتحويلُ رابط الصيانة إليه وإبقاءُ شاشة الأسطول عرضًا، وإمّا إعلانُ ملكية الأسطول في ملف التتبع وحذفُ Maintenance/master_data.php وfailure_report.php أو ربطُهما بمنفذٍ معلن — والقرارُ يُوثَّق ولا يُترك ملفٌّ بلا منفذ.</t>
  </si>
  <si>
    <t xml:space="preserve">قاموسُ الأعطال له شاشةٌ واحدةٌ بمالكٍ واحدٍ معلنٍ في ملف التتبع ومنفذٍ واحدٍ في سايدبار مالكها؛ ولا يبقى ملفٌّ صيانيٌّ بلا منفذ.</t>
  </si>
  <si>
    <t xml:space="preserve">الرابطُ يقود فعلًا إلى ملفٍّ في مجلد Equipments وشاشتا الصيانة بلا منفذ، لكن ادّعاءَ «مملوكٌ للأسطول» خاطئ: المودول 38 مالكُه `owner_role_id=13` أي إدارةُ الصيانة.</t>
  </si>
  <si>
    <t xml:space="preserve">INJ-0524</t>
  </si>
  <si>
    <t xml:space="preserve">§٤-٥ «لكلٍّ وجهةٌ حيةٌ موجودة» — أربعةُ ملفاتٍ صيانيةٍ بلا منفذ</t>
  </si>
  <si>
    <t xml:space="preserve">الأعطال / المرجع الأمّ / تقرير الأعطال / ساعات الوقائية</t>
  </si>
  <si>
    <t xml:space="preserve">http://localhost/ems/Maintenance/breakdowns.php</t>
  </si>
  <si>
    <t xml:space="preserve">«القائمةُ تُولَّد من مصفوفة العرضِ في NAV-09» و«لكلٍّ وجهةٌ حيةٌ موجودة»؛ ومراحلُ الصيانة الثمانِ لها ثمانٍ وعشرون شاشةً في مجموع صفوف الجدول.</t>
  </si>
  <si>
    <t xml:space="preserve">اليتامى الفعليون: `master_data.php` (صفّان active=0 · محروس) و`failure_report.php` (بلا صفِّ nav · محروس) و`equipment_hours_preventive.php` (غيرُ مسجَّلٍ في modules ⇒ fail-open)؛ و`breakdowns.php` تحويلٌ مقصودٌ لسجل nav_redirects. — [مُصحَّح بعد التحقق] الصياغة الأولى: أربعةُ ملفاتٍ في Maintenance/ تُصيّر واجهاتٍ ولا صفَّ nav_items لها في أيِّ سايدبار: breakdowns.php (الأعطال) · master_data.php (المرجع الأمُّ للصيانة — ويكتب) · failure_report.php (تقرير الأعطال) · e</t>
  </si>
  <si>
    <t xml:space="preserve">أربعُ شاشاتٍ صيانيةٍ مبنيةٌ ومعطَّلة، منها شاشتان تخصّان مرحلتين معلنتين (تصنيفُ الأعطال · الوقائيةُ بالساعات)؛ وثلاثٌ منها مفتوحةٌ بالرابط المباشر لكل مستخدمٍ مصادَق — سطحُ خطرٍ ودَينٌ صيانيٌّ غيرُ محصور.</t>
  </si>
  <si>
    <t xml:space="preserve">بُنيت الملفاتُ في موجاتٍ متعاقبةٍ ولم تُنشأ لها صفوفُ nav_items، ولا فاحصَ يكشف ملفَّ شاشةٍ بلا منفذ.</t>
  </si>
  <si>
    <t xml:space="preserve">Maintenance/breakdowns.php:1-29; Maintenance/failure_report.php (insidebar); Maintenance/equipment_hours_preventive.php (بلا صفِّ modules)</t>
  </si>
  <si>
    <t xml:space="preserve">١) ادخل بدور 13 وافتح المجموعات الست ⇐ لا رابطَ لأيٍّ من الأربعة. ٢) اكتب http://localhost/ems/Maintenance/failure_report.php بأيِّ حساب ⇐ تُفتح.</t>
  </si>
  <si>
    <t xml:space="preserve">حسمُ كلِّ ملفٍّ: ربطُ master_data.php بمجموعةٍ للمراجع (السجلات والمراجع — المنطقة ④) وequipment_hours_preventive.php بـ«رابعًا: الوقائية بالساعات» وfailure_report.php بمجموعة التقارير، وحذفُ breakdowns.php إن استُوعبت في الأوامر؛ وإضافةُ check_page_permissions إلى الثلاثة التي بلا حارس.</t>
  </si>
  <si>
    <t xml:space="preserve">لا يبقى ملفٌّ في Maintenance/ يُصيّر واجهةً بلا صفِّ nav_items أو قرارِ حذفٍ موثَّق؛ وكلُّ ملفٍّ باقٍ يستدعي حارسَ الصلاحية.</t>
  </si>
  <si>
    <t xml:space="preserve">اثنان من الأربعة سقطا بالفحص: `breakdowns.php` ملفُّ تحويلٍ من ٢٩ سطرًا بلا واجهة، و`failure_report.php` مسجَّلٌ في modules ويُضمّن insidebar فهو محروسٌ مركزيًّا — يبقى ثلاثةُ يتامى حقيقيين.</t>
  </si>
  <si>
    <t xml:space="preserve">INJ-0525</t>
  </si>
  <si>
    <t xml:space="preserve">§٤-٥ «لا تُكرَّر العناصرُ الشخصيةُ في كل إدارة» · placement_rules ①</t>
  </si>
  <si>
    <t xml:space="preserve">لوحة الإدارة — الروابط الشخصية</t>
  </si>
  <si>
    <t xml:space="preserve">«المفضلةُ والعناصرُ الأخيرةُ عند الحاجةِ — ولا تُكرَّر العناصرُ الشخصيةُ في كل إدارة» و«مساحةُ عملي فوق الإداراتِ دائمًا» بوصفها منطقةً واحدةً لا عناصرَ مبعثرة.</t>
  </si>
  <si>
    <t xml:space="preserve">المجموعةُ الأولى «لوحة الإدارة» في سايدبار الدورين 13 و14 (وفي كلِّ الأدوار) تكرّر ستةَ عناصرَ شخصيةٍ داخل مجموعةٍ إدارية: الرئيسية · المراسلات (مرتين) · مهامي · إنجازي · بوابتي · طلباتي — وهي عناصرُ «مساحة عملي» التي توجب الوثيقةُ أن تكون منطقةً مستقلةً فوق الإدارات لا صفوفًا داخل مجموعة الإدارة.</t>
  </si>
  <si>
    <t xml:space="preserve">المنطقتان ① (مساحة عملي) و② (لوحة إدارتي) مدمجتان في مجموعةٍ واحدةٍ عنوانُها إداريّ؛ فيضيع الفصلُ الذي يمنح الموظفَ بصفتين نقطةَ ثباتٍ عند التبديل، وتظهر لوحةُ الإدارة خاليةً من محتواها الحقيقيِّ (لوحةُ مؤشرات الصيانة الغائبة).</t>
  </si>
  <si>
    <t xml:space="preserve">الروابطُ الشخصيةُ بُذرت صفوفَ nav_items في المرحلة صفر لكل دورٍ تحت عنوانٍ فرعيٍّ «مساحتي الشخصية» بدل بناء منطقةٍ مستقلة.</t>
  </si>
  <si>
    <t xml:space="preserve">includes/unified_nav.php:232-238; database/schema/seed_reference.sql (nav_items للدورين 13/14 في stage_no=0)</t>
  </si>
  <si>
    <t xml:space="preserve">١) ادخل بدور 13. ٢) افتح المجموعة الأولى «لوحة الإدارة» ⇐ سبعةُ روابطَ كلُّها شخصيةٌ أو عامة، ولا رابطَ صيانيًّا واحدًا.</t>
  </si>
  <si>
    <t xml:space="preserve">فصلُ المنطقة ①: إنشاءُ مجموعةٍ بـstage_no=-1 وعنوان «مساحة عملي» تحوي العناصرَ الستةَ المنصوصة لكل الأدوار، وإفراغُ المجموعة صفر منها وملؤها بمحتوى لوحة الإدارة (لوحةُ الصيانة المقترَحة في ملاحظةٍ سابقة).</t>
  </si>
  <si>
    <t xml:space="preserve">سايدبارُ الدور 13 يبدأ بمجموعة «مساحة عملي» بعناصرها الستة، تليها «لوحة الإدارة» وفيها لوحةُ مؤشرات الصيانة.</t>
  </si>
  <si>
    <t xml:space="preserve">printStageNav يحقن «الرئيسية» و«المراسلات» في أول مرحلةٍ لكل دور (unified_nav.php:232-238)، ومجموعةُ المرحلة 0 للدورين 13 و14 تحمل خمسةَ صفوفٍ شخصيةٍ من nav_items — فتُطبع المراسلاتُ مرتين وتتكرر عناصرُ «مساحة عملي» داخل مجموعةٍ إدارية.</t>
  </si>
  <si>
    <t xml:space="preserve">INJ-0526</t>
  </si>
  <si>
    <t xml:space="preserve">AS-04/AS-05 الرأسُ الموحَّد · UXR-0111 · اتساقُ الجداول</t>
  </si>
  <si>
    <t xml:space="preserve">الغلافُ الحاكم يوحّد بنيةَ الجدول ورأسَه؛ والحالةُ الفارغة رسالةٌ تمتدّ على عرض الجدول كاملًا — ولا يُصيَّر عنصرٌ خارج بنيته الصحيحة.</t>
  </si>
  <si>
    <t xml:space="preserve">الجدول يحمل ثلاثةَ عشرَ رأسَ عمود (خمسةٌ وظيفيةٌ + ثمانيةٌ من الأعمدة الحاكمة المحقونة) بينما صفُّ الحالة الفارغة يحمل colspan="5" — فيمتدّ على خمسة أعمدةٍ من ثلاثة عشر ويترك ثمانيَ خلايا فارغةً على يساره. وفي كل صفٍّ بيانات، وسمُ &lt;form&gt; مفتوحٌ داخل &lt;tr&gt; خارج أيِّ &lt;td&gt;، ووسمُ &lt;input type="hidden"&gt; ابنٌ مباشرٌ لـ&lt;tr&gt; — وهو ترتيبٌ يعالجه المحلّلُ بنقل العنصر خارج الجدول (foster parenting) فيخرج الحقلُ المخفيُّ من بنية الجدول.</t>
  </si>
  <si>
    <t xml:space="preserve">جدولٌ مكسورُ الشكل في الحالة الفارغة، وبنيةٌ غيرُ صالحةٍ في حالة البيانات تجعل سلوكَ النموذج معتمدًا على تسامح المحلّل لا على بنيةٍ صحيحة — هشاشةٌ في شاشةٍ تُقفل أوامرَ صيانةٍ وتعيد معداتٍ للخدمة.</t>
  </si>
  <si>
    <t xml:space="preserve">أُضيفت الأعمدةُ الحاكمة الثمانية إلى الرأس لاحقًا ولم يُحدَّث colspan؛ والنموذجُ وُضع داخل الصف لتغليف زرِّ كل سطرٍ بدل استعمال نموذجٍ واحدٍ بمعرّفٍ لكل صف.</t>
  </si>
  <si>
    <t xml:space="preserve">Maintenance/return_to_service.php:61-72 (13 رأسًا) · :73 colspan=5 · :78-79 form/input داخل tr</t>
  </si>
  <si>
    <t xml:space="preserve">١) افتح Maintenance/return_to_service.php حين لا توجد أوامرُ منجَزة ⇐ رسالةُ الحالة الفارغة تمتدّ على خمسة أعمدةٍ من ثلاثة عشر. ٢) اعرض مصدر الصفحة في حالة وجود صفوفٍ ⇐ &lt;form&gt; و&lt;input&gt; داخل &lt;tr&gt; خارج الخلايا.</t>
  </si>
  <si>
    <t xml:space="preserve">تصحيحُ colspan إلى 13 في Maintenance/return_to_service.php:73 (أو حسابُه من عدد الرؤوس)، ونقلُ &lt;form&gt; إلى داخل الخلية الأخيرة أو استعمالُ نموذجٍ واحدٍ خارج الجدول مع ربطِ أزرار الصفوف به بسمة form، فتصحّ البنية.</t>
  </si>
  <si>
    <t xml:space="preserve">الحالةُ الفارغة تمتدّ على عرض الجدول كاملًا؛ ومصدرُ الصفحة لا يحوي &lt;form&gt; أو &lt;input&gt; ابنًا مباشرًا لـ&lt;tr&gt;.</t>
  </si>
  <si>
    <t xml:space="preserve">الجدولُ يحمل 13 رأسًا (5 وظيفية + 8 حاكمة) وصفُّ الفراغ colspan="5" (السطر 73)؛ و&lt;form&gt; مفتوحٌ داخل &lt;tr&gt; (السطر 78) و&lt;input type="hidden"&gt; ابنٌ مباشرٌ لـ&lt;tr&gt; (79) — بنيةٌ يعالجها المحلّل بالإخراج القسري.</t>
  </si>
  <si>
    <t xml:space="preserve">INJ-0527</t>
  </si>
  <si>
    <t xml:space="preserve">AS-03 السايدبار · «حالةُ المجموعاتِ محفوظة» · «المجموعةُ المفتوحةُ ظاهرة»</t>
  </si>
  <si>
    <t xml:space="preserve">سايدبار الصيانة — المراحل المطوية</t>
  </si>
  <si>
    <t xml:space="preserve">«مجموعاتٌ منسدلةٌ قابلةٌ للفتحِ والإغلاق — ولا تُعرض المستوياتُ دفعةً» و«الوضعان الموسَّعُ والمختصرُ مدعومان — وحالةُ المجموعاتِ محفوظة» و«المجموعةُ المفتوحةُ ظاهرةٌ والعنصرُ النشطُ مميَّز».</t>
  </si>
  <si>
    <t xml:space="preserve">المصيّر يبدأ كلَّ المجموعات مطويةً بلا استثناء ($openDefault = false ثابتٌ في الكود وaria-expanded="false" لكل مجموعة) — بقرارِ مالكٍ يخصّص حكمَ المراحل الذي ينصّ على أن «المراحلُ ٠ و١ و٢ مفتوحةٌ وما بعدها مطويّ» (وهو منصوصٌ عليه في تعليق الملف نفسِه). فمديرُ الصيانة يفتح النظامَ على ستِّ مجموعاتٍ مغلقةٍ بلا أيِّ رابطٍ ظاهرٍ سوى العناوين.</t>
  </si>
  <si>
    <t xml:space="preserve">أولُ شاشةٍ يراها المستخدمُ قائمةُ عناوينَ مغلقةٍ لا روابطَ فيها؛ فكلُّ مهمةٍ يوميةٍ تحتاج نقرتين بدل نقرة، وتُفقد ميزةُ «حالةُ الإدارة قبل تفصيلها». والحكمُ المنصوصُ عليه (المراحل ٠ و١ و٢ مفتوحة) غيرُ منفَّذ.</t>
  </si>
  <si>
    <t xml:space="preserve">قرارُ مالكٍ لاحق (2026-08-02) غيّر السلوكَ إلى الطيِّ الكامل معتمدًا على أكورديون insidebar لحفظ الحالة، ولم يُحدَّث نصُّ الحكم ولا وُثِّق التعارضُ في مسار التغيير.</t>
  </si>
  <si>
    <t xml:space="preserve">includes/unified_nav.php:192-195; :208-210</t>
  </si>
  <si>
    <t xml:space="preserve">١) ادخل بدور 13 لأول مرة (جلسةٌ جديدةٌ بلا حالةٍ محفوظة). ٢) انظر السايدبار ⇐ ستُّ مجموعاتٍ مغلقةٍ بلا رابطٍ ظاهر. ٣) لا مجموعةَ مفتوحةٌ افتراضيًّا.</t>
  </si>
  <si>
    <t xml:space="preserve">تعديلُ includes/unified_nav.php:211 ليكون $openDefault = ($stageNo &lt;= 2) عند غياب حالةٍ محفوظةٍ في المتصفح، مع إبقاء أكورديون insidebar مسيطرًا بعد أول تفاعل — أو توثيقُ استثناءٍ موقَّعٍ من المالك في ملف التتبع يعدّل الحكمَ صراحة.</t>
  </si>
  <si>
    <t xml:space="preserve">الدخولُ بجلسةٍ جديدةٍ يُظهر المراحلَ ٠ و١ و٢ مفتوحةً بروابطها وما بعدها مطويًّا؛ وحالةُ الطيِّ بعد التفاعل محفوظةٌ بين الزيارات.</t>
  </si>
  <si>
    <t xml:space="preserve">صحيحٌ أن $openDefault=false ثابتٌ وaria-expanded="false" لكل مجموعة، لكن التعليقَ الملاصقَ (unified_nav.php:208-209) يوثّق قرارَ مالكٍ صريحًا بتاريخ 2026-08-02 يخصّص حكمَ ١٣ إلى «البدءُ مطويًّا بالكامل» مع حفظِ الحالة في أكورديون insidebar — فالفجوةُ توثيقيةٌ لا تنفيذية ⇒ P3.</t>
  </si>
  <si>
    <t xml:space="preserve">INJ-0528</t>
  </si>
  <si>
    <t xml:space="preserve">▐ ٤ الدليلُ والتتبع · declared_counts (8 شاشات · 14 فعلًا · 9 مراحل)</t>
  </si>
  <si>
    <t xml:space="preserve">شاشات إدارة الصيانة — العدد المعلن</t>
  </si>
  <si>
    <t xml:space="preserve">الوثيقةُ تعلن لإدارة الصيانة «8 شاشة» و«14 فعلًا» و«9 مرحلة» وتسرد ثمانيَ شاشاتٍ بأعمدتها؛ ومجموعُ شاشات المراحل في الجدول ثمانٍ وعشرون ظهورًا.</t>
  </si>
  <si>
    <t xml:space="preserve">الأعدادُ المعلنةُ في الملاحظة لا تطابق الحصرَ الفعليَّ للروابط الظاهرة، والجوهرُ (غيابُ المراحل 3 و6 و8 وشاشاتٍ معلنةٍ عند إداراتٍ أخرى) قائم. — [مُصحَّح بعد التحقق] الصياغة الأولى: الموجودُ في السايدبار للدور 13: ستُّ مجموعاتٍ (المراحل 0 · 1 · 2 · 4 · 5 · 7 ومجموعةُ احتياطٍ 99) — أي غيابُ المراحل 3 و6 و8، وأربعةَ عشرَ رابطًا لثمانية ملفاتٍ مميزةٍ ثلاثةٌ منها ليست صيانية (Tickets</t>
  </si>
  <si>
    <t xml:space="preserve">نصفُ شاشات الإدارة المعلنة غيرُ ظاهرةٍ لمالكها، وثلاثُ مراحلَ من تسعٍ بلا مجموعة. لا يمكن إثباتُ اكتمال نطاق الإدارة ولا تتبّعُ ما بقي، ولا تُقرأ دورةُ العمل من القائمة كما توجب قاعدةُ الترتيب بالمراحل.</t>
  </si>
  <si>
    <t xml:space="preserve">بذرةُ nav_items بُنيت بمطابقةٍ تقريبيةٍ مع الملفات القائمة، وسدَّت الفجواتِ بشاشاتٍ من إداراتٍ أخرى وبتكرارِ ملفٍّ بمرساة، بلا إعلانٍ للنقص في ملف التتبع.</t>
  </si>
  <si>
    <t xml:space="preserve">database/schema/seed_reference.sql (link_groups للدور 13: stage_no 0,1,2,4,5,7,99)</t>
  </si>
  <si>
    <t xml:space="preserve">١) عُدّ ملفات Maintenance/*.php ⇐ ١٤ (منها ٣ نقاطِ ردٍّ داخلي ومساعد). ٢) عُدّ مجموعات سايدبار الدور 13 ⇐ ٧. ٣) استخرج المسارات المميزة ⇐ ٨ ملفاتٍ نصفُها خارج المجلد. ٤) قارن بـ«8 شاشة · 9 مرحلة».</t>
  </si>
  <si>
    <t xml:space="preserve">بناءُ جدولِ مطابقةٍ في ملف التتبع يربط كلَّ شاشةٍ من الثمانِ بملفها الحيِّ ومالكها المعلن أو يعلن غيابَها، وإنشاءُ المجموعات الثلاث المفقودة (3 · 6 · 8)، وحسمُ ملكيةِ الشاشتين الواقعتين عند الأسطول.</t>
  </si>
  <si>
    <t xml:space="preserve">مكتب إدارة المتطلبات — إدارة الصيانة</t>
  </si>
  <si>
    <t xml:space="preserve">ملفُّ التتبع يعرض ثمانيةَ صفوفٍ لشاشات الصيانة، لكلِّ صفٍّ مسارُ ملفٍّ حيٍّ ومالكٌ معلنٌ ومنفذُ تنقلٍ واحد، أو حالةُ «غير منفَّذة» بتاريخ استحقاق.</t>
  </si>
  <si>
    <t xml:space="preserve">صحيحٌ أنّ مجموعاتِ الدور 13 هي المراحل 0·1·2·4·5·7 مع 99 (فتغيب 3 و6 و8) وأنّ readiness وfailures عند الأسطول وrisk_dept_mnt مفقود، لكنّ عدَّ «أربعةَ عشرَ رابطًا لثمانيةِ ملفاتٍ» غيرُ دقيق: الظاهرُ فعليًّا 20 رابطًا لـ13 ملفًّا مميزًا بعد فحص can_view.</t>
  </si>
  <si>
    <t xml:space="preserve">INJ-0529</t>
  </si>
  <si>
    <t xml:space="preserve">▐ ٤ الدليلُ والتتبع · AR-04 مفتاحُ منع التكرار</t>
  </si>
  <si>
    <t xml:space="preserve">أوامر الصيانة — عكس الإقفال</t>
  </si>
  <si>
    <t xml:space="preserve">خامسًا: الإقفال وإعادة الخدمة</t>
  </si>
  <si>
    <t xml:space="preserve">أعمدةُ reversed_by/reversal_of محقونةٌ في Maintenance/orders.php لا في جدول العودة للخدمة؛ والقائمُ فعلًا هو انعدامُ فعلِ عكسٍ لكليهما. — [مُصحَّح بعد التحقق] الصياغة الأولى: لا فعلَ عكسٍ معرَّفٌ لإقفال أمر الصيانة ولا للعودة للخدمة: شاشةُ العودة للخدمة بلا زرِّ تراجع، وشاشةُ الأوامر تسمح بتغيير الحالة من «إغلاق» إلى غيرها كتعديلٍ مباشرٍ على الصف بلا حركةٍ عاكسةٍ ولا مرجعٍ</t>
  </si>
  <si>
    <t xml:space="preserve">معدةٌ أُعيدت للخدمة خطأً — بشهادةِ جاهزيةٍ غيرِ صحيحة — تُصحَّح بتعديل الصفِّ فيختفي الخطأُ من السجل بدل أن يُوثَّق. «من محا فقد أتلف الدليلَ لا المشكلة» (GOV-029-د) تنطبق حرفيًّا.</t>
  </si>
  <si>
    <t xml:space="preserve">بُنيت دورةُ حالة الأمر انتقالاتٍ حرةً بين ست حالاتٍ بلا تمييزٍ بين انتقالٍ إلى الأمام وحركةٍ عاكسة، ولم يُوصَل ReverseService.</t>
  </si>
  <si>
    <t xml:space="preserve">Maintenance/orders.php:46; :47; Maintenance/return_to_service.php:26; :66; :67; app/Services/Actions/ReverseService.php:1; includes/gov_columns.php:13</t>
  </si>
  <si>
    <t xml:space="preserve">١) أقفل أمرًا وأعد المعدةَ للخدمة. ٢) افتح الأمرَ في Maintenance/orders.php وأعد حالتَه إلى «تنفيذ» ⇐ يُقبل بلا سببٍ ولا حركةٍ عاكسة. ٣) افحص عمود «عكس عن» ⇐ فارغ.</t>
  </si>
  <si>
    <t xml:space="preserve">تعريفُ فعلِ عكسٍ صريحٍ لإقفال الأمر: زرُّ «إعادة فتح بسبب» يستدعي app/Services/Actions/ReverseService فينشئ حركةً جديدةً تشير إلى الإقفال الأصل وتحمل سببًا إلزاميًّا وتنشر حدثَ عكسٍ يعيد حالةَ المعدة، ومنعُ التعديل المباشر لحالة أمرٍ مقفلٍ في معالج Maintenance/orders.php.</t>
  </si>
  <si>
    <t xml:space="preserve">إعادةُ فتح أمرٍ مقفلٍ تتطلب سببًا وتُنشئ حركةً مرتبطةً بالأصل تظهر في عمودَي «عكس عن» و«معكوس بـ»؛ والتعديلُ المباشرُ لحالة أمرٍ مقفلٍ مرفوض.</t>
  </si>
  <si>
    <t xml:space="preserve">غيابُ فعلِ العكس مؤكَّد: return_to_service.php يُقفل mnt_order ويعيد equipments.status=1 بلا حركةٍ عاكسة، وorders.php:269 يسمح بتغييرِ الحالةِ تعديلًا مباشرًا. لكنَّ ادعاءَ «عمودَي عكس عن ومعكوس بـ المحقونين في جدول العودة للخدمة» خاطئ — هذان العمودان في orders.php لا في return_to_service.php (صفر مطابقة).</t>
  </si>
  <si>
    <t xml:space="preserve">INJ-0530</t>
  </si>
  <si>
    <t xml:space="preserve">PR-05 · «النداءُ المخالفُ يُرفض ولو جاء من أداةٍ خارجية»</t>
  </si>
  <si>
    <t xml:space="preserve">نقاط الرد الداخلية للصيانة</t>
  </si>
  <si>
    <t xml:space="preserve">http://localhost/ems/Maintenance/get_project_equipment.php</t>
  </si>
  <si>
    <t xml:space="preserve">كلُّ منعٍ في الخادم، والنداءُ المخالفُ يُرفض ولو جاء بمساره مباشرةً أو من أداةٍ خارجية — ويُسجَّل الرفض؛ والنطاقُ يحدد أيَّ صفوفٍ تُقرأ.</t>
  </si>
  <si>
    <t xml:space="preserve">ثلاثُ نقاطِ ردٍّ في المجلد (get_project_equipment · get_open_orders_count · get_breakdown_count) تفحص وجودَ الجلسة وحدَه ثم تردّ بيانًا: قائمةَ معدات مشروعٍ تحت الصيانة، وعددَ الأوامر المفتوحة، وعددَ البلاغات الجديدة. لا نداءَ لـcheck_page_permissions في أيٍّ منها، ولا فحصَ أن الدورَ صيانيّ؛ والعزلُ بالشركة يعتمد على company_id من الجلسة (وهو جيد) لكن أيَّ حسابٍ في الشركة يستعلم عن معدات أيِّ مشروع.</t>
  </si>
  <si>
    <t xml:space="preserve">تسريبُ بيانٍ عرضيٍّ بين الأدوار: أيُّ مستخدمٍ يستطيع سردَ معدات أيِّ مشروعٍ في شركته وعددَ أعطالها بنداءٍ واحد — معلوماتٌ تشغيليةٌ تُبنى منها صورةٌ عن حالة الأسطول بلا منحةٍ ولا سجل.</t>
  </si>
  <si>
    <t xml:space="preserve">نقاطُ الردِّ بُنيت لخدمة شاراتِ الشريط العلوي وقوائمِ الاختيار وافتُرض أنها غيرُ حساسة، فاكتُفي بحارس XHR في config.php.</t>
  </si>
  <si>
    <t xml:space="preserve">Maintenance/get_project_equipment.php:8; :12; :19; Maintenance/get_open_orders_count.php:12; Maintenance/get_breakdown_count.php:10</t>
  </si>
  <si>
    <t xml:space="preserve">١) ادخل بأيِّ حسابٍ في الشركة. ٢) أرسل XHR إلى Maintenance/get_project_equipment.php?project_id=N بترويسة X-Requested-With ⇐ تُرجع قائمةَ المعدات.</t>
  </si>
  <si>
    <t xml:space="preserve">إضافةُ فحصِ صلاحيةٍ في النقاط الثلاث: enforce_module_permission_json($conn,'Maintenance/orders.php') أو ما يعادله، وردُّ 403 بجسمٍ موحَّدٍ عند غياب المنحة مع تسجيل الرفض عبر log_security_event.</t>
  </si>
  <si>
    <t xml:space="preserve">نداءُ أيٍّ من نقاط الرد الثلاث بحسابٍ بلا منحةٍ على شاشات الصيانة يُرجع 403 ويُسجَّل؛ وبحسابٍ ممنوحٍ يُرجع البيانَ بنطاق شركته.</t>
  </si>
  <si>
    <t xml:space="preserve">نقاطُ الردِّ الثلاث تفحص وجودَ الجلسة فقط ثم تردّ البيان — صفرُ نداءٍ لـcheck_page_permissions أو ما يعادله فيها.</t>
  </si>
  <si>
    <t xml:space="preserve">INJ-0531</t>
  </si>
  <si>
    <t xml:space="preserve">AR-02 التكاملُ بالأحداث لا بالنداء · §١٦-٥ «لا إدارةَ تكتب في جداول إدارةٍ أخرى»</t>
  </si>
  <si>
    <t xml:space="preserve">اعتماد الوحدات التشغيلية — مروحة الأثر</t>
  </si>
  <si>
    <t xml:space="preserve">http://localhost/ems/includes/timesheet_event_hook.php</t>
  </si>
  <si>
    <t xml:space="preserve">«تتصل الإداراتُ بأحداثٍ منشورةٍ يستهلكها من يعنيه — لا نداءٌ مباشر»؛ و«لا إدارةَ تكتب في جداول إدارةٍ أخرى — والأثرُ ينتقل بالأحداث».</t>
  </si>
  <si>
    <t xml:space="preserve">cron_events.php يحمل مصالِحَ مروحةٍ يعيد EffectFanout::forTimesheetId لما فات (السطر 242)، والعطالةُ مضمونةٌ بـfin_event_links؛ وعلَمُ EMS_UNIT_CONVERT_GATE يؤجّل خلقَ المال إلى المالية عند تفعيله. — [مُصحَّح بعد التحقق] الصياغة الأولى: حين يُفعَّل العلَم، ينشر الخطّافُ الحدثَ ثم — في نفس الطلب ونفس التنفيذ — ينادي EffectFanout::forTimesheetId مباشرةً، وهذه تكتب في جداول المالية: fin_dues وfin_cost_records وfin_unit_records. فالمالُ </t>
  </si>
  <si>
    <t xml:space="preserve">أثرٌ ماليٌّ يقع من مسارٍ تشغيليٍّ داخل نفس الطلب: تعطُّلُ منطق المالية يُفشل اعتمادَ الساعات (أو يُبتلع صامتًا كما هو مكتوب)، وتعطُّلُ الاعتماد يمنع المال. ولا طابورَ إعادةِ محاولةٍ كما يوجب AR-02، والذمَمُ تُكتب من خارج إدارتها.</t>
  </si>
  <si>
    <t xml:space="preserve">بُني الفانوت نداءً مباشرًا قبل نضج طبقة المستهلكين، وبقي بعد بناء الناقل.</t>
  </si>
  <si>
    <t xml:space="preserve">includes/timesheet_event_hook.php:143; :185; :186; :187; app/Services/EffectFanout.php:1057; :1084; :175; :199</t>
  </si>
  <si>
    <t xml:space="preserve">١) فعّل EMS_EVENT_HOOKS=publish. ٢) اعتمد صفًّا في المستوى الرابع. ٣) تتبّع التنفيذ ⇐ النشرُ ثم النداءُ المباشر لـEffectFanout في نفس الطلب. ٤) لا صفَّ في طابور مستهلكين.</t>
  </si>
  <si>
    <t xml:space="preserve">تحويلُ EffectFanout::forTimesheetId إلى مستهلكِ حدثٍ مسجَّلٍ في ems_event_consumers يعمل من دورة cron_events.php بطابورِ إعادةِ محاولة، وحذفُ النداء المباشر من includes/timesheet_event_hook.php:185-187 — فيبقى الاعتمادُ تشغيليًّا خالصًا والمالُ أثرًا يتولد عند المستهلك.</t>
  </si>
  <si>
    <t xml:space="preserve">اعتمادُ المستوى الرابع ينشر حدثًا وينتهي؛ ويظهر الأثرُ المالي بعد دورة المستهلك، وتعطيلُ المستهلك لا يمنع الاعتمادَ بل يملأ طابورَ إعادة المحاولة.</t>
  </si>
  <si>
    <t xml:space="preserve">النداءُ المباشرُ بعد النشر واقعٌ فعلًا في الطلب نفسِه، لكنّ دعوى «لا طابورَ إعادةِ محاولة» خاطئة.</t>
  </si>
  <si>
    <t xml:space="preserve">INJ-0532</t>
  </si>
  <si>
    <t xml:space="preserve">§١٦-٤ (risk_dept_wrk.php · gov_dept_wrk.php) · §١٦-٣ المرحلة ٩</t>
  </si>
  <si>
    <t xml:space="preserve">مخاطر القوى التشغيلية / حوكمة القوى التشغيلية</t>
  </si>
  <si>
    <t xml:space="preserve">شاشتان من شاشات القوى الإحدى عشرة: «مخاطر القوى التشغيلية» (risk_dept_wrk.php · ٢٢ عمودًا · ٣ أفعال) و«حوكمة القوى التشغيلية» (gov_dept_wrk.php · ١٥ عمودًا · فعلان)؛ والمرحلةُ التاسعة «مخاطرُ الإدارة»؛ و«مساحةُ المخاطرِ الموحَّدة: عنصرٌ واحدٌ في سايدبار كلِّ إدارةٍ بعنوانٍ خاصٍّ بها».</t>
  </si>
  <si>
    <t xml:space="preserve">«حوكمة القوى التشغيلية» غيرُ موجودةٍ ملفًّا ولا رابطًا. و«مخاطر القوى» ممثَّلةٌ برابطٍ عامٍّ «مساحة مخاطر الإدارة» يقود إلى Risk/dept_risk_space.php موضعُه المجموعةُ الأخيرة عنوانُها «خارج الوثيقة — بانتظار قرار المالك» في سايدبار الدور 27، وهي المجموعةُ الوحيدة في تلك المرحلة.</t>
  </si>
  <si>
    <t xml:space="preserve">شاشتان معلنتان من إحدى عشرة ناقصتان أو مُساءُ وضعُهما؛ ومرحلةُ المخاطر التاسعة تظهر تحت عنوانٍ يقول للمستخدم إنها «خارج الوثيقة». ومساحةُ حوكمة الإدارة — حيث تُعرض حقولُها الحساسة (الأجور والخصومات) وسجلُّ الاطّلاع عليها — غيرُ موجودةٍ في إدارةٍ بياناتُها من أشدِّ البيانات حساسية.</t>
  </si>
  <si>
    <t xml:space="preserve">database/schema/seed_reference.sql:5011 (nav#6847 · group 3873 stage=99)</t>
  </si>
  <si>
    <t xml:space="preserve">١) ادخل بدور 27. ٢) افتح المجموعة الأخيرة ⇐ عنوانُها «خارج الوثيقة» وفيها «مساحة مخاطر الإدارة». ٣) ابحث عن «حوكمة القوى التشغيلية» ⇐ لا شيء.</t>
  </si>
  <si>
    <t xml:space="preserve">إنشاءُ مجموعة link_groups بـstage_no=9 وstage_title «مخاطر القوى التشغيلية» للدور 27 ونقلُ صفِّ Risk/dept_risk_space.php إليها بعنوانٍ خاصٍّ بالإدارة، وإنشاءُ Workforce/gov_dept_wrk.php باستدعاء includes/dept_gov_space.php وربطُه بمجموعة «تقارير القوى».</t>
  </si>
  <si>
    <t xml:space="preserve">سايدبارُ الدور 27 يعرض مجموعةً باسم «مخاطر القوى التشغيلية» بعنصرٍ واحدٍ بعنوانٍ خاصٍّ بها، ورابطًا لـ«حوكمة القوى التشغيلية» يفتح مساحةَ حوكمة الوحدة، ولا تبقى مجموعةٌ باسم «خارج الوثيقة».</t>
  </si>
  <si>
    <t xml:space="preserve">لا ملفَّ `risk_dept_wrk.php` ولا `gov_dept_wrk.php`، والرابطُ الوحيدُ عامُّ العنوان في مجموعةٍ اسمُها «خارج الوثيقة — بانتظار قرار المالك» — وهي حالةُ انتظارِ قرارٍ معلَنةٌ لا عيبٌ صامت.</t>
  </si>
  <si>
    <t xml:space="preserve">INJ-0533</t>
  </si>
  <si>
    <t xml:space="preserve">§١٦-٣ المرحلة ٤ (رابعًا: الوردية والتناوب التبادلي — سجل وردية · معتمِدُها مشرفُ الوردية)</t>
  </si>
  <si>
    <t xml:space="preserve">سجل الوردية</t>
  </si>
  <si>
    <t xml:space="preserve">المرحلةُ الرابعة «الوردية والتناوب التبادلي» مستندُها «سجل وردية · دورة تناوب» ومعتمِدُها مشرفُ الوردية، وشاشاتُها سبعٌ؛ و«ما تملكه القوى التشغيلية: سجلَّ ورديته».</t>
  </si>
  <si>
    <t xml:space="preserve">أربعةٌ من سبعةِ روابطِ المرحلةِ مملوكةٌ للقوى التشغيلية. — [مُصحَّح بعد التحقق] الصياغة الأولى: الرابطُ «سجل الوردية» في مجموعة المرحلة الرابعة يقود إلى Operations/shift_log.php — ملفٌّ في مجلد إدارة التشغيل ومربوطٌ أيضًا بسايدبارَي الدورين 6 و7 (إدارة الموقع ومشرف المشاريع) في مجموعةٍ عنوانُها </t>
  </si>
  <si>
    <t xml:space="preserve">«سجلُّ ورديته» — أحدُ ما تملكه الإدارةُ صراحةً — مسندٌ في القائمة إلى ملفٍّ تملكه إدارةُ التشغيل، وملفُّ المالك معطَّل. فمرحلةُ الوردية كلُّها في قائمة القوى التشغيلية مبنيةٌ على شاشاتِ غيرها.</t>
  </si>
  <si>
    <t xml:space="preserve">بذرةُ nav_items ربطت المرحلةَ بالملفات القائمة في مجلد التشغيل ولم يُربَط ملفُّ القوى المقابل.</t>
  </si>
  <si>
    <t xml:space="preserve">database/schema/seed_reference.sql (nav_items للدور 27 stage_no=4: سبعةُ صفوفٍ نشطة)</t>
  </si>
  <si>
    <t xml:space="preserve">١) ادخل بدور 27 وافتح «رابعًا: الوردية والتناوب التبادلي» ⇐ أربعةُ روابطَ ثلاثةٌ من إداراتٍ أخرى. ٢) اكتب http://localhost/ems/Workforce/worker_worklog.php ⇐ تُفتح ولا رابطَ لها.</t>
  </si>
  <si>
    <t xml:space="preserve">حسمُ المالك في ملف التتبع: إمّا ربطُ Workforce/worker_worklog.php بالمرحلة الرابعة بعنوان «سجل الوردية» وتحويلُ Operations/shift_log.php إلى عرضٍ للدور 27، وإمّا إعلانُ ملكية التشغيل وحذفُ ملفِّ القوى — والقرارُ يُوثَّق ولا يُترك ملفٌّ بلا منفذ.</t>
  </si>
  <si>
    <t xml:space="preserve">«سجل الوردية» في قائمة الدور 27 يفتح شاشةَ المالك المعلن، ولا يبقى ملفٌّ في Workforce/ بلا منفذٍ أو قرارِ حذفٍ موثَّق.</t>
  </si>
  <si>
    <t xml:space="preserve">الجوهرُ صحيح (رابطُ «سجل الوردية» للدور 27 يقود إلى Operations/shift_log.php، وWorkforce/worker_worklog.php بلا صفٍّ نشط)، لكن إحصاءَ المجموعةِ خاطئ: مرحلةُ الدور 27 الرابعةُ تحوي سبعةَ روابطَ نشطةٍ أربعةٌ منها من Workforce/ — مطابقةً لعدد الوثيقة (سبع شاشات) ⇒ الأثرُ المزعومُ «المرحلةُ كلُّها على شاشات غيرها» ساقط.</t>
  </si>
  <si>
    <t xml:space="preserve">INJ-0534</t>
  </si>
  <si>
    <t xml:space="preserve">§٤-٥ «لكلٍّ وجهةٌ حيةٌ موجودة» · PR-01 مصدرُ الحقيقة الواحد · ownership_rules</t>
  </si>
  <si>
    <t xml:space="preserve">http://localhost/ems/Oprators/oprators.php</t>
  </si>
  <si>
    <t xml:space="preserve">«سجل المشغّلين» (operators.php · ٣٠ عمودًا · فعلان · أربعُ إداراتٍ عارضة) أولُ شاشات القوى التشغيلية؛ و«لكل بيانٍ موضعٌ واحدٌ يُنشأ فيه ويُعدَّل، وكلُّ عرضٍ آخرَ له قراءةٌ لا نسخة».</t>
  </si>
  <si>
    <t xml:space="preserve">ازدواجُ الشاشتين قائم، لكن فتحَ القديمة يخضع لصلاحيات وحدتها؛ والمتخطَّى سطرُ عدّادِ التحويل لا حارسُ الصلاحية. — [مُصحَّح بعد التحقق] الصياغة الأولى: شاشتان تتنافسان على المعنى: سايدبار الدور 27 يشير في «أولًا: السجل والتكويد والتعاقد» إلى Employees/equipment_operators.php (تفحص الصلاحية وتعمل)، بينما Oprators/oprators.php (١٠٤ ك.ب · فيها إدارةُ ال</t>
  </si>
  <si>
    <t xml:space="preserve">بابٌ خلفيٌّ معلَنٌ في الشيفرة: من يعرف ?legacy=1 يفتح شاشةً بأفعالٍ كاملةٍ على العمليات والمشغّلين خارج القائمة وخارج سجل الانتقال. ومصدرُ الحقيقة لسجل المشغّلين مزدوجٌ بين مجلدين، فيُدخَل البيانُ مرتين ويتضارب.</t>
  </si>
  <si>
    <t xml:space="preserve">استُوعبت الشاشةُ في غرفة العمليات وتُركت خلف معامل رجوعٍ مؤقتٍ «حتى يصفر العدّاد» بلا تاريخِ إغلاقٍ ولا حارسِ صلاحيةٍ إضافيٍّ على المسار المؤقت.</t>
  </si>
  <si>
    <t xml:space="preserve">Oprators/oprators.php:13-21; :42-45; database/schema/seed_reference.sql:66; Employees/equipment_operators.php:20-25</t>
  </si>
  <si>
    <t xml:space="preserve">١) ادخل بدور 27 ⇐ «سجل المشغّلين» يقود إلى Employees/equipment_operators.php. ٢) اكتب http://localhost/ems/Oprators/oprators.php ⇐ إعادةُ توجيهٍ مع صفِّ تدقيق. ٣) اكتب http://localhost/ems/Oprators/oprators.php?legacy=1 ⇐ تُفتح الشاشةُ القديمة كاملةً بلا صفِّ تدقيق.</t>
  </si>
  <si>
    <t xml:space="preserve">إغلاقُ باب الرجوع: حذفُ فرع ?legacy=1 من Oprators/oprators.php:13 وجعلُ إعادة التوجيه غيرَ مشروطة (أو حصرُها بالسوبر أدمن مع تسجيلٍ إلزاميّ)، وحسمُ مصدر الحقيقة لسجل المشغّلين في ملف التتبع بين Employees/equipment_operators.php وغرفة العمليات.</t>
  </si>
  <si>
    <t xml:space="preserve">فتحُ Oprators/oprators.php بأيِّ معاملٍ يعيد التوجيهَ إلى غرفة العمليات ويكتب صفَّ تدقيق؛ ولا يبقى مسارٌ يفتح الشاشةَ القديمة بأفعالها.</t>
  </si>
  <si>
    <t xml:space="preserve">بابُ ?legacy=1 قائمٌ فعلًا (سطر 13) ويتخطى سطرَ التدقيق وإعادةَ التوجيه، لكنّه ليس بلا حارس: الشاشةُ مسجَّلةٌ modules 9 وتفحص check_page_permissions في السطر 42 قبل أفعالها، والبابُ معلَنٌ في الترويسة بابَ رجوعٍ مؤقتًا (M-27 · SPEC-03).</t>
  </si>
  <si>
    <t xml:space="preserve">INJ-0535</t>
  </si>
  <si>
    <t xml:space="preserve">§٤-٥ · placement_rules ① «◆ ثابتةٌ حرفيًّا — نفسُ الترتيبِ والأسماءِ والأيقونات»</t>
  </si>
  <si>
    <t xml:space="preserve">لوحة الإدارة — مساحتي الشخصية</t>
  </si>
  <si>
    <t xml:space="preserve">المنطقةُ ① «مساحةُ عملي» ◆ ثابتةٌ حرفيًّا — نفسُ الترتيبِ والأسماءِ والأيقونات بين كل الإدارات · محتواها: مهامي · طلباتي · موافقاتي · بلاغاتي · إنجازي · التنبيهات.</t>
  </si>
  <si>
    <t xml:space="preserve">التصحيح: العلاجُ منحُ can_view لا إضافةُ صفوف. — [مُصحَّح بعد التحقق] الصياغة الأولى: المجموعةُ الأولى في سايدبار الدور 27 تحوي أربعةَ عناصرَ فقط: الرئيسية · المراسلات · مهامي · المراسلات (مكرَّرة) — بينما بقيةُ الأدوار (1 · 13 · 15 · 24 …) تحوي سبعةَ عناصر تضيف «إنجازي» و«بوابتي» و«طل</t>
  </si>
  <si>
    <t xml:space="preserve">الموظفُ بصفتين لا يجد المنطقةَ ① في موضعها ولا بمحتواها نفسِه عند التبديل إلى دور القوى التشغيلية — وهي الفائدةُ المقيسة الوحيدة التي بُني عليها حكمُ الثبات. ومستخدمُ الدور 27 لا يجد «طلباتي» ولا «إنجازي» ولا «بوابتي» إطلاقًا.</t>
  </si>
  <si>
    <t xml:space="preserve">بذرةُ nav_items للدور 27 وُلّدت في موجةٍ لاحقةٍ بمجموعةٍ فرعيةٍ ناقصةٍ ولم تُطابَق ببقية الأدوار؛ ولا فاحصَ يتحقق من ثبات المنطقة ① بين الأدوار.</t>
  </si>
  <si>
    <t xml:space="preserve">database/schema/seed_reference.sql:4426-4430; includes/unified_nav.php:70-77; :234-239</t>
  </si>
  <si>
    <t xml:space="preserve">١) ادخل بدور 1 وسجّل عناصر المجموعة الأولى ⇐ سبعة. ٢) ادخل بدور 27 ⇐ أربعةٌ فقط، و«المراسلات» مكرَّرة. ٣) لا «طلباتي» ولا «إنجازي» ولا «بوابتي».</t>
  </si>
  <si>
    <t xml:space="preserve">إضافةُ صفوف nav_items الناقصة للدور 27 (Portal/my_achievement.php · Portal/my_portal.php · FinRequests/my_requests.php)، وحذفُ صفِّ chats/index.php المكرر، وإضافةُ فاحصٍ في مولّد التنقل يفشل إن اختلف محتوى المنطقة ① بين الأدوار.</t>
  </si>
  <si>
    <t xml:space="preserve">المجموعةُ الأولى في سايدبار الدور 27 تطابق نظيرتَها في بقية الأدوار عنصرًا عنصرًا بالترتيب والأسماء، بلا تكرار.</t>
  </si>
  <si>
    <t xml:space="preserve">الأثرُ المرصودُ صحيح (المنطقةُ ① للدور 27 أربعةُ عناصرَ فيها «المراسلات» مكرَّرة) لكن السببَ خاطئ: صفوفُ nav_items الخمسةُ **موجودةٌ ونشطة** (4426-4430) وثلاثةٌ منها تسقط لانعدام can_view (إنجازي · بوابتي · طلباتي).</t>
  </si>
  <si>
    <t xml:space="preserve">INJ-0536</t>
  </si>
  <si>
    <t xml:space="preserve">▐ ٤ الدليلُ والتتبع · declared_counts (11 شاشة · 12 فعلًا · 10 مراحل)</t>
  </si>
  <si>
    <t xml:space="preserve">شاشات القوى التشغيلية — العدد المعلن</t>
  </si>
  <si>
    <t xml:space="preserve">الوثيقةُ تعلن للقوى التشغيلية «11 شاشة» و«12 فعلًا» و«10 مرحلة» وتسرد إحدى عشرةَ شاشةً بأعمدتها وأفعالها.</t>
  </si>
  <si>
    <t xml:space="preserve">سايدبارُ الدور 27 بعد ترشيح الصلاحية يعرض 21 رابطًا لا 16 (37 صفَّ nav_items كلُّها active)، ومنها نحو 13 رابطًا لشاشاتِ إداراتٍ أخرى لا ستة؛ وعددُ المجموعات 10 (0-8 + 99) كما ذُكر. — [مُصحَّح بعد التحقق] الصياغة الأولى: الموجودُ في المجلد اثنان وعشرون ملفًّا، وأربعةٌ منها بلا منفذ. وسايدبارُ الدور 27 يعرض عشرَ مجموعاتٍ (المراحل 0-8 ومجموعةَ احتياطٍ 99) بستةَ عشرَ رابطًا، منها ستةُ روابطَ لشاشاتٍ من إداراتٍ أخرى (Equi</t>
  </si>
  <si>
    <t xml:space="preserve">أقلُّ من نصف شاشات الإدارة المعلنة ظاهرةٌ لمالكها في مجلدها؛ وستةُ روابطَ من ستةَ عشرَ في قائمتها تخصّ إداراتٍ أخرى. لا يمكن إثباتُ اكتمال نطاق الإدارة ولا تتبّعُ المتبقي، ولا تُقرأ دورةُ عملها من قائمتها.</t>
  </si>
  <si>
    <t xml:space="preserve">بذرةُ nav_items بُنيت بمطابقةٍ تقريبيةٍ وسدَّت الفجواتِ بشاشاتٍ من إداراتٍ أخرى بلا إعلانِ نقصٍ في ملف التتبع؛ والملفاتُ وُزّعت على المجلدات بحسب موجة البناء.</t>
  </si>
  <si>
    <t xml:space="preserve">Workforce/ (٢٢ ملفًّا); database/schema/seed_reference.sql (١٦ صفَّ nav_items للدور 27 في ١٠ مجموعات); Employees/equipment_operators.php:1; Operations/shift_log.php:1; Finance/entitlement.php:1</t>
  </si>
  <si>
    <t xml:space="preserve">١) عُدّ ملفات Workforce/*.php ⇐ ٢٢. ٢) عُدّ روابط سايدبار الدور 27 ⇐ ١٦ في ١٠ مجموعات. ٣) عُدّ منها ما مسارُه يبدأ بـWorkforce/ ⇐ ثمانية. ٤) قارن بـ«11 شاشة».</t>
  </si>
  <si>
    <t xml:space="preserve">بناءُ جدولِ مطابقةٍ في ملف التتبع يربط كلَّ شاشةٍ من الإحدى عشرة بملفها الحيِّ ومالكها المعلن أو يعلن غيابَها، وربطُ الملفات الأربعة المعطَّلة، وحسمُ ملكية الشاشات الواقعة عند إداراتٍ أخرى (operators · op_assign · shift_log · entitlement).</t>
  </si>
  <si>
    <t xml:space="preserve">مكتب إدارة المتطلبات — القوى التشغيلية</t>
  </si>
  <si>
    <t xml:space="preserve">ملفُّ التتبع يعرض أحدَ عشرَ صفًّا لشاشات القوى التشغيلية، لكلِّ صفٍّ مسارُ ملفٍّ حيٍّ ومالكٌ معلنٌ ومنفذُ تنقلٍ واحد، أو حالةُ «غير منفَّذة» بتاريخ استحقاق.</t>
  </si>
  <si>
    <t xml:space="preserve">الفجوةُ بين 11 شاشةً معلنةً وما هو تحت Workforce/ حقيقية، وgov_dept_wrk غيرُ موجودة، لكنّ عدَّ الروابط في البند خاطئ.</t>
  </si>
  <si>
    <t xml:space="preserve">INJ-0537</t>
  </si>
  <si>
    <t xml:space="preserve">PR-05 · TABLE 46 (مفتاحُ منع التكرار) · «الحارسُ في الخادم»</t>
  </si>
  <si>
    <t xml:space="preserve">كلُّ منعٍ في الخادم قبل الحفظ، ولكلِّ فعلٍ ذي أثرٍ مفتاحُ منعِ تكرارٍ وحمايةٌ من الطلب المزوَّر؛ والصلاحيةُ تُمنح وتُسحب من الحوكمة لا تُرمَّز في الكود.</t>
  </si>
  <si>
    <t xml:space="preserve">التصحيح: الصلاحيةُ مفروضةٌ مركزيًّا؛ الثغرتان الباقيتان CSRF وفحصُ التكرار الفاشلُ مفتوحًا. — [مُصحَّح بعد التحقق] الصياغة الأولى: المعالجُ يفحص عضويةَ الدور في ثابتٍ مرمَّزٍ في الشيفرة (EMS_ROLES_HOURS_APPROVAL_ACCESS) ويشتقُّ مستوى الاعتماد من خريطةٍ مرمَّزةٍ ['1'=&gt;1,'2'=&gt;2,'3'=&gt;3,'4'=&gt;4]. لا نداءَ لـcheck_page_permissions فلا </t>
  </si>
  <si>
    <t xml:space="preserve">صلاحيةُ الاعتماد الأعلى أثرًا في النظام خارجَ نموذج الصلاحيات كليًّا: لا تُمنح ولا تُسحب ولا تُراجَع في دورة المراجعة الدورية. وفشلُ استعلامِ التحقّق من التكرار يُنتج اعتمادًا مزدوجًا في نفس المستوى. وغيابُ رمز الحماية يجعل الاعتمادَ ممكنًا بطلبٍ مزوَّر.</t>
  </si>
  <si>
    <t xml:space="preserve">الحارسُ كُتب بثوابت أدوارٍ في مسار ADR-07 قبل نضج نموذج الصلاحيات، ومنعُ التكرار بُني فحصًا مسبقًا لا قيدًا في القاعدة.</t>
  </si>
  <si>
    <t xml:space="preserve">Approvals/hours_approval_handler.php:26; :43; :155-158; includes/action_guard.php:101; docs/ARCHITECTURE_CURRENT_SYSTEM_v3_ar.md:817</t>
  </si>
  <si>
    <t xml:space="preserve">١) ادخل بدور 1 وأرسل POST إلى Approvals/hours_approval_handler.php بـaction=approve وids=&lt;معرّف&gt; بلا أيِّ رمز ⇐ ينفَّذ. ٢) اسحب can_edit من الدور على شاشة الاعتماد ⇐ ما زال ينفّذ لأن الفحصَ بالدور لا بالمنحة.</t>
  </si>
  <si>
    <t xml:space="preserve">استبدالُ فحص الدور المرمَّز في Approvals/hours_approval_handler.php:26-28 بـcheck_page_permissions($conn,'Approvals/hours_approval.php') مع اشتراط can_edit، ونقلُ خريطة المستويات إلى جدولٍ مرجعيٍّ قابلٍ للضبط، وإلزامُ رمز CSRF، وإضافةُ فهرسٍ فريدٍ على (timesheet_id, approval_level) في timesheet_approvals ليصير منعُ التكرار قيدًا لا فحصًا.</t>
  </si>
  <si>
    <t xml:space="preserve">سحبُ can_edit من دورٍ يمنع اعتمادَه فورًا؛ وطلبٌ بلا رمز CSRF يُرفض؛ وإدراجُ اعتمادين لنفس المستوى يُرفض بقيدٍ في القاعدة لا بفحصٍ قابلٍ للفشل.</t>
  </si>
  <si>
    <t xml:space="preserve">الفخُّ ④: المعالجُ **مسجَّلٌ** في سجل حراس AJAX المركزي (`includes/action_guard.php:101` بوحدة `Approvals/hours_approval.php` وaction='auto') والعلمُ الحيُّ `EMS_ACTION_GUARD=enforce` — فالحوكمةُ تستطيع منحَ الفعل وسحبَه. يبقى صحيحًا: انعدامُ رمز CSRF، وسقوطُ فحصِ التكرار مفتوحًا عند استثناءٍ في الاستعلام.</t>
  </si>
  <si>
    <t xml:space="preserve">INJ-0538</t>
  </si>
  <si>
    <t xml:space="preserve">١٧-٤ شاشاتُها وأفعالُها · أسماءُ ملفات الشاشات</t>
  </si>
  <si>
    <t xml:space="preserve">طلبات الترحيل · أوامر الترحيل · متابعة الرحلات · إقفال الأمر · تعرفة الترحيل</t>
  </si>
  <si>
    <t xml:space="preserve">الجدولُ يسمّي الملفاتِ: transfer_req.php · transfer_ord.php · transfer_track.php · transfer_cost.php · transfer_tariff.php</t>
  </si>
  <si>
    <t xml:space="preserve">الأسماءُ الفعلية: transfer_requests.php · transfer_orders_list.php · transfer_in_transit.php · transfer_close_cost.php · transfer_tariffs.php — خمسةُ رموزِ شاشاتٍ لا يطابق أيٌّ منها رمزَ الوثيقة</t>
  </si>
  <si>
    <t xml:space="preserve">سلسلةُ التتبع من المتطلب إلى الشاشة مكسورةٌ اسميًّا: ربطُ حكمِ الوثيقةِ بالشاشة يحتاج ترجمةً يدويةً في كل مراجعة، ويسقط الربطُ الآليُّ في ملف التتبع</t>
  </si>
  <si>
    <t xml:space="preserve">بُنيت الشاشاتُ بأسماءَ تقنيةٍ قبل تثبيت رموز NAV-09 ولم تُنشأ خريطةُ مرادفاتٍ (DEC-A: «ترحيلٌ بمرادفات»)</t>
  </si>
  <si>
    <t xml:space="preserve">Transport/transfer_requests.php; transfer_orders_list.php; transfer_in_transit.php; transfer_close_cost.php; transfer_tariffs.php; /tmp/dict/frd_readable.md:1386-1392</t>
  </si>
  <si>
    <t xml:space="preserve">١) افتح جدول §١٧-٤ في الوثيقة.
٢) ابحث في Transport/ عن transfer_req.php: غيرُ موجود.
٣) كرِّر للأربعة الباقية: كلُّها غيرُ موجودةٍ بالاسم الموثَّق.</t>
  </si>
  <si>
    <t xml:space="preserve">أنشئ خريطةَ مرادفاتٍ رسميةً في نظام الشاشات NAV-09 تربط كلَّ رمزٍ موثَّقٍ باسم الملف الفعلي، وابصِمها في بيان الإصدار وفق DEC-A ومسار RL-05</t>
  </si>
  <si>
    <t xml:space="preserve">أداةُ التتبع تربط كلَّ حكمٍ في §١٧ بملفٍ حيٍّ عبر خريطة المرادفات بلا تدخلٍ يدوي.</t>
  </si>
  <si>
    <t xml:space="preserve">أسماءُ الملفات الفعلية في Transport/ تخالف رموزَ الوثيقة الخمسة (frd_readable.md:1386-1392) — فرقُ تسميةٍ موثَّقٌ لا أكثر.</t>
  </si>
  <si>
    <t xml:space="preserve">INJ-0539</t>
  </si>
  <si>
    <t xml:space="preserve">١٧-٤ · اللوابد والمركبات الناقلة</t>
  </si>
  <si>
    <t xml:space="preserve">اللوابد والمركبات الناقلة</t>
  </si>
  <si>
    <t xml:space="preserve">http://localhost/ems/Transport/transfer_fleet.php</t>
  </si>
  <si>
    <t xml:space="preserve">«اللوابد والمركبات الناقلة | ٢٤ عمودًا | فعلٌ واحد» — وسجلُّ الوحدةِ يُقرأ من مصدره المعتمد ولا يُعاد إدخالُه</t>
  </si>
  <si>
    <t xml:space="preserve">الشاشةُ من شاشات CMP-03 غيرِ المحروسة: تُدرج مركباتٍ في جدولِ شاشةٍ منفصلٍ بحقولٍ نصيةٍ حرة، بينما مركبةُ الأمر في transfer_orders.vehicle_id مفتاحٌ أجنبيٌّ إلى جدول equipments — فسجلُّ المركبات الناقلة مزدوجٌ وغيرُ مربوط</t>
  </si>
  <si>
    <t xml:space="preserve">مركبةٌ تُدخل هنا لا تظهر في قائمة اختيار مركبةِ الأمر، وتُدخل بيانتُها مرتين — وهو ما يمنعه حكمُ «البيانُ يُدخل مرةً واحدةً في مصدره المعتمد»</t>
  </si>
  <si>
    <t xml:space="preserve">شاشةٌ مولَّدةٌ على المخزن العام بدل منظرٍ مصفّى على سجل المعدات المملوك لإدارة الأسطول</t>
  </si>
  <si>
    <t xml:space="preserve">Transport/transfer_fleet.php:81; :89; includes/cmp03_local_store.php:31; database/schema/schema.sql:12251</t>
  </si>
  <si>
    <t xml:space="preserve">١) أضِف مركبةً ناقلةً من شاشة «اللوابد والمركبات الناقلة».
٢) افتح نموذجَ أمرِ ترحيلٍ واختر المركبة: لا تظهر في القائمة.</t>
  </si>
  <si>
    <t xml:space="preserve">حوِّل Transport/transfer_fleet.php إلى منظرٍ للقراءةِ على equipments مصفّى بنوعِ «مركبة ناقلة/لوبد» مع فعلِ وسمٍ واحدٍ فقط، وأزِل الكتابةَ في مخزن CMP-03، وأضِف حارسَ trs_page_perms</t>
  </si>
  <si>
    <t xml:space="preserve">الشاشةُ تعرض مركباتٍ من سجل المعدات وحدَه، وكلُّ مركبةٍ تظهر فورًا في قائمة اختيار مركبة أمر الترحيل.</t>
  </si>
  <si>
    <t xml:space="preserve">الشاشةُ تكتب في مخزن CMP-03 بحقولٍ نصيةٍ حرة بلا أيِّ حارسِ صلاحيةِ شاشة، بينما مركبةُ أمر الترحيل مفتاحٌ أجنبيٌّ إلى equipments — سجلٌّ مزدوجٌ غيرُ مربوط.</t>
  </si>
  <si>
    <t xml:space="preserve">INJ-0540</t>
  </si>
  <si>
    <t xml:space="preserve">§٤-٥ قواعدُ السايدبار · UXR-0036 «صفرُ عنصرٍ مكرر»</t>
  </si>
  <si>
    <t xml:space="preserve">«صفرُ عنصرٍ مكرر · وصفرُ عنصرٍ لا يملكه المستخدم» — والتكرارُ عيبٌ حيٌّ مرصود UI-DEF-05 (UXR-0082)</t>
  </si>
  <si>
    <t xml:space="preserve">«المراسلات» تُطبع مرتين في مجموعة «لوحة الإدارة» للدور ٢٣: مرةً مثبَّتةً في المولِّد ومرةً من صفِّ nav_items (module 262) — الرابطُ نفسُه ../chats/index.php</t>
  </si>
  <si>
    <t xml:space="preserve">عيبُ التكرار المرصود UI-DEF-05 يُعاد إنتاجُه في سايدبار النقل، وفاحصُ التنقلِ لا يوقف التوليد</t>
  </si>
  <si>
    <t xml:space="preserve">المولِّد يطبع رابطًا مثبَّتًا للمراسلات في أولِ مجموعةٍ ثم يطبع صفَّ nav_items نفسَه بلا كشفِ تصادم</t>
  </si>
  <si>
    <t xml:space="preserve">database/schema/seed_reference.sql:4232 (nav_items id 6056); includes/unified_nav.php:236-238</t>
  </si>
  <si>
    <t xml:space="preserve">١) ادخل بدور إدارة النقل والترحيل.
٢) افتح مجموعة «لوحة الإدارة» في السايدبار.
٣) عُدَّ عناصرَ «المراسلات»: عنصران بنفس الرابط.</t>
  </si>
  <si>
    <t xml:space="preserve">في includes/unified_nav.php أضِف مجموعةَ روابطَ مطبوعةٍ (seen set) على قيمة route قبل الطباعة في printStageNav، أو احذف صفوفَ nav_items التي route فيها chats/index.php ما دام المولِّد يطبعها مثبَّتة</t>
  </si>
  <si>
    <t xml:space="preserve">فاحصُ التنقل يعيد صفرَ رابطٍ مكرر لكل دور؛ ويظهر «المراسلات» مرةً واحدةً في سايدبار الدور ٢٣.</t>
  </si>
  <si>
    <t xml:space="preserve">الدورُ 23 له صفُّ nav_items لـchats/index.php (id 6056) داخل مجموعة المرحلة 0، ويحقن printStageNav رابطَ المراسلات ثابتًا في أول مرحلة — فيُطبع الرابطُ نفسُه مرتين.</t>
  </si>
  <si>
    <t xml:space="preserve">INJ-0541</t>
  </si>
  <si>
    <t xml:space="preserve">§٤-١ «الشاشاتُ القانونية | ٢٠٣ | لكلٍّ وجهةٌ حيةٌ موجودةٌ»</t>
  </si>
  <si>
    <t xml:space="preserve">شاشات movement/ الخمس (خريطة التشغيل · شجرة العميل · إضافة السائقين · نقل المشغّلين · سائقو المشروع)</t>
  </si>
  <si>
    <t xml:space="preserve">http://localhost/ems/movement/map_page.php</t>
  </si>
  <si>
    <t xml:space="preserve">«نظامُ الشاشاتِ هو المصدرُ الموحَّدُ الوحيدُ للتنقل… لكلٍّ وجهةٌ حيةٌ موجودةٌ» — ولا شاشةَ حيةٌ خارج المصفوفة</t>
  </si>
  <si>
    <t xml:space="preserve">مجلدُ movement/ (نطاقُ النقل والترحيل) فيه ١٠ ملفاتٍ؛ الظاهرُ في أيِّ سايدبارٍ واحدٌ فقط (movement/movement_operations.php للدور ٦ وفي مجموعة «خارج الوثيقة»)؛ map_page.php و client_tree.php و add_drivers.php و move_oprators.php و project_drivers.php لا تظهر لأيِّ دور</t>
  </si>
  <si>
    <t xml:space="preserve">خمسُ شاشاتٍ حيةٍ تكتب في جداول operations و equipment_drivers ولا يعرفها الفاحصُ ولا تُقاس في مقام التبنّي — وهي بلا مالكٍ معلَنٍ ولا مرحلة</t>
  </si>
  <si>
    <t xml:space="preserve">شاشاتٌ سابقةٌ لنظام NAV-09 لم تُسجَّل في nav_items ولم تُحذف ولم تُبصَم مرحلتُها ومالكُها (خرقُ PR-11)</t>
  </si>
  <si>
    <t xml:space="preserve">database/schema/seed_reference.sql:3604-3608 (nav_items للدور 6 · مجموعة 99)</t>
  </si>
  <si>
    <t xml:space="preserve">١) اجرد روابط كل الأدوار الـ٢٩ من nav_items.
٢) رشِّح ما يبدأ بـmovement/: تجد صفًّا واحدًا فعّالًا (movement_operations.php).
٣) افتح http://localhost/ems/movement/map_page.php مباشرةً: الشاشةُ تفتح وتعمل.</t>
  </si>
  <si>
    <t xml:space="preserve">لكل ملفٍ من الخمسة: إمّا تسجيلُه في NAV-09 بمرحلةٍ ومالكٍ ونطاقٍ ثم بذرُ صفِّ nav_items، أو أرشفتُه وإزالتُه من الجذر — ويُبصَم القرارُ في بيان الإصدار</t>
  </si>
  <si>
    <t xml:space="preserve">فاحصُ التنقل يعيد صفرَ ملفِ شاشةٍ حيٍّ تحت movement/ بلا صفٍّ في nav_items.</t>
  </si>
  <si>
    <t xml:space="preserve">من عشرة ملفاتٍ في movement/ لا يظهر إلا movement_operations.php للدور 6 في مجموعة «خارج الوثيقة»؛ map_page.php صفُّه معطَّلٌ (active=0)، وclient_tree.php وadd_drivers.php وmove_oprators.php وproject_drivers.php بلا أيِّ صفٍّ في nav_items.</t>
  </si>
  <si>
    <t xml:space="preserve">INJ-0542</t>
  </si>
  <si>
    <t xml:space="preserve">§٣ قواعدُ الجداولِ والأعمدة · CM-08/UI-05</t>
  </si>
  <si>
    <t xml:space="preserve">الوصول والتسليم · متابعة الرحلات في الطريق · إقفال الأمر وتحميل تكلفته</t>
  </si>
  <si>
    <t xml:space="preserve">الشاشاتُ الطويلةُ (٢٠+ عمودًا) تحتاج مناظرَ وزرَّ إظهارِ الكلِّ إلزامًا؛ وللجدولِ بحثٌ وفرزٌ وترقيم</t>
  </si>
  <si>
    <t xml:space="preserve">التصحيح: أعدادُ الرؤوس 29 و15 و31 — فشاشةُ الوصول (15 عمودًا) خارجَ المدى المدَّعى «٢٨–٣٣». — [مُصحَّح بعد التحقق] الصياغة الأولى: الجداولُ الثلاثةُ تحمل السمة data-no-dt فيستثنيها مُهيِّئُ DataTables الآليُّ — فلا بحثَ ولا فرزَ ولا ترقيمَ ولا زرَّ أعمدة؛ ومع ذلك يعلن كلُّ جدولٍ منها ما بين ٢٨ و٣٣ عمودًا في الرأس</t>
  </si>
  <si>
    <t xml:space="preserve">ثلاثُ شاشاتِ عملٍ يوميةٍ بجداولَ ساكنةٍ تمامًا: لا يستطيع المستخدمُ البحثَ عن أمرٍ ولا فرزَ التكاليف ولا إخفاءَ الأعمدة، والقائمةُ محدودةٌ بـLIMIT صلبٍ في بعضها</t>
  </si>
  <si>
    <t xml:space="preserve">اختيرت data-no-dt لتفادي تعارضِ الأعمدة المحقونة مع المُهيِّئ الآلي، فسقطت خدماتُ الجدولِ كلُّها</t>
  </si>
  <si>
    <t xml:space="preserve">Transport/transfer_close_cost.php:69; Transport/transfer_arrival.php:57; Transport/transfer_in_transit.php:65; assets/js/ui-unification.js:429</t>
  </si>
  <si>
    <t xml:space="preserve">١) افتح «إقفال الأمر وتحميل تكلفته».
٢) ابحث عن صندوق بحث أو رؤوسٍ قابلةٍ للفرز أو ترقيمِ صفحات: لا شيء.
٣) افحص عنصرَ &lt;table&gt;: يحمل data-no-dt.</t>
  </si>
  <si>
    <t xml:space="preserve">أزِل data-no-dt من الجداول الثلاثة وحوِّلها إلى عُدّة includes/u13_screen_kit.php التي تُنتج المناظرَ وزرَّ «إظهار كل الأعمدة»، أو هيّئ DataTables محليًّا بـdom:'Bfrtip' وbuttons: ['colvis']</t>
  </si>
  <si>
    <t xml:space="preserve">كلُّ جدولٍ من الثلاثة يعرض صندوقَ بحثٍ وفرزًا وترقيمًا وزرَّ «إظهار كل الأعمدة» بنصِّه الموحَّد.</t>
  </si>
  <si>
    <t xml:space="preserve">تحقّقت: الجداولُ الثلاثةُ تحمل `data-no-dt` فيستثنيها مُهيِّئُ DataTables — فلا بحثَ ولا فرزَ ولا ترقيم.</t>
  </si>
  <si>
    <t xml:space="preserve">INJ-0543</t>
  </si>
  <si>
    <t xml:space="preserve">§٤ الفلاتر · «فلترُ الفترة وفلترُ الإدارة»</t>
  </si>
  <si>
    <t xml:space="preserve">أوامر الترحيل</t>
  </si>
  <si>
    <t xml:space="preserve">شريطُ فلاترَ موحَّدٌ بعدّادِ المفعَّل وتفريغٍ بضغطة، ومنها فلترُ الفترةِ وفلترُ الإدارة</t>
  </si>
  <si>
    <t xml:space="preserve">خمسةُ فلاترَ يدويةٍ (المرحلة/النوع/الاتجاه/المتحمِّل/المشروع) تُبنى قيمُها من محتوى الصفحة المُصيَّرة في المتصفح (الدالة fill) — فلا فلترَ فترةٍ ولا فلترَ إدارةٍ، ولا عدّادَ للفلاتر المفعَّلة، وأيُّ قيمةٍ لا تظهر في الصفحة الحاليةِ لا تظهر في القائمة</t>
  </si>
  <si>
    <t xml:space="preserve">لا يمكن حصرُ أوامر الترحيل بفترةٍ زمنيةٍ — وهي الحاجةُ الأولى في تقاريرِ التكلفة؛ والفلاترُ تعمل على الصفحةِ المُحمَّلةِ لا على المجموعة الكاملة</t>
  </si>
  <si>
    <t xml:space="preserve">فلاترٌ مكتوبةٌ يدويًّا في العميل بلا مكوّنِ شريطِ فلاترَ ولا معالجةٍ خادمية</t>
  </si>
  <si>
    <t xml:space="preserve">Transport/transfer_orders_list.php:52-58; :174-181; :183</t>
  </si>
  <si>
    <t xml:space="preserve">١) افتح «أوامر الترحيل».
٢) ابحث عن فلترِ فترةٍ (من/إلى): غيرُ موجود.
٣) ابحث عن عدّادٍ للفلاتر المفعَّلة: غيرُ موجود.</t>
  </si>
  <si>
    <t xml:space="preserve">أضِف حقلَي تاريخٍ (من/إلى) على planned_date يُمرَّران إلى الاستعلام في Transport/transfer_orders_list.php:52، واستعمل مكوّنَ الفلاتر الموحَّد مع عدّادِ المفعَّل وزرِّ التفريغ</t>
  </si>
  <si>
    <t xml:space="preserve">تحديدُ فترةٍ يعيد فقط الأوامرَ ضمنها من الخادم، ويعرض الشريطُ «٣ فلاتر مفعَّلة» مع زرِّ تفريغ.</t>
  </si>
  <si>
    <t xml:space="preserve">الفلاترُ الخمسةُ تُبنى في المتصفح من محتوى الجدول عبر fill()، ولا فلترَ فترةٍ ولا إدارةٍ ولا عدّادَ مفعَّل — مؤكَّدٌ في الشاشة.</t>
  </si>
  <si>
    <t xml:space="preserve">INJ-0544</t>
  </si>
  <si>
    <t xml:space="preserve">§١-٥ قواعدُ الموضع · مساحةُ المخاطرِ الموحَّدة</t>
  </si>
  <si>
    <t xml:space="preserve">«عنصرٌ واحدٌ في سايدبار كلِّ إدارةٍ بعنوانٍ خاصٍّ بها — ◆ مكوّنٌ واحدٌ يتغير نطاقُه وعنوانُه بحسب الإدارةِ والدور»</t>
  </si>
  <si>
    <t xml:space="preserve">الشاشةُ تصفّي صفوفَها تلقائيًّا بوحدة الدور (23 ← 13) وتعنون الوحدةَ من org_units؛ الخللُ محصورٌ في label_ar العام وموضعِ المجموعة 99. — [مُصحَّح بعد التحقق] الصياغة الأولى: العنصرُ موجودٌ لكن بعنوانٍ عامٍّ «مساحة مخاطر الإدارة» لا بعنوان «مخاطر النقل والترحيل»، وموضعُه مجموعةُ «خارج الوثيقة — بانتظار قرار المالك» (stage_no=99) لا مجموعةُ الإدارة؛ ولا يستقبل الملفُّ أيَّ </t>
  </si>
  <si>
    <t xml:space="preserve">مستخدمُ النقلِ لا يتعرف على مساحةِ مخاطرِ إدارته بالعنوان، ويجدها في مجموعةٍ تُوحي بأنها خارجُ النطاق المعتمد</t>
  </si>
  <si>
    <t xml:space="preserve">بُذر رابطٌ واحدٌ عامٌّ لكل الأدوار في مجموعة «أخرى — للمراجعة» بدل رابطٍ بعنوانٍ ونطاقٍ لكل إدارة</t>
  </si>
  <si>
    <t xml:space="preserve">database/schema/seed_reference.sql: link_groups 2103 · nav_items 6843; Risk/_risk_common.php:44-70; Risk/dept_risk_space.php:13-20</t>
  </si>
  <si>
    <t xml:space="preserve">١) ادخل بدور النقل.
٢) انزل لآخر السايدبار: «مساحة مخاطر الإدارة» ضمن «خارج الوثيقة — بانتظار قرار المالك».
٣) افتحها: العنوانُ عامٌّ ولا يذكر النقلَ والترحيل.</t>
  </si>
  <si>
    <t xml:space="preserve">غيِّر label_ar في صفِّ nav_items إلى «مخاطر النقل والترحيل» وأسنِده إلى مجموعة «متابعة الترحيل»، ومرِّر معاملَ نطاقٍ dept=trp إلى Risk/dept_risk_space.php ليعنون نفسَه ويصفّي صفوفَه</t>
  </si>
  <si>
    <t xml:space="preserve">السايدبار يعرض «مخاطر النقل والترحيل» داخل مجموعةٍ من مجموعات الإدارة، والشاشةُ تعنون نفسَها بالإدارة وتعرض مخاطرَها وحدَها.</t>
  </si>
  <si>
    <t xml:space="preserve">العنوانُ العامُّ والموضعُ في stage_no=99 صحيحان، لكنَّ ادعاءَ «لا يستقبل الملفُّ أيَّ معاملِ نطاق» مكذوب: risk_role_org_unit تربط الدورَ 23 بالوحدة 13 آليًّا ويقبل ?unit=.</t>
  </si>
  <si>
    <t xml:space="preserve">INJ-0545</t>
  </si>
  <si>
    <t xml:space="preserve">§٣ قواعدُ الجداولِ والأعمدة · CM-10 «إظهار كل الأعمدة»</t>
  </si>
  <si>
    <t xml:space="preserve">أوامر الترحيل · طلبات الترحيل · تعرفة الترحيل</t>
  </si>
  <si>
    <t xml:space="preserve">«إظهار كل الأعمدة» بالاسمِ الموحَّدِ في كل الشاشات — ولا يُغيَّر نصُّه؛ والشاشةُ الطويلةُ (٢٠+ عمودًا) تحتاجه إلزامًا</t>
  </si>
  <si>
    <t xml:space="preserve">لا شاشةَ في Transport/ تحتوي النصَّ «إظهار كل الأعمدة» ولا زرَّ colvis: تهيئةُ DataTables في transfer_orders_list.php تُعرّف buttons: [copy, excel, print] فقط، وبقيةُ الشاشات إمّا data-no-dt أو بلا أزرار</t>
  </si>
  <si>
    <t xml:space="preserve">جداولُ النقلِ الطويلةُ (٢٤-٣٦ عمودًا في الوثيقة) بلا أداةِ إظهارِ أعمدةٍ ولا مناظر — فالمستخدمُ يمرّر أفقيًّا بلا سبيلٍ لتخصيص المنظر</t>
  </si>
  <si>
    <t xml:space="preserve">عدمُ إدراجِ إضافةِ colvis في تهيئات DataTables المحلية، وعدمُ تبنّي عُدّةِ u13 التي تطبع الزرَّ بنصِّه الموحَّد</t>
  </si>
  <si>
    <t xml:space="preserve">Transport/transfer_orders_list.php:167; Transport/transfer_tariffs.php:313; includes/u13_screen_kit.php:319</t>
  </si>
  <si>
    <t xml:space="preserve">١) افتح «أوامر الترحيل».
٢) ابحث عن زرِّ «إظهار كل الأعمدة» أو أيِّ منتقي أعمدة: لا شيء.
٣) grep على Transport/ عن colvis: صفرُ نتيجة.</t>
  </si>
  <si>
    <t xml:space="preserve">أضِف { extend: 'colvis', text: 'إظهار كل الأعمدة' } إلى مصفوفة buttons في Transport/transfer_orders_list.php:167 والشاشاتِ الشقيقة، أو حوِّلها إلى includes/u13_screen_kit.php</t>
  </si>
  <si>
    <t xml:space="preserve">كلُّ جدولٍ في Transport/ يعرض زرًّا نصُّه «إظهار كل الأعمدة» يفتح قائمةَ الأعمدةِ ويحفظ الاختيار.</t>
  </si>
  <si>
    <t xml:space="preserve">صفر مطابقةٍ لـ«إظهار كل الأعمدة» أو colvis في Transport/؛ وbuttons في transfer_orders_list.php:167-171 هي copy/excel/print فقط، وجدولُ transfer_tariffs.php:313 يحمل data-no-dt و no-datatable. مخالفةٌ عرضيةٌ فتُخفَّض.</t>
  </si>
  <si>
    <t xml:space="preserve">INJ-0546</t>
  </si>
  <si>
    <t xml:space="preserve">§٧ معاييرُ القبولِ البصري · بنيةُ الجدول</t>
  </si>
  <si>
    <t xml:space="preserve">بنيةُ الجدولِ صحيحةٌ ومتّسقة، ورأسُ العمودِ يصف محتواه</t>
  </si>
  <si>
    <t xml:space="preserve">عنصرُ &lt;form&gt; يُفتح داخل الخليةِ الرابعة (السطر ١٠٥) ويُغلق داخل الخليةِ الخامسة (السطر ١١٠) فيتقاطع مع حدود الخلايا — HTML غير صالح؛ ورأسُ العمودِ الخامس «تاريخ الإقفال» بينما الخليةُ تحوي زرَّ «أقفل وحمّل»؛ والحالةُ الفارغةُ تستعمل colspan="5" في جدولٍ عرضُه ٢٨ عمودًا</t>
  </si>
  <si>
    <t xml:space="preserve">المتصفحُ يعيد ترتيبَ الشجرة فيختلُّ محاذاةُ الأعمدة، والمستخدمُ يقرأ عنوانًا يخالف المحتوى، والحالةُ الفارغةُ لا تغطي عرضَ الجدول</t>
  </si>
  <si>
    <t xml:space="preserve">نموذجٌ ممتدٌّ عبر خليتين لتوفير عمودٍ للزر، ورؤوسٌ لم تُحدَّث بعد حقن أعمدة CMP-03</t>
  </si>
  <si>
    <t xml:space="preserve">Transport/transfer_close_cost.php:70; Transport/transfer_close_cost.php:98; Transport/transfer_close_cost.php:105; Transport/transfer_close_cost.php:110</t>
  </si>
  <si>
    <t xml:space="preserve">١) افتح الشاشة وافحص المصدر: &lt;form&gt; يبدأ في &lt;td&gt; وينتهي في &lt;td&gt; تالٍ.
٢) قارن رأسَ العمود الخامس «تاريخ الإقفال» بمحتواه (زر).
٣) افتح الشاشةَ بلا أوامرَ واصلة: صفُّ الفراغ يغطي ٥ أعمدةٍ من ٢٨.</t>
  </si>
  <si>
    <t xml:space="preserve">اجعل النموذجَ كاملًا داخل خليةٍ واحدةٍ (حقل + زر معًا)، وسمِّ العمودَ الخامس «إجراء»، وأضِف عمودَ «تاريخ الإقفال» بقيمته الحقيقية، واضبط colspan على العدد الفعلي للأعمدة</t>
  </si>
  <si>
    <t xml:space="preserve">مدقّقُ HTML يعيد صفرَ خطأِ بنية، ورأسُ كلِّ عمودٍ يطابق محتواه، وصفُّ الحالة الفارغة يغطي عرضَ الجدول كاملًا.</t>
  </si>
  <si>
    <t xml:space="preserve">الأسطرُ مطابقةٌ حرفيًّا: `&lt;form&gt;` يُفتح في الخلية الرابعة (:105) ويُغلق في الخامسة (:110)، ورأسُ العمود الخامس «تاريخ الإقفال» والخليةُ زرُّ «أقفل وحمّل»، و`colspan="5"` في جدولٍ عرضُه ٢٨ عمودًا.</t>
  </si>
  <si>
    <t xml:space="preserve">INJ-0547</t>
  </si>
  <si>
    <t xml:space="preserve">§٧ معاييرُ القبولِ البصري · حالاتُ الشاشة (٤-١ الحالةُ الفارغة)</t>
  </si>
  <si>
    <t xml:space="preserve">الحالةُ الفارغةُ تشرح السببَ وتقترح الفعلَ التالي — لا سطرًا رماديًّا مجرَّدًا؛ والمحاورُ الخمسةُ يركّبها الغلافُ الحاكم</t>
  </si>
  <si>
    <t xml:space="preserve">الشاشةُ تبذر محاورَ الغلافِ باستدعاء ems_shell_axes(null) — أي بمحاورَ فارغةٍ لا مشتقّةٍ من محرك الصلاحيات — بينما الشاشاتُ الأنضجُ في الوحدة تمرّر $perms (مثال transfer_close_cost.php:53 يمرّر $perms لكنه غيرُ معرَّفٍ فيها أصلًا فيسقط إلى null)، فحالتا «بلا صلاحية» و«قراءةٌ فقط» لا تُركَّبان أبدًا</t>
  </si>
  <si>
    <t xml:space="preserve">الشاشةُ المقفلةُ تبدو كالمفتوحة والمحجوبةُ تبدو فارغة — وهو العيبُ الذي يمنعه القرارُ الحاكمُ الأول في CORE-01</t>
  </si>
  <si>
    <t xml:space="preserve">تمريرُ null إلى ems_shell_axes في شاشاتِ موجة update0007 لعدم حساب $perms فيها أساسًا (لأنها بلا حارس)</t>
  </si>
  <si>
    <t xml:space="preserve">Transport/transfer_in_transit.php:47; Transport/transfer_arrival.php:41; Transport/transfer_close_cost.php:53; includes/screen_contract.php:163-177</t>
  </si>
  <si>
    <t xml:space="preserve">١) افتح transfer_in_transit.php بحسابٍ بلا صلاحية.
٢) الشاشةُ تُعرض بجدولٍ فارغٍ بلا أيِّ بيانٍ بأن السببَ انعدامُ الصلاحية.</t>
  </si>
  <si>
    <t xml:space="preserve">احسب $perms عبر trs_page_perms في الشاشات الثلاث ومرِّرها إلى ems_shell_axes($perms) بدل null، وأضِف حالةً فارغةً تشرح السببَ وتقترح الفعلَ</t>
  </si>
  <si>
    <t xml:space="preserve">فتحُ الشاشة بحسابٍ بلا صلاحيةٍ يعرض حالةَ «محجوب» برمزٍ وسببٍ صريح، وبحسابِ قراءةٍ فقط يعرض حالةَ «قراءةٌ فقط» بلا أزرارِ كتابة.</t>
  </si>
  <si>
    <t xml:space="preserve">transfer_in_transit.php:47 وtransfer_arrival.php:41 يمرّران null، وtransfer_close_cost.php:53 يمرّر $perms غيرَ المعرَّفِ فيسقط إلى null؛ وems_shell_axes (screen_contract.php:168-173) يجعل المحورَ 'unmeasured' فلا تُركَّب حالتا «محجوب» و«قراءة فقط».</t>
  </si>
  <si>
    <t xml:space="preserve">INJ-0548</t>
  </si>
  <si>
    <t xml:space="preserve">§٥-١٢ الجوالُ والميدانيُّ · دون اتصالٍ والمزامنة</t>
  </si>
  <si>
    <t xml:space="preserve">شاشةُ متابعةِ الرحلات — وهي أكثرُ شاشاتِ النقلِ ميدانيةً — بلا أيِّ تخزينٍ محليٍّ ولا عاملِ خدمةٍ ولا مفتاحِ منعِ تكرار؛ ولا يوجد service worker في المستودع كلِّه، فتأكيدُ الوصولِ من موقعٍ بلا شبكةٍ يضيع</t>
  </si>
  <si>
    <t xml:space="preserve">سائقٌ أو مشرفٌ في موقعٍ بلا تغطيةٍ لا يستطيع تسجيلَ الوصول، فيُسجَّل لاحقًا بوقتٍ خاطئٍ أو لا يُسجَّل</t>
  </si>
  <si>
    <t xml:space="preserve">لم تُنفَّذ طبقةُ العمل دون اتصالٍ لأيِّ شاشةٍ ميدانية</t>
  </si>
  <si>
    <t xml:space="preserve">Transport/transfer_in_transit.php:19-29; assets/js/ems-components.js:98</t>
  </si>
  <si>
    <t xml:space="preserve">١) افتح متابعةَ الرحلات على جوال.
٢) اقطع الشبكة واضغط «وصلت».
٣) يفشل الطلبُ ولا يُحفظ محليًّا ولا يُعاد إرسالُه عند العودة.</t>
  </si>
  <si>
    <t xml:space="preserve">أضِف طابورَ إرسالٍ محليًّا (IndexedDB) لفعل «وصلت» مع مفتاح عطالةٍ order_id+الطابع الزمني، وعاملَ خدمةٍ يعيد الإرسالَ عند عودة الشبكة، وشارةَ حالةٍ حقيقيةً لا قراءةَ navigator.onLine</t>
  </si>
  <si>
    <t xml:space="preserve">الضغطُ على «وصلت» بلا شبكةٍ يحفظ محليًّا ويعرض «بانتظار المزامنة»، وعند عودة الشبكة يُرسَل مرةً واحدةً بلا تكرار.</t>
  </si>
  <si>
    <t xml:space="preserve">لا service worker في المستودع كلِّه ولا localStorage/indexedDB في أيِّ ملفٍّ من Transport/، والشارةُ تقرأ navigator.onLine فحسب — والوثيقةُ توجب «الحفظَ قبل الشبكة» للشاشات الميدانية.</t>
  </si>
  <si>
    <t xml:space="preserve">INJ-0549</t>
  </si>
  <si>
    <t xml:space="preserve">§٥-٢ الحالاتُ الأربعُ لكل فعلٍ حاكم (§٧-٢)</t>
  </si>
  <si>
    <t xml:space="preserve">أفعال النقل الثلاثة عشر</t>
  </si>
  <si>
    <t xml:space="preserve">مجلد tests/ يحوي اختبارًا واحدًا لوحدة النقل (transfer_tariff_test.php) يخص التعرفةَ فقط؛ ولا اختبارَ لأيٍّ من أفعال الوصول/التسليم/الإقفال/إعادة الفتح، ولا اختبارَ رفضٍ بالحارس (والحارسُ نفسُه غيرُ موجود)</t>
  </si>
  <si>
    <t xml:space="preserve">لا دليلَ حيًّا على أيِّ فعلٍ من أفعال النقل الثلاثةَ عشرَ؛ بوابةُ الأفعالِ لا تُغلق ولا يمكن إعلانُ اكتمال الوحدة</t>
  </si>
  <si>
    <t xml:space="preserve">لم تُكتب اختباراتُ الحالات الأربع للأفعال الجديدة في موجة update0007</t>
  </si>
  <si>
    <t xml:space="preserve">tests/transfer_tariff_test.php:1; tests/transfer_tariff_http_proof.php:1; Transport/transfer_arrival.php:18</t>
  </si>
  <si>
    <t xml:space="preserve">١) اجرد ملفات tests/ الخاصة بالنقل: ملفٌ واحد.
٢) ابحث فيه عن اختبارِ إقفالٍ أو وصولٍ أو تسليم: لا شيء.</t>
  </si>
  <si>
    <t xml:space="preserve">أضِف tests/transfer_actions_test.php يغطي لكلٍّ من confirm_arrival و deliver و close: الحالةَ الناجحةَ والمرفوضةَ بالحارس والمكررةَ والمعكوسة، ورَبطها في خط التسليم</t>
  </si>
  <si>
    <t xml:space="preserve">فريق ضمان الجودة — وحدة النقل</t>
  </si>
  <si>
    <t xml:space="preserve">تشغيلُ حزمة الاختبارات يعيد أربعَ حالاتٍ ناجحةٍ لكلٍّ من الأفعال الثلاثة، وأيُّ تراجعٍ في الحارس يُسقط الاختبار.</t>
  </si>
  <si>
    <t xml:space="preserve">صحيحٌ أنه لا اختبارَ لأفعال الوصول/التسليم/الإقفال/إعادة الفتح، وأن الأفعالَ الثلاثةَ بلا حارسِ صلاحيةٍ في الملف (والكتابةُ تسبق insidebar). لكن وحدةَ النقل لها اختباران لا واحدًا (transfer_tariff_test.php و transfer_tariff_http_proof.php).</t>
  </si>
  <si>
    <t xml:space="preserve">INJ-0550</t>
  </si>
  <si>
    <t xml:space="preserve">١٨-١ · «◆ ما لا تملكه: … الدفعَ نفسَه»</t>
  </si>
  <si>
    <t xml:space="preserve">«◆ ما لا تملكه: الاستلامَ الفعلي · الصرفَ · الدفعَ نفسَه» — والدفعُ مملوكٌ للمالية والخزينة</t>
  </si>
  <si>
    <t xml:space="preserve">مجموعةُ «رابعًا: الاستلام والمطابقة» في سايدبار المشتريات تحوي رابطَ «طلبات الدفع والسداد» إلى شاشة المالية Finance/payments_fin.php، بينما الدورةُ في §١٨-٢ تنتهي عند «أمرُ دفع» كمخرَجٍ للمالية لا كشاشةٍ في المشتريات</t>
  </si>
  <si>
    <t xml:space="preserve">خلطٌ في حدود الاختصاص يظهر للمستخدم: المشترياتُ تبدو صاحبةَ شاشةِ الدفعِ في مرحلتها، وهو ما تنفيه الوثيقةُ نصًّا</t>
  </si>
  <si>
    <t xml:space="preserve">بُذر رابطُ شاشةٍ ماليةٍ داخل مجموعةِ مرحلةٍ مشترياتيةٍ بلا وسمِ زاويةٍ «قراءةٌ/متابعة»</t>
  </si>
  <si>
    <t xml:space="preserve">database/schema/seed_reference.sql:4263 (nav_items 6087 · link_groups 3392)</t>
  </si>
  <si>
    <t xml:space="preserve">١) ادخل بدور المشتريات.
٢) افتح مجموعة «رابعًا: الاستلام والمطابقة»: ثلاثةُ روابطَ آخرُها «طلبات الدفع والسداد».</t>
  </si>
  <si>
    <t xml:space="preserve">انقل الرابطَ إلى مجموعة «متابعة المشتريات» وسمِّه «متابعة طلبات الدفع (قراءة)» ووسِمه بزاويةِ قراءةٍ في مصفوفة العرض، أو أزِله واستبدِله بمؤشرٍ في لوحة المشتريات</t>
  </si>
  <si>
    <t xml:space="preserve">مجموعةُ المرحلة الرابعة تعرض شاشتي المشتريات فقط، ورابطُ الدفعِ إن بقي فبزاويةِ قراءةٍ معلَنةٍ خارج مجموعات المراحل.</t>
  </si>
  <si>
    <t xml:space="preserve">الرابطُ إلى شاشة المالية قائمٌ فعلًا في مجموعة «طلب الدفع» ضمن المرحلة الرابعة لسايدبار المشتريات — لكنَّ رقمَ الدليل هو معرّفُ المجموعة لا رقمَ السطر.</t>
  </si>
  <si>
    <t xml:space="preserve">INJ-0551</t>
  </si>
  <si>
    <t xml:space="preserve">١٨-٤ · أسماءُ ملفات الشاشات (pr.php · rfq.php · po.php)</t>
  </si>
  <si>
    <t xml:space="preserve">طلبات الشراء · طلب العروض ومقارنتها · أوامر الشراء</t>
  </si>
  <si>
    <t xml:space="preserve">جدولُ ١٨-٤ يسمّي الملفات: `pr.php` · `rfq.php` · `po.php` · `po_match.php`</t>
  </si>
  <si>
    <t xml:space="preserve">الأسماءُ الفعلية: Procurement/requests_proc.php · Procurement/rfq_compare_award.php · Procurement/orders_proc.php — ثلاثةٌ من أربعةٍ لا تطابق رمزَ الوثيقة (المطابقُ الوحيدُ po_match.php)</t>
  </si>
  <si>
    <t xml:space="preserve">سلسلةُ التتبع من الحكم إلى الشاشة تحتاج ترجمةً يدويةً في كل مراجعة، ويسقط الربطُ الآليُّ في ملف التتبع (الورقة ٠٦)</t>
  </si>
  <si>
    <t xml:space="preserve">أسماءُ ملفاتٍ تقنيةٌ سبقت تثبيتَ رموز NAV-09 بلا خريطةِ مرادفاتٍ رسميةٍ (DEC-A)</t>
  </si>
  <si>
    <t xml:space="preserve">frd_readable.md:1477-1480; Procurement/requests_proc.php:1; Procurement/rfq_compare_award.php:1; Procurement/orders_proc.php:1</t>
  </si>
  <si>
    <t xml:space="preserve">١) ابحث في المستودع عن pr.php و rfq.php و po.php: صفرُ نتيجة.
٢) قارِنها بجدول §١٨-٤.</t>
  </si>
  <si>
    <t xml:space="preserve">أنشئ خريطةَ مرادفاتٍ رسميةً في NAV-09 تربط pr.php ← requests_proc.php و rfq.php ← rfq_compare_award.php و po.php ← orders_proc.php وابصِمها في بيان الإصدار وفق DEC-A و RL-05</t>
  </si>
  <si>
    <t xml:space="preserve">أداةُ التتبع تربط كلَّ حكمٍ في §١٨ بملفٍ حيٍّ عبر خريطة المرادفات بلا تدخلٍ يدوي.</t>
  </si>
  <si>
    <t xml:space="preserve">الوثيقةُ تسمّي pr.php · rfq.php · po.php · po_match.php (frd_readable.md:1477-1480) والموجودُ requests_proc.php · rfq_compare_award.php · orders_proc.php · po_match.php — فثلاثةٌ من أربعةٍ لا تُطابق ولا خريطةَ مرادفاتٍ رسمية.</t>
  </si>
  <si>
    <t xml:space="preserve">INJ-0552</t>
  </si>
  <si>
    <t xml:space="preserve">١٨-٣ · «لكل مرحلةٍ مستندٌ يُنتَج ومعتمِدٌ يشهد — ولا مرحلةَ بلا مخرَج»</t>
  </si>
  <si>
    <t xml:space="preserve">مراحل المشتريات السبع مقابل ست مجموعات في السايدبار</t>
  </si>
  <si>
    <t xml:space="preserve">جدولُ ١٨-٣ يعدّ سبعَ مراحلَ بعددِ شاشاتٍ لكلٍّ: ٣+٢+١+٣+٣+٥+١ = ١٨ ظهورَ شاشة</t>
  </si>
  <si>
    <t xml:space="preserve">سايدبار الدور ١٦ يعرض ستَّ مجموعاتٍ مرحليةٍ بمجموع ١٤ رابطًا (منها ٦ مملوكةٌ للمخازن و١ للمالية)، والمرحلةُ السابعةُ «مخاطرُ الإدارة» غيرُ ممثَّلةٍ بمجموعةٍ بل برابطٍ في «خارج الوثيقة»؛ والمرحلةُ الثانيةُ برابطٍ واحدٍ بدل اثنين</t>
  </si>
  <si>
    <t xml:space="preserve">بنيةُ دورةِ العملِ المعروضةُ للمستخدم لا تطابق الدورةَ المستنديةَ الحاكمة: مراحلُ ناقصةُ الشاشاتِ وأخرى محشوةٌ بشاشاتِ إدارةٍ أخرى</t>
  </si>
  <si>
    <t xml:space="preserve">ترجمةٌ جزئيةٌ لجدول المراحل إلى link_groups مع حشوِ الفراغ بشاشاتِ المخازن المتاحةِ في المجلد نفسِه</t>
  </si>
  <si>
    <t xml:space="preserve">database/schema/seed_reference.sql:3020; database/schema/seed_reference.sql:3024; database/schema/seed_reference.sql:2878; database/schema/seed_reference.sql:3029</t>
  </si>
  <si>
    <t xml:space="preserve">١) ادخل بدور المشتريات واحصِ روابطَ كل مجموعةٍ مرحلية.
٢) قارِن بجدول §١٨-٣ عمود «شاشاتُها».
٣) الفارقُ في المراحل ١ و٢ و٤ و٦.</t>
  </si>
  <si>
    <t xml:space="preserve">أعِد بناءَ مجموعات link_groups للدور ١٦ من جدول §١٨-٣ حرفيًّا، وانقل شاشاتِ المخازن إلى سايدبار المخازن، وأضِف مجموعةً للمرحلة السابعة «مخاطر الإدارة» بعنوان الإدارة</t>
  </si>
  <si>
    <t xml:space="preserve">عددُ المجموعاتِ المرحليةِ وعددُ روابطِ كلٍّ يطابق جدول §١٨-٣، ولا رابطَ لشاشةٍ يملكها غيرُ المشتريات داخل مجموعةٍ مرحلية.</t>
  </si>
  <si>
    <t xml:space="preserve">جدول frd_readable.md:1460-1466 يعدّ سبعَ مراحلَ بمجموع 18 ظهورًا (3+2+1+3+3+5+1)؛ والسايدبار المحسوب للدور 16 ستُّ مجموعاتٍ مرحليةٍ بأربعةَ عشرَ رابطًا، والمرحلةُ الثانيةُ برابطٍ واحد، والمرحلةُ السابعةُ برابطٍ في «خارج الوثيقة».</t>
  </si>
  <si>
    <t xml:space="preserve">INJ-0553</t>
  </si>
  <si>
    <t xml:space="preserve">لوحة المشتريات</t>
  </si>
  <si>
    <t xml:space="preserve">«② لوحةُ إدارتي — لوحةُ المؤشرات … ثابتةُ الموضعِ متغيرةُ المحتوى — حالةُ الإدارةِ قبل تفصيلها»</t>
  </si>
  <si>
    <t xml:space="preserve">الناقصُ رابطٌ في السايدبار لا الوصولُ نفسُه — فاللوحةُ هي صفحةُ هبوط الدور 16. — [مُصحَّح بعد التحقق] الصياغة الأولى: Procurement/dashboard_proc.php مبنيةٌ ومحروسةٌ (proc_page_perms) لكن صفَّها في nav_items بـactive=0 (id=194)، فمجموعةُ «لوحة الإدارة» لدور المشتريات تحوي روابطَ شخصيةً فقط (مهامي/إنجازي/بوابتي/طلباتي/</t>
  </si>
  <si>
    <t xml:space="preserve">إدارةُ المشتريات تفتح النظامَ على قائمةٍ شخصيةٍ لا على حالةِ إدارتها؛ ولوحةُ مؤشراتٍ مبنيةٌ معطَّلةٌ بلا سبب</t>
  </si>
  <si>
    <t xml:space="preserve">nav_items.active=0 لم يُعَد تفعيلُه بعد إعادة توليد سايدبار المرحلة</t>
  </si>
  <si>
    <t xml:space="preserve">database/schema/seed_reference.sql:3674; :3020; includes/role_board.php:53; Procurement/dashboard_proc.php:25</t>
  </si>
  <si>
    <t xml:space="preserve">١) ادخل بدور المشتريات وافتح مجموعة «لوحة الإدارة»: لا لوحةَ مؤشرات.
٢) افتح http://localhost/ems/Procurement/dashboard_proc.php يدويًّا: تعمل.</t>
  </si>
  <si>
    <t xml:space="preserve">فعِّل صفَّ nav_items id=194 وأسنِده إلى مجموعة «لوحة الإدارة» (3384) بترتيبٍ أولٍ بعد الرئيسية</t>
  </si>
  <si>
    <t xml:space="preserve">أولُ رابطٍ إداريٍّ في سايدبار الدور ١٦ هو «لوحة المشتريات» ويفتح dashboard_proc.php.</t>
  </si>
  <si>
    <t xml:space="preserve">صفُّ nav_items 194 (لوحة الإدارة → dashboard_proc.php) بـactive=0 فعلًا ومجموعةُ «لوحة الإدارة» (3384) شخصيةُ الروابط، لكنّ اللوحةَ ليست غيرَ قابلةِ الوصول: roleBoardRoute(16) في includes/role_board.php:53 يحوّل الدورَ 16 إليها فورَ فتح الرئيسية.</t>
  </si>
  <si>
    <t xml:space="preserve">INJ-0554</t>
  </si>
  <si>
    <t xml:space="preserve">§٤-٥ · UXR-0036 «صفرُ عنصرٍ مكرر»</t>
  </si>
  <si>
    <t xml:space="preserve">كتالوج الأصناف والقطع الحرجة</t>
  </si>
  <si>
    <t xml:space="preserve">http://localhost/ems/Procurement/items_proc.php</t>
  </si>
  <si>
    <t xml:space="preserve">سجلات وتقارير المشتريات</t>
  </si>
  <si>
    <t xml:space="preserve">صفرُ عنصرٍ مكرر في السايدبار</t>
  </si>
  <si>
    <t xml:space="preserve">«كتالوج الأصناف والقطع الحرجة» يظهر مرتين لدور المشتريات: مرةً في «أولًا: استقبال الاحتياج» بالمسار Procurement/items_proc.php ومرةً في «سجلات وتقارير المشتريات» بالمسار نفسِه مع لاصقةٍ #n9g11i1 — والشاشةُ واحدةٌ لا منظرَ لها مختلفًا (اللاصقةُ لا يقرؤها الملف)؛ وكذلك «سجل الموردين» مبذورٌ مرتين</t>
  </si>
  <si>
    <t xml:space="preserve">عنصرٌ واحدٌ في موضعين يوهم بوجود شاشتين ويضخّم عدّادَ ظهورات التنقل المستعمَلَ في قياس التبنّي</t>
  </si>
  <si>
    <t xml:space="preserve">أُضيفت لاصقةُ مرساةٍ لتمييز التكرار بدل بناء منظرٍ حقيقيٍّ في الشاشة يقرأ اللاصقة</t>
  </si>
  <si>
    <t xml:space="preserve">database/schema/seed_reference.sql:4267; database/schema/seed_reference.sql:3022; Procurement/items_proc.php:14</t>
  </si>
  <si>
    <t xml:space="preserve">١) ادخل بدور المشتريات.
٢) لاحِظ «كتالوج الأصناف والقطع الحرجة» في المجموعة الأولى وفي مجموعة السجلات.
٣) افتح الرابطين: الشاشةُ نفسُها بالمنظر نفسِه.</t>
  </si>
  <si>
    <t xml:space="preserve">إمّا أن تقرأ Procurement/items_proc.php معاملَ المنظر (مثلًا ?view=catalog|suppliers) وتغيّر أعمدتَها فعلًا، أو احذف الصفَّ المكرر id=6091 من nav_items</t>
  </si>
  <si>
    <t xml:space="preserve">فاحصُ التنقل يعيد صفرَ مسارٍ مكررٍ لدورٍ واحد، أو يثبت أن كلَّ لاصقةٍ تُنتج منظرًا مختلفًا فعلًا.</t>
  </si>
  <si>
    <t xml:space="preserve">للدور 16 صفّان نشطان لـProcurement/items_proc.php (6081 و6091 بلاصقة #n9g11i1) وصفّان لـSuppliers/suppliers.php (6083 و6092)، والشاشةُ لا تقرأ اللاصقةَ فلا منظرَ مختلفًا.</t>
  </si>
  <si>
    <t xml:space="preserve">INJ-0555</t>
  </si>
  <si>
    <t xml:space="preserve">§٣ قواعدُ الجداولِ والأعمدة · «لا عمودَ بلا مصدر» · CM-10</t>
  </si>
  <si>
    <t xml:space="preserve">الشاشةُ الطويلةُ تحتاج مناظرَ وزرَّ «إظهار كل الأعمدة» إلزامًا؛ ولكل عمودٍ مصدرٌ</t>
  </si>
  <si>
    <t xml:space="preserve">جدولُ المقارنة (السطر 90) موسومٌ data-no-dt ويعلن سبعةَ أعمدةِ بياناتٍ + ستةَ أعمدةٍ وظيفيةٍ + تسعةَ أعمدةِ حوكمةٍ بلا مصدر؛ ومجموعُ ems-fn-th في الملفِّ كلِّه خمسةَ عشرَ لا سبعةَ عشر. — [مُصحَّح بعد التحقق] الصياغة الأولى: الجدولُ يحمل data-no-dt (بلا بحثٍ ولا فرزٍ ولا ترقيم) ويعلن ٧ أعمدةِ بياناتٍ + ١٧ عمودًا وظيفيًّا (ems-fn-th) + ٩ أعمدةِ حوكمةٍ (ems-gov-th) = ٣٣ رأسًا مقابل ٧ خلايا لكل صف؛ ولا زرَّ أعمدةٍ ولا منظرَ </t>
  </si>
  <si>
    <t xml:space="preserve">شاشةُ القرارِ الأهمِّ في الوحدة جدولٌ ساكنٌ بـ٢٦ عمودًا فارغًا: المستخدمُ لا يستطيع الفرزَ بالسعر ولا بالجاهزيةِ ولا رؤيةَ مبرر الاختيار أو المعتمِد</t>
  </si>
  <si>
    <t xml:space="preserve">حُقنت رؤوسُ CMP-03 قبل ربط المصادر، واستُثني الجدولُ من مُهيِّئ DataTables لتفادي التعارض</t>
  </si>
  <si>
    <t xml:space="preserve">Procurement/rfq_compare_award.php:90; :93-98; :100-108</t>
  </si>
  <si>
    <t xml:space="preserve">١) افتح «طلب العروض ومقارنتها» واختر طلبًا بعروض.
٢) لا صندوقَ بحثٍ ولا فرزَ برأس العمود.
٣) مرِّر أفقيًّا: ٢٦ عمودًا فارغًا لكل صف.</t>
  </si>
  <si>
    <t xml:space="preserve">أزِل data-no-dt واربِط الأعمدةَ الوظيفيةَ بمصادرها من supplier_rfqs و rfq_lines و rfq_awards، وأضِف زرَّ colvis بنصِّه الموحَّد «إظهار كل الأعمدة»، أو حوِّل الشاشةَ إلى includes/u13_screen_kit.php</t>
  </si>
  <si>
    <t xml:space="preserve">فريق الواجهات — وحدة المشتريات</t>
  </si>
  <si>
    <t xml:space="preserve">جدولُ المقارنة قابلٌ للفرز والبحث، ولكل رأسِ عمودٍ خليةٌ بقيمةٍ من الخادم، ويظهر زرُّ «إظهار كل الأعمدة».</t>
  </si>
  <si>
    <t xml:space="preserve">الجدولُ يحمل data-no-dt بلا زرِّ أعمدةٍ ولا منظرٍ ولا تصدير، وأعمدتُه الوظيفيةُ بلا مصدر — لكنَّ الأعدادَ مبالَغٌ فيها: الملفُّ كلُّه 15 رأسَ ems-fn-th و9 حوكمة، وجدولُ المقارنة 7+6+9.</t>
  </si>
  <si>
    <t xml:space="preserve">INJ-0556</t>
  </si>
  <si>
    <t xml:space="preserve">§٤ الفلاتر · فلترُ الفترة وفلترُ الإدارة</t>
  </si>
  <si>
    <t xml:space="preserve">شريطُ فلاترَ موحَّدٌ بعدّادِ المفعَّل وتفريغٍ بضغطة — ومنه فلترُ الفترةِ وفلترُ الإدارةِ الطالبة</t>
  </si>
  <si>
    <t xml:space="preserve">لا فلترَ فترةٍ ولا فلترَ إدارةٍ طالبةٍ في شاشات المشتريات رغم وجود العمودين requesting_dept و created_at في proc_request؛ والفلترةُ المتاحةُ بحثٌ نصيٌّ عامٌّ من DataTables في المتصفح على الصفحة المُحمَّلة</t>
  </si>
  <si>
    <t xml:space="preserve">لا يمكن حصرُ طلبات الشراء بفترةٍ ولا بالإدارة الطالبة — وهما أول قطعين في أيِّ تقريرِ مشترياتٍ شهري</t>
  </si>
  <si>
    <t xml:space="preserve">غيابُ مكوّنِ شريطِ الفلاتر الموحَّد؛ وفلترُ الإدارة غيرُ موجودٍ في أيِّ شبكةٍ في النظام كلِّه</t>
  </si>
  <si>
    <t xml:space="preserve">Procurement/requests_proc.php:27; database/schema/schema.sql:8152; database/schema/schema.sql:8164; assets/js/ems-components.js:52</t>
  </si>
  <si>
    <t xml:space="preserve">١) افتح «طلبات الشراء».
٢) ابحث عن حقلَي تاريخٍ (من/إلى) أو قائمةِ الإدارة الطالبة: غيرُ موجودة.</t>
  </si>
  <si>
    <t xml:space="preserve">أضِف إلى Procurement/requests_proc.php شريطَ فلاترَ خادميًّا (من/إلى على created_at + قائمة requesting_dept + الحالة) يمرَّر إلى استعلام القائمة، مع عدّادِ الفلاترِ المفعَّلة وزرِّ التفريغ من EmsUI</t>
  </si>
  <si>
    <t xml:space="preserve">تحديدُ فترةٍ وإدارةٍ طالبةٍ يعيد من الخادم الطلباتِ المطابقةَ وحدَها، ويعرض الشريطُ عددَ الفلاتر المفعَّلة.</t>
  </si>
  <si>
    <t xml:space="preserve">‏requests_proc.php لا يقرأ أيَّ معاملِ GET للترشيح (المتاحُ delete_id/edit_id/prefill فقط) رغم وجود requesting_dept و created_at في proc_request — فالترشيحُ بحثٌ نصيٌّ من DataTables على الصفحة المحمَّلة.</t>
  </si>
  <si>
    <t xml:space="preserve">INJ-0557</t>
  </si>
  <si>
    <t xml:space="preserve">§٤-٢ · المنطقة ⑤ التقاريرُ والتصدير</t>
  </si>
  <si>
    <t xml:space="preserve">مركز التقارير (المشتريات)</t>
  </si>
  <si>
    <t xml:space="preserve">http://localhost/ems/emsreports/index.php</t>
  </si>
  <si>
    <t xml:space="preserve">«⑤ التقاريرُ والتصدير — ◆ ثابتةٌ حرفيًّا — مخرَجٌ لا مدخَل» في أسفل السايدبار منطقةً مستقلة</t>
  </si>
  <si>
    <t xml:space="preserve">«مركز التقارير» و«ميزانية إدارتي» و«إنجاز الإدارة» مدموجةٌ داخل مجموعةٍ مرحليةٍ اسمُها «سجلات وتقارير المشتريات» (stage_no=6) مع «كتالوج الأصناف» — فالمنطقةُ ⑤ ليست منطقةً ثابتةً بل جزءًا من مرحلة؛ ولا «مركزَ تصدير» في أيِّ مكان</t>
  </si>
  <si>
    <t xml:space="preserve">المنطقةُ الثابتةُ حرفيًّا في الوثيقة غيرُ ثابتةٍ في النظام: موضعُها يختلف بين الأدوار (المجموعة ٦ هنا، والمجموعة ٥ لدور التشغيل، والمجموعة ٩ لدور الموردين) فيتوه الموظفُ بصفتين</t>
  </si>
  <si>
    <t xml:space="preserve">لا ثابتَ في المولِّد للمنطقتين ① و⑤؛ كلُّ شيءٍ يُبنى من link_groups.stage_no</t>
  </si>
  <si>
    <t xml:space="preserve">database/schema/seed_reference.sql:4269-4271; :3030 (link_groups 3394-3395); includes/unified_nav.php:202</t>
  </si>
  <si>
    <t xml:space="preserve">١) ادخل بدور المشتريات: «مركز التقارير» في المجموعة السادسة مع شاشاتِ سجلات.
٢) ادخل بدور التشغيل: «مركز التقارير» في المجموعة الخامسة داخل «خامسًا: إقفال الفترة».</t>
  </si>
  <si>
    <t xml:space="preserve">أضِف في includes/unified_nav.php طباعةَ منطقةٍ خامسةٍ ثابتةٍ في أسفل السايدبار لكل الأدوار تحوي «التقارير» و«مركز التصدير»، وانزع هذه الروابطَ من مجموعات المراحل في seed_reference.sql</t>
  </si>
  <si>
    <t xml:space="preserve">لقطاتُ سايدبارٍ لثلاثة أدوارٍ تُظهر منطقةَ التقارير والتصدير في الموضع نفسِه أسفل القائمة بالعناصر نفسِها.</t>
  </si>
  <si>
    <t xml:space="preserve">تحقّقت: «مركز التقارير» و«ميزانية إدارتي» و«إنجاز الإدارة» داخل المجموعة 3395 التابعة للمرحلة السادسة «سجلات وتقارير المشتريات» — لا منطقةً ثابتةً أسفل السايدبار.</t>
  </si>
  <si>
    <t xml:space="preserve">INJ-0558</t>
  </si>
  <si>
    <t xml:space="preserve">١٥-٣ الفجواتُ القراريةُ — DEC-H</t>
  </si>
  <si>
    <t xml:space="preserve">قرارٌ مفتوح — سقفُ الشراءِ التشغيليِّ ومرجعُ تجاوزِه</t>
  </si>
  <si>
    <t xml:space="preserve">«فجوةُ قرار — نقيضُ Decision Closed: البندُ لم يصدر فيه قرارُ المالكِ بعد … الصيغةُ الحرفية: ‹يبقى للمالكِ · وحكمٌ مؤقتٌ نافذ› (DEC-H · DEC-I)»؛ والحكمُ المؤقتُ النافذ: «كلُّ شراءٍ بالتشغيليةِ وما فوقَ سقفِها للنائبِ المالي».</t>
  </si>
  <si>
    <t xml:space="preserve">السقفُ معروضٌ في شاشةٍ قائمةٍ لكنها غيرُ قابلةٍ للبلوغ من قائمة الدور 32. — [مُصحَّح بعد التحقق] الصياغة الأولى: القرارُ لم يصدر بعدُ، والنظامُ يعمل بالحكمِ المؤقتِ بلا وثيقةِ قرارٍ مرقَّمةٍ ولا تاريخٍ ولا موقِّع؛ ولا يظهر السقفُ ولا مرجعُ تجاوزِه في أيِّ شاشةِ حوكمةٍ للمراجعة.</t>
  </si>
  <si>
    <t xml:space="preserve">بندٌ حاكمٌ في المشترياتِ يعمل بالعرفِ لا بالقرار — وحين يسأل المراجعُ «من قرر أن السقفَ كذا؟» لا يجد نصًّا ولا تاريخًا ولا موقِّعًا (M-14 DEC-016-هـ).</t>
  </si>
  <si>
    <t xml:space="preserve">بندٌ حاكمٌ لم يصدر فيه قرارُ المالكِ بعد وحالتُه «تنتظر الاعتماد» في الورقة ١٠.</t>
  </si>
  <si>
    <t xml:space="preserve">Portal/ceo_risk.php:6; Finance/tre_authority_caps.php:1; database/schema/seed_reference.sql:423</t>
  </si>
  <si>
    <t xml:space="preserve">١) افتح سجلَّ العيوبِ والقراراتِ في وثيقةِ التنفيذِ وتحقَّق من حالةِ DEC-H: مفتوح.
٢) ابحث في النظامِ عن أثرِ إغلاقِه بالأدلةِ المذكورةِ في حقل Evidence: غيرُ موجود.
٣) قارِن بالحكمِ: «لا يُعلَن الإطلاقُ ولا يُقال إن الحزمةَ مكتملةٌ قبل إغلاق كلِّ عيبٍ حاجب».</t>
  </si>
  <si>
    <t xml:space="preserve">أصدِر قرارَ المالكِ بصيغتِه ورقمِه وتاريخِه وموقِّعِه، وسجِّله في سجلِّ القراراتِ العليا (`exec_decisions`) واربِطه بمرجعِ السقفِ في `Finance/tre_authority_caps.php` كي يُعرض مع الرقم؛ وإلى حين صدورِه اعرِض «حكمٌ مؤقتٌ نافذ» صراحةً في الشاشة.</t>
  </si>
  <si>
    <t xml:space="preserve">سجلُّ حواجزِ الإصدارِ يُظهر DEC-H بحالةِ «مغلق» مع دليلٍ ملفًّا وسطرًا واختبارٍ آليٍّ يمنع عودتَه (المستوى L4).</t>
  </si>
  <si>
    <t xml:space="preserve">القرارُ مفتوحٌ في الوثيقة فعلًا، لكن سقوفَ السلطة لها شاشةٌ منفَّذةٌ (Finance/tre_authority_caps.php · الوحدة 375) — والعيبُ الحقيقيُّ أنها لدورٍ لا يُصيَّر تنقّلُه؛ وإصدارُ قرار المالك خارج نطاق الشيفرة.</t>
  </si>
  <si>
    <t xml:space="preserve">INJ-0559</t>
  </si>
  <si>
    <t xml:space="preserve">١٩-٣ المرحلة ١ · «عهدة استلام مؤقت | المعتمِد: أمين المخزن»</t>
  </si>
  <si>
    <t xml:space="preserve">جدولُ ١٩-٤ يمنح الشاشةَ فعلًا واحدًا؛ و«لكل مرحلةٍ مستندٌ يُنتَج ومعتمِدٌ يشهد»</t>
  </si>
  <si>
    <t xml:space="preserve">الشاشةُ قائمةُ عرضٍ فقط: لا معالجَ POST فيها ولا أيَّ فعلٍ — ورأسُ الصفحةِ يوجّه المستخدمَ صراحةً إلى شاشةٍ أخرى بزرٍّ نصُّه «شاشة العهدة (الفعل هناك)»، والنصُّ التوضيحيُّ يعرض علاماتِ الترميز المزدوجة `**` حرفيًّا لأنه كُتب بصيغة Markdown داخل HTML</t>
  </si>
  <si>
    <t xml:space="preserve">مرحلةُ الاستلام والفحصِ بلا فعلٍ في شاشتها: المستخدمُ يُحال إلى شاشةٍ أخرى ليؤدي مهمةَ المرحلة، وهو خرقٌ لقاعدة «لكل مرحلةٍ مخرَجُها»؛ ويظهر ترميزُ Markdown خامًّا للمستخدم</t>
  </si>
  <si>
    <t xml:space="preserve">أُنشئت الشاشةُ قائمةَ عملٍ (work list) لا شاشةَ مستند، ونصُّها كُتب بصيغةٍ لا يفسّرها المتصفح</t>
  </si>
  <si>
    <t xml:space="preserve">Procurement/wh_receipt.php:40; Procurement/wh_receipt.php:79; Procurement/wh_receipt.php:90; Procurement/wh_receipt.php:91</t>
  </si>
  <si>
    <t xml:space="preserve">١) افتح «الاستلام المؤقت قبل الإدخال».
٢) ابحث عن أيِّ زرِّ فعلٍ في الجدول: لا يوجد إلا زرٌّ في الرأس ينقلك لشاشةٍ أخرى.
٣) اقرأ الفقرةَ التوضيحية: تظهر فيها النجومُ `**لم تبلغ وجهتَها بعد**` حرفيًّا.</t>
  </si>
  <si>
    <t xml:space="preserve">أضِف إلى Procurement/wh_receipt.php فعلَ «إدخال إلى المخزن» (تحويلُ العهدة إلى حركةِ استلامٍ في proc_stock_move) محروسًا بـcan_edit على الموديول ٣٠٠، وأزِل ترميزَ Markdown من السطر ٩٠-٩١ واستعمِل &lt;strong&gt;</t>
  </si>
  <si>
    <t xml:space="preserve">الشاشةُ تنفّذ إدخالَ العهدةِ إلى المخزن بزرٍّ محروسٍ يُنتج حركةَ استلام، ولا يظهر أيُّ ترميزٍ خامٍّ في النص.</t>
  </si>
  <si>
    <t xml:space="preserve">صفرُ معالجِ POST في الملف، وزرُّ الرأس «شاشة العهدة (الفعل هناك)»، وترميزُ ** الخام في السطرين 90-91 — الثلاثةُ مطابقة.</t>
  </si>
  <si>
    <t xml:space="preserve">INJ-0560</t>
  </si>
  <si>
    <t xml:space="preserve">§٤-١ «لكلٍّ وجهةٌ حيةٌ موجودةٌ» · §٤-٥ القاعدة ١٠</t>
  </si>
  <si>
    <t xml:space="preserve">المرتجعات · حدود إعادة الطلب</t>
  </si>
  <si>
    <t xml:space="preserve">«العهد والمرتجعات» شاشةٌ منصوصةٌ في §١٩-٤ (المرحلة ٣ الصرف والعهدة) — ولكل شاشةٍ حيةٍ وجهةٌ في التنقل</t>
  </si>
  <si>
    <t xml:space="preserve">Procurement/wh_returns.php مبنيةٌ وتكتب حركاتِ مرتجعٍ في الرصيد، لكن صفَّها في nav_items (id=1277) بـactive=0 فلا تظهر لأيِّ دور؛ والمعروضُ في مجموعة «ثالثًا: الصرف والعهدة» هو receipt_custody_proc.php المسمّى «العهد والمرتجعات» وهو شاشةُ الاستلام المؤقتِ والعهدةِ لا شاشةُ المرتجعات — وكذلك «حدود إعادة الطلب» (id=783) بـactive=0</t>
  </si>
  <si>
    <t xml:space="preserve">شاشةٌ تكتب في رصيد المخزون حيةٌ وغيرُ مرئيةٍ في التنقل: تُفتح بالرابط المباشر وحدَه، ولا تُقاس صلاحياتُها في مراجعة الوصول؛ والمستخدمُ يرى عنوانَ «العهد والمرتجعات» على شاشةٍ لا تُرجع شيئًا</t>
  </si>
  <si>
    <t xml:space="preserve">عُطِّلت صفوفُ التنقل عند إعادة التوليد ولم تُنقل الشاشتان إلى مرحلتيهما</t>
  </si>
  <si>
    <t xml:space="preserve">database/schema/seed_reference.sql:3994; :3903; :4069; :123</t>
  </si>
  <si>
    <t xml:space="preserve">١) ادخل بدور أمين المستودع وافتح «ثالثًا: الصرف والعهدة»: رابطان أحدُهما «العهد والمرتجعات» → receipt_custody_proc.php.
٢) ابحث عن رابطٍ إلى wh_returns.php في أيِّ دور: لا يوجد.
٣) افتح wh_returns.php مباشرةً: تعمل وتكتب.</t>
  </si>
  <si>
    <t xml:space="preserve">فعِّل صفَّ nav_items id=1277 وأسنِده إلى مجموعة «ثالثًا: الصرف والعهدة» باسم «المرتجعات»، وأعِد تسميةَ رابط receipt_custody_proc.php إلى «العهدة والاستلام المؤقت»، وفعِّل «حدود إعادة الطلب» في مجموعة السجلات والإعدادات</t>
  </si>
  <si>
    <t xml:space="preserve">مجموعةُ المرحلة الثالثة تعرض «الصرف» و«العهدة» و«المرتجعات»، وكلُّ رابطٍ يفتح الشاشةَ المطابقةَ لاسمه.</t>
  </si>
  <si>
    <t xml:space="preserve">صفُّ nav_items 1277 (المرتجعات → wh_returns.php) بـactive=0، والرابطُ المعروضُ باسم «العهد والمرتجعات» يشير إلى receipt_custody_proc.php (شاشةِ الاستلام المؤقت — modules 71)، وصفُّ «حدود إعادة الطلب» 783 للدور 25 بـactive=0.</t>
  </si>
  <si>
    <t xml:space="preserve">INJ-0561</t>
  </si>
  <si>
    <t xml:space="preserve">أرصدة المخزون بحالاتها · الجرد ومعالجة الفروقات</t>
  </si>
  <si>
    <t xml:space="preserve">شريطُ فلاترَ موحَّدٌ بعدّادِ المفعَّل وتفريغٍ بضغطة — ومنه فلترُ الفترةِ وفلترُ الموقع/المخزن</t>
  </si>
  <si>
    <t xml:space="preserve">الجوهرُ قائمٌ (لا فلترَ فترةٍ ولا حفظَ حالةٍ ولا عدّاد)، والاستشهادُ بالأسطر غيرُ دقيق. — [مُصحَّح بعد التحقق] الصياغة الأولى: لا فلترَ فترةٍ في أيِّ شاشةِ مخازن رغم أن كلَّ حركةٍ تحمل moved_at؛ وشاشةُ الجردِ تصفّي بالمخزن عبر معاملِ GET وحدَه بلا حفظِ حالةٍ ولا عدّادِ فلاتر؛ ولا فلترَ إدارةٍ في أيِّ شبكةٍ في النظام</t>
  </si>
  <si>
    <t xml:space="preserve">لا يمكن استخراجُ حركةِ مخزونٍ لفترةٍ محددةٍ (وهو أساسُ أيِّ إقفالٍ شهريٍّ أو مراجعةِ جرد)، ولا مقارنةُ رصيدٍ بين تاريخين</t>
  </si>
  <si>
    <t xml:space="preserve">غيابُ مكوّنِ شريطِ الفلاتر الموحَّد وبناءُ كلِّ فلترٍ يدويًّا لكل شاشة</t>
  </si>
  <si>
    <t xml:space="preserve">Procurement/stock_proc.php:26 (حارس لا فلتر); Procurement/wh_count.php:16; Procurement/wh_transfer.php:48-52</t>
  </si>
  <si>
    <t xml:space="preserve">١) افتح «أرصدة المخزون بحالاتها»: لا حقلَي تاريخٍ (من/إلى).
٢) افتح «الجرد ومعالجة الفروقات»: الفلترُ الوحيدُ اختيارُ المخزن من الرابط.</t>
  </si>
  <si>
    <t xml:space="preserve">أضِف شريطَ فلاترَ خادميًّا (من/إلى على moved_at + المخزن + الصنف + نوع الحركة) إلى شاشات المخازن يمرَّر إلى الاستعلامات، مع عدّادِ الفلاترِ المفعَّلة وزرِّ التفريغ من EmsUI</t>
  </si>
  <si>
    <t xml:space="preserve">تحديدُ فترةٍ ومخزنٍ يعيد من الخادم الحركاتِ المطابقةَ وحدَها، ويعرض الشريطُ عددَ الفلاتر المفعَّلة.</t>
  </si>
  <si>
    <t xml:space="preserve">غيابُ فلترِ الفترةِ وفلترِ الإدارةِ وعدّادِ الفلاتر في شاشات المخازن صحيحٌ بالفحص، وتصفيةُ الجرد بمعامل GET وحدَه صحيحةٌ — لكنّ أرقامَ الأسطر المستشهَدَ بها تشير إلى حرّاسِ الصلاحية لا إلى مواضعِ الفلاتر.</t>
  </si>
  <si>
    <t xml:space="preserve">INJ-0562</t>
  </si>
  <si>
    <t xml:space="preserve">§٤-٥ · UXR-0036 «صفرُ عنصرٍ مكرر» · §٤-٢ المنطقة ①</t>
  </si>
  <si>
    <t xml:space="preserve">«صفرُ عنصرٍ مكرر · وصفرُ عنصرٍ لا يملكه المستخدم» (UXR-0036)</t>
  </si>
  <si>
    <t xml:space="preserve">سايدبار الدور ٢٥ من أربعةِ روابطَ في مجموعة «لوحة الإدارة»، اثنان منها «المراسلات» بالرابط نفسِه ../chats/index.php: واحدٌ مثبَّتٌ في المولِّد وآخرُ من صفِّ nav_items (module 262) — أي أن نصفَ لوحةِ إدارةِ المخازن رابطٌ مكرر</t>
  </si>
  <si>
    <t xml:space="preserve">أفقرُ سايدبارٍ في النظام (١٨ رابطًا) نصفُ لوحةِ إدارته تكرارٌ — عيبُ UI-DEF-05 ظاهرٌ في أوضح صوره</t>
  </si>
  <si>
    <t xml:space="preserve">المولِّد يطبع رابطًا مثبَّتًا للمراسلات ثم يطبع صفَّ nav_items نفسَه بلا كشفِ تصادم</t>
  </si>
  <si>
    <t xml:space="preserve">includes/unified_nav.php:235-238; database/schema/seed_reference.sql:4276 (nav_items 6100 · group 3396)</t>
  </si>
  <si>
    <t xml:space="preserve">١) ادخل بدور أمين المستودع.
٢) عُدَّ روابطَ «لوحة الإدارة»: أربعة، منها «المراسلات» مرتين.</t>
  </si>
  <si>
    <t xml:space="preserve">أضِف مجموعةَ روابطَ مطبوعةٍ (seen set) على route في includes/unified_nav.php قبل الطباعة، أو احذف صفوفَ nav_items لـchats/index.php ما دام المولِّد يطبعها مثبَّتة</t>
  </si>
  <si>
    <t xml:space="preserve">فاحصُ التنقل يعيد صفرَ رابطٍ مكررٍ للدور ٢٥، وتعرض لوحةُ الإدارة روابطَ متمايزةً فقط.</t>
  </si>
  <si>
    <t xml:space="preserve">المصيِّرُ يطبع «المراسلات» مثبَّتةً في رأس أول مرحلة، وصفُّ nav_items 6100 يطبعها ثانيةً في المجموعة نفسِها — والمنطقةُ ① للدور 25 تنتهي إلى أربعة روابطَ اثنان منها متطابقان.</t>
  </si>
  <si>
    <t xml:space="preserve">INJ-0563</t>
  </si>
  <si>
    <t xml:space="preserve">§٤-٢ · المنطقة ⑤ التقاريرُ والتصدير · المنطقة ④ السجلاتُ والمراجع</t>
  </si>
  <si>
    <t xml:space="preserve">«④ السجلاتُ والمراجع: السجلاتُ الأمُّ · القواميسُ · الإعدادات» و«⑤ التقاريرُ والتصدير — ثابتةٌ حرفيًّا» منطقتان متمايزتان</t>
  </si>
  <si>
    <t xml:space="preserve">مجموعةٌ واحدةٌ باسم «سجلات وإعدادات المخازن» تخلط سجلًّا أمًّا (كتالوج الأصناف) بتقريرين ماليَّين (ميزانية إدارتي · إنجاز الإدارة) وبمركز التقارير — أربعةُ روابطَ في مجموعةٍ واحدةٍ تمثّل منطقتين مختلفتين؛ ولا إعداداتِ مخازنَ فيها إطلاقًا (المخازنُ وأنواعُها محجوبةٌ وحدودُ إعادة الطلب معطَّلة)</t>
  </si>
  <si>
    <t xml:space="preserve">منطقتان ثابتتان في الوثيقة مدموجتان في مجموعةٍ واحدةٍ تحمل اسمَ «إعدادات» بلا أيِّ إعداد — فيتوه المستخدمُ بين المرجعِ والتقرير</t>
  </si>
  <si>
    <t xml:space="preserve">تُبنى المجموعاتُ كلُّها من link_groups.stage_no بلا منطقتين ثابتتين في المولِّد</t>
  </si>
  <si>
    <t xml:space="preserve">database/schema/seed_reference.sql:3903 (master_data_proc فعّالٌ محجوب); :4292 (reordering_proc active=0); link_groups «سجلات وإعدادات المخازن»</t>
  </si>
  <si>
    <t xml:space="preserve">١) ادخل بدور أمين المستودع.
٢) افتح «سجلات وإعدادات المخازن»: كتالوجُ الأصناف + ميزانيةُ إدارتي + إنجازُ الإدارة + مركزُ التقارير.
٣) ابحث فيها عن أيِّ إعدادٍ للمخازن: لا شيء.</t>
  </si>
  <si>
    <t xml:space="preserve">افصِل المجموعةَ إلى منطقتين: «④ السجلات والمراجع» (كتالوج الأصناف · المخازن وأنواعها · حدود إعادة الطلب) و«⑤ التقارير والتصدير» ثابتةً أسفلَ السايدبار (مركز التقارير · مركز التصدير · ميزانية إدارتي · إنجاز الإدارة)</t>
  </si>
  <si>
    <t xml:space="preserve">سايدبار المخازن يعرض منطقتين متمايزتين بالاسمين المنصوصين، ومنطقةُ السجلاتِ تحوي إعداداتِ المخازنِ فعلًا.</t>
  </si>
  <si>
    <t xml:space="preserve">مجموعةُ «سجلات وإعدادات المخازن» للدور 25 تجمع كتالوجَ الأصناف مع ميزانية إدارتي وإنجاز الإدارة ومركز التقارير، و«المخازن وأنواعها» محجوبةٌ لغياب can_view و«حدود إعادة الطلب» صفُّها معطَّلٌ (active=0).</t>
  </si>
  <si>
    <t xml:space="preserve">INJ-0564</t>
  </si>
  <si>
    <t xml:space="preserve">بنيةُ الجدولِ صحيحةٌ ومتّسقة — ولا عنصرَ يتقاطع مع حدود الخلايا</t>
  </si>
  <si>
    <t xml:space="preserve">عنصرُ &lt;form&gt; مفتوحٌ مباشرةً داخل &lt;tr&gt; بين خليتين (السطر ١١٥) ويحوي حقولًا مخفيةً ثم ثلاثَ خلايا &lt;td&gt; ثم يُغلق — وهو بناءٌ غيرُ صالحٍ في HTML يعيد المتصفحُ ترتيبَه فينقل النموذجَ خارج الجدول وقد تفقد بعضُ المتصفحات ربطَ الحقول بالزر؛ والنمطُ نفسُه في Procurement/wh_transfer.php و Transport/transfer_close_cost.php</t>
  </si>
  <si>
    <t xml:space="preserve">سلوكُ الإرسالِ غيرُ مضمونٍ بين المتصفحات: قد يُرسل النموذجُ بلا الحقول المخفية فتُكتب تسويةٌ بقيمِ صفرٍ، أو ينكسر ترتيبُ الأعمدة بصريًّا</t>
  </si>
  <si>
    <t xml:space="preserve">وضعُ عنصرِ نموذجٍ داخل شجرةِ جدولٍ في موضعٍ لا يسمح به معيارُ HTML</t>
  </si>
  <si>
    <t xml:space="preserve">Procurement/wh_count.php:110-121; Procurement/wh_transfer.php:74</t>
  </si>
  <si>
    <t xml:space="preserve">١) افتح «الجرد ومعالجة الفروقات» لمخزنٍ فيه أصناف.
٢) افحص شجرةَ DOM: عنصرُ form منقولٌ خارج tbody في بعض المتصفحات.
٣) مرِّر المصدرَ على مدقّق HTML: أخطاءُ بنية.</t>
  </si>
  <si>
    <t xml:space="preserve">استعمل سمةَ form="…" على الحقول مع نموذجٍ واحدٍ خارج الجدول، أو ضع النموذجَ كاملًا داخل خليةٍ واحدة، في Procurement/wh_count.php و wh_transfer.php</t>
  </si>
  <si>
    <t xml:space="preserve">مدقّقُ HTML يعيد صفرَ خطأِ بنيةٍ في شاشات المخازن، وإرسالُ التسويةِ يحمل كلَّ حقوله في كل المتصفحات المدعومة.</t>
  </si>
  <si>
    <t xml:space="preserve">&lt;form&gt; مفتوحٌ داخل &lt;tr&gt; بين خليتين (wh_count.php:114) ويضمّ ثلاثَ &lt;td&gt; ثم يُغلق (سطر 120) — بناءٌ غيرُ صالحٍ يُهجّره المتصفحُ خارجَ الجدول فيفقد ربطَ الحقول؛ والنمطُ ذاتُه في wh_transfer.php.</t>
  </si>
  <si>
    <t xml:space="preserve">INJ-0565</t>
  </si>
  <si>
    <t xml:space="preserve">§٥-٢ الحالاتُ الأربعُ لكل فعلٍ حاكم</t>
  </si>
  <si>
    <t xml:space="preserve">أفعال المخازن الستة عشر</t>
  </si>
  <si>
    <t xml:space="preserve">لا اختبارَ في tests/ يغطي التحويلَ بين المخازن ولا الجردَ ولا المرتجعات؛ والحالتان «المرفوضةُ بالحارس» و«المعكوسة» غيرُ قابلتين للاختبار أصلًا لأن الحارسَ والعكسَ غيرُ موجودين في الثلاثة</t>
  </si>
  <si>
    <t xml:space="preserve">ستةَ عشرَ فعلًا معلَنًا للمخازن بلا دليلٍ حي؛ بوابةُ الأفعالِ لا تُغلق ولا يمكن إعلانُ اكتمال الوحدة</t>
  </si>
  <si>
    <t xml:space="preserve">لم تُكتب اختباراتُ الحالات الأربع لأفعال موجة update0007، والأفعالُ نفسُها ناقصةُ الحارسِ والعكس</t>
  </si>
  <si>
    <t xml:space="preserve">tests/proc_group_test.php:1; Procurement/wh_transfer.php:18; Procurement/wh_count.php:19; Procurement/wh_returns.php:18</t>
  </si>
  <si>
    <t xml:space="preserve">١) اجرد اختبارات tests/ عن wh_transfer أو wh_count أو wh_returns: صفرُ نتيجة.</t>
  </si>
  <si>
    <t xml:space="preserve">أضِف tests/wh_moves_test.php يغطي لكلٍّ من التحويل والتسوية والمرتجع: الحالةَ الناجحةَ والمرفوضةَ بالحارس والمكررةَ (بمفتاح العطالة) والمعكوسة، بعد تنفيذ الحارس والعطالة والعكس</t>
  </si>
  <si>
    <t xml:space="preserve">فريق ضمان الجودة — وحدة المخازن</t>
  </si>
  <si>
    <t xml:space="preserve">حزمةُ الاختبارات تُنجح الحالاتِ الأربعَ للأفعال الثلاثة وتفشل عند إزالة أيِّ حارسٍ أو مفتاحِ عطالة.</t>
  </si>
  <si>
    <t xml:space="preserve">صحيحٌ أنه لا اختبارَ مخصَّصًا للتحويل/الجرد/المرتجعات في tests/ (٢٢٠ ملفًا)، وأن الثلاثةَ بلا حارسٍ في الملف وكتابتُها تسبق insidebar. التحفّظ: انعدامُ الحارس مقيَّدٌ بالكتابة وحدَها؛ العرضُ محروسٌ للوحدتين المسجَّلتين (299 · 301).</t>
  </si>
  <si>
    <t xml:space="preserve">INJ-0566</t>
  </si>
  <si>
    <t xml:space="preserve">§١-٧ ملكيةُ الشاشة (وINJAZ-FRD-01 §٢٠-٤ `org_permits.php`)</t>
  </si>
  <si>
    <t xml:space="preserve">أذون الزيارة والمركبات الخارجية</t>
  </si>
  <si>
    <t xml:space="preserve">http://localhost/ems/admin/org_permits.php</t>
  </si>
  <si>
    <t xml:space="preserve">«أذون الزيارة والمركبات الخارجية | `org_permits.php` | ٢٣ عمودًا | فعلٌ واحد | ٣ إدارات» — شاشةٌ مملوكةٌ لإدارة الموقع</t>
  </si>
  <si>
    <t xml:space="preserve">الملفُّ يسكن مجلد admin/ (لوحةُ الإدارة العليا التي لها مصادقتُها المنفصلة)، وحارسُه if (!$is_super_admin &amp;&amp; $company_id &lt;= 0) ثم سطرٌ يفرض شركةً ثابتةً للسوبر: if ($is_super_admin &amp;&amp; $company_id &lt;= 0) { $company_id = 4; } — أي أن معرّفَ شركةٍ محدَّدًا مكتوبٌ في الكود</t>
  </si>
  <si>
    <t xml:space="preserve">شاشةٌ ميدانيةٌ مملوكةٌ لإدارة الموقعِ مدفونةٌ في نطاقِ لوحةِ الإدارة العليا وبلا حارسِ صلاحيةٍ لفعلها؛ ورقمُ شركةٍ ثابتٌ في الكود يجعل حسابَ السوبر يكتب في كيانٍ بعينه بلا اختيار</t>
  </si>
  <si>
    <t xml:space="preserve">بُنيت الشاشةُ ضمن حزمةِ الإعداداتِ التنظيميةِ في admin/ قبل إسنادها لإدارة الموقع، وبقي معرّفُ الشركةِ الافتراضيُّ من بيئة التطوير</t>
  </si>
  <si>
    <t xml:space="preserve">admin/org_permits.php:23; admin/org_permits.php:24; admin/org_permits.php:46; database/schema/seed_reference.sql:2913</t>
  </si>
  <si>
    <t xml:space="preserve">١) افتح admin/org_permits.php: تعمل بلا فحصِ صلاحيةِ شاشة.
٢) اقرأ السطر ٢٤: إسنادُ company_id=4 للسوبر بلا شركة.
٣) أرسِل POST بـpermit_action: يُنفَّذ بلا فحصِ can_add.</t>
  </si>
  <si>
    <t xml:space="preserve">انقل الملفَّ إلى نطاق الموقع (Site/org_permits.php) مع إعادةِ توجيهٍ، وأضِف حارسَ check_page_permissions على رمز الشاشة قبل معالج POST، واستبدِل company_id=4 الثابت باختيارِ كيانٍ صريحٍ أو رفضٍ بـ٤٠٣</t>
  </si>
  <si>
    <t xml:space="preserve">الشاشةُ تفتح من نطاق الموقع بحارسِ صلاحيةٍ فعّال، ولا يوجد أيُّ معرّفِ شركةٍ ثابتٍ في الكود.</t>
  </si>
  <si>
    <t xml:space="preserve">السطر 24 يثبّت company_id=4 للسوبر بلا شركةٍ فعلًا (عيبُ قابليةِ نقل)، لكن الشاشةَ تفحص صلاحيةَ وحدتها بكودها في السطور 26-42 خلافًا لوصف الملاحظة — والأثرُ ينحصر في حساب السوبر.</t>
  </si>
  <si>
    <t xml:space="preserve">INJ-0567</t>
  </si>
  <si>
    <t xml:space="preserve">§٤-٥ القاعدة ٩ و«لا تُكرَّر العناصرُ الشخصيةُ في كل إدارة» · §٤-٢ المنطقة ①</t>
  </si>
  <si>
    <t xml:space="preserve">مساحة عملي (عناصر الدور ٦)</t>
  </si>
  <si>
    <t xml:space="preserve">لوحة الموقع</t>
  </si>
  <si>
    <t xml:space="preserve">«مساحةُ عملي فوق الإداراتِ دائمًا» — المنطقةُ ① أعلى السايدبار بمحتواها الثابت: مهامي · طلباتي · موافقاتي · بلاغاتي · إنجازي · التنبيهات</t>
  </si>
  <si>
    <t xml:space="preserve">لا تكرارَ في رابط المراسلات؛ و«صندوق ما ينتظر اعتمادي» و«بلاغات إدارتي» موجودان لكن خارجَ المنطقة الشخصية. — [مُصحَّح بعد التحقق] الصياغة الأولى: لا منطقةَ «مساحة عملي» في سايدبار الدور ٦؛ الباب أيقونةٌ في الشريط العلوي، وعناصرُها الشخصيةُ مبعثرةٌ داخل مجموعةٍ اسمُها «لوحة الموقع» تحت عنوانٍ فرعيٍّ «مساحتي الشخصية»، و«موافقاتي» و«التنبيهات» غائ</t>
  </si>
  <si>
    <t xml:space="preserve">مديرُ الموقعِ يفقد بابَي «موافقاتي» و«التنبيهات» كليًّا من التنقل — وهو الدورُ الذي تنصُّ الوثيقةُ على أنه يعتمد أولَ اعتماد، فينتظر اعتماداتٌ لا يراها</t>
  </si>
  <si>
    <t xml:space="preserve">المولِّد يطبع المنطقةَ ① عنوانًا فرعيًّا داخل أولِ مجموعةٍ مرحليةٍ بدل منطقةٍ مستقلة، ويكرر رابطَ المراسلات المثبَّت مع صفِّ nav_items</t>
  </si>
  <si>
    <t xml:space="preserve">database/schema/seed_reference.sql (nav_items الدور 6 المجموعة 3270); includes/unified_nav.php:207-242; includes/topbar.php:186</t>
  </si>
  <si>
    <t xml:space="preserve">١) ادخل بدور إدارة الموقع.
٢) افتح مجموعة «لوحة الموقع»: ثمانيةُ روابطَ منها «المراسلات» مرتين.
٣) ابحث عن «موافقاتي» و«التنبيهات»: غيرُ موجودتين.</t>
  </si>
  <si>
    <t xml:space="preserve">أضِف في includes/unified_nav.php منطقةً أولى ثابتةً «مساحة عملي» بالعناصر الستة قبل حلقة المراحل، وأضِف كشفَ تصادمٍ على route لمنع تكرار المراسلات، واحذف صفوفَ nav_items الشخصيةَ من مجموعة stage_no=0</t>
  </si>
  <si>
    <t xml:space="preserve">سايدبار الدور ٦ يعرض منطقةَ «مساحة عملي» أعلى القائمة بالعناصر الستة، ولا يتكرر أيُّ رابط.</t>
  </si>
  <si>
    <t xml:space="preserve">لا منطقةَ أولى ثابتةً «مساحة عملي» في unified_nav (العناصرُ الشخصيةُ داخل مجموعةٍ 3270 «مساحتي الشخصية» تحت عنوان مرحلةٍ اسمُه «لوحة الموقع»)، و«موافقاتي» و«التنبيهات» غائبتان — لكنّ ادعاءَ تكرار «المراسلات» مرتين ساقط: صفٌّ حيٌّ واحدٌ لـchats/index.php للدور 6.</t>
  </si>
  <si>
    <t xml:space="preserve">INJ-0568</t>
  </si>
  <si>
    <t xml:space="preserve">§٤-٢ · المنطقة ② «لوحةُ إدارتي» — ثابتةُ الموضع</t>
  </si>
  <si>
    <t xml:space="preserve">«② لوحةُ إدارتي» اسمُ المنطقةِ الثانيةِ ثابتٌ بين الإدارات — «فيتعلم الموظفُ الموضعَ مرةً واحدةً»</t>
  </si>
  <si>
    <t xml:space="preserve">ثلاثةُ مسمياتٍ لا أربعة؛ لا مجموعةَ stage 0 للدور 11. — [مُصحَّح بعد التحقق] الصياغة الأولى: اسمُ المنطقة ② يختلف بين الأدوار: «لوحة الموقع» للدور ٦ · «لوحة الإدارة» للأدوار ١ و١٦ و٢٣ و٢٥ · «لوحة الإدارة التنفيذية» للدور ٩ · «الرئيسية» للدور ١١ — أربعةُ مسمياتٍ لمنطقةٍ واحدةٍ يفترض ثباتُ موضع</t>
  </si>
  <si>
    <t xml:space="preserve">الموظفُ بصفتين يبحث عن اسمٍ مختلفٍ لكل صفة، فتضيع الفائدةُ المقيسةُ من ثبات المنطقتين ① و⑤</t>
  </si>
  <si>
    <t xml:space="preserve">اسمُ المنطقة يُقرأ من link_groups.stage_title لكل دورٍ على حدة بلا ثابتٍ في المولِّد</t>
  </si>
  <si>
    <t xml:space="preserve">database/schema/seed_reference.sql:2906; database/schema/seed_reference.sql:3007; database/schema/seed_reference.sql:3020; includes/unified_nav.php:219</t>
  </si>
  <si>
    <t xml:space="preserve">١) صوِّر أولَ مجموعةٍ في سايدبار الدور ٦: «لوحة الموقع».
٢) صوِّرها للدور ٢٣: «لوحة الإدارة».
٣) قارِن بالنصِّ المنصوص «لوحةُ إدارتي».</t>
  </si>
  <si>
    <t xml:space="preserve">ثبِّت اسمَ المنطقة ② في includes/unified_nav.php بقيمةٍ واحدةٍ «لوحة إدارتي» لكل الأدوار، واجعل عنوانَ الشاشةِ داخلَها هو ما يتغير بحسب الإدارة</t>
  </si>
  <si>
    <t xml:space="preserve">لقطاتُ سايدبارٍ لأربعة أدوارٍ تُظهر المنطقةَ ② باسمٍ واحدٍ في الموضع نفسِه.</t>
  </si>
  <si>
    <t xml:space="preserve">عناوينُ المنطقة ② تختلف فعلًا ولا يطابق أيٌّ منها «لوحة إدارتي»: «لوحة الإدارة» لأغلب الأدوار · «لوحة الموقع» للدورين 6 و7 · «لوحة الإدارة التنفيذية» للدور 9 — ثلاثةُ مسمياتٍ لا أربعة، والدورُ 11 بلا مجموعةِ مرحلةٍ صفر أصلًا.</t>
  </si>
  <si>
    <t xml:space="preserve">INJ-0569</t>
  </si>
  <si>
    <t xml:space="preserve">§٣ قواعدُ الجداولِ والأعمدة · CM-10 «إظهار كل الأعمدة» · CM-09 المناظر</t>
  </si>
  <si>
    <t xml:space="preserve">«الشاشاتُ الطويلةُ (٢٠+ عمودًا) تحتاج مناظرَ وزرَّ إظهارِ الكلِّ إلزامًا» — والزرُّ بنصِّه الموحَّد «إظهار كل الأعمدة»</t>
  </si>
  <si>
    <t xml:space="preserve">شاشاتُ الموقعِ الستُّ المولَّدةُ تعرض جداولَ بين ٢٣ و٣٣ عمودًا (بحسب §٢٠-٤) ولا تحتوي أيًّا من: زرِّ «إظهار كل الأعمدة» ولا منتقي مناظرَ ولا فلترِ فترةٍ ولا فلترِ موقع؛ ولا تستعمل عُدّةَ includes/u13_screen_kit.php التي تطبع الزرَّ بنصِّه الموحَّد</t>
  </si>
  <si>
    <t xml:space="preserve">أطولُ شاشاتِ النظامِ أعمدةً (تسجيلُ التايم شيت ٣٣ عمودًا · الإنتاج ٢٩) بلا أيِّ أداةِ تحكمٍ في الأعمدة ولا مناظرَ — فالمستخدمُ الميدانيُّ يمرّر أفقيًّا على شاشةٍ صغيرة</t>
  </si>
  <si>
    <t xml:space="preserve">مولِّدُ CMP-03 يطبع جدولًا مسطَّحًا بلا استدعاء عُدّةِ الشاشة الموحَّدة</t>
  </si>
  <si>
    <t xml:space="preserve">Operations/production.php:104; :134; Operations/shift_log.php:126; Operations/site_gate_equip.php:125; includes/u13_screen_kit.php:317-319</t>
  </si>
  <si>
    <t xml:space="preserve">١) افتح «الإنتاج والقياس».
٢) ابحث عن زرِّ «إظهار كل الأعمدة» أو منتقي مناظر: لا شيء.
٣) grep على Operations/ عن «إظهار كل الأعمدة»: صفرُ نتيجة.</t>
  </si>
  <si>
    <t xml:space="preserve">حوِّل شاشات الموقع الست إلى includes/u13_screen_kit.php لتطبع المناظرَ وزرَّ «إظهار كل الأعمدة» من مصدرٍ واحد، وأضِف فلترَي فترةٍ وموقعٍ خادميين</t>
  </si>
  <si>
    <t xml:space="preserve">كلُّ شاشةٍ من الست تعرض منتقي مناظرَ وزرًّا نصُّه «إظهار كل الأعمدة» وفلترَي فترةٍ وموقع.</t>
  </si>
  <si>
    <t xml:space="preserve">شاشاتُ الموقع الستُّ المولَّدةُ لا تستدعي includes/u13_screen_kit.php أصلًا ولا تطبع «إظهار كل الأعمدة» ولا منتقيَ مناظرَ ولا فلترَ فترةٍ أو موقع — قصورُ اتساقٍ في الواجهة.</t>
  </si>
  <si>
    <t xml:space="preserve">INJ-0570</t>
  </si>
  <si>
    <t xml:space="preserve">§٤-٥ القاعدة ١٣ · «الترتيبُ التنازليُّ للإداراتِ هو ترتيبُ الهيكلِ في CORE-01 — وإدارةُ الموقعِ أعمقُها»</t>
  </si>
  <si>
    <t xml:space="preserve">ترتيب مجموعات سايدبار إدارة الموقع</t>
  </si>
  <si>
    <t xml:space="preserve">«الترتيبُ بالمرحلةِ المستنديةِ لا بالأبجديةِ ولا بتاريخ البرمجة» — والمراحلُ العشرُ في §٢٠-٣ بترتيبها</t>
  </si>
  <si>
    <t xml:space="preserve">مجموعاتُ السايدبار المعروضةُ تحمل أرقامًا مرحليةً منقطعة: أولًا · ثانيًا · ثالثًا · رابعًا ثم سادسًا ثم سابعًا — فالمرحلةُ الخامسةُ مفقودةٌ من العرض بينما تبقى أرقامُ ما بعدها كما هي، فيقرأ المستخدمُ قفزةً صريحةً في الترقيم تدل على نقصٍ في دورته</t>
  </si>
  <si>
    <t xml:space="preserve">المستخدمُ يرى دورةَ عملٍ ناقصةً مرحلةً بأرقامٍ تفضح النقص؛ وUXR-0036-ب ينصُّ على «لا ترقيمَ أولًا/ثانيًا في النصِّ اليومي» — فالترقيمُ ظاهرٌ ومنقطعٌ معًا</t>
  </si>
  <si>
    <t xml:space="preserve">عناوينُ المراحل مخزَّنةٌ نصًّا في link_groups.stage_title بأرقامٍ عربيةٍ ثابتة، والمجموعةُ الفارغةُ لا تُعرض فينكشف الانقطاع</t>
  </si>
  <si>
    <t xml:space="preserve">database/schema/seed_reference.sql:2919; :2920; :2923; nav_items 5886; includes/unified_nav.php:70-77</t>
  </si>
  <si>
    <t xml:space="preserve">١) ادخل بدور إدارة الموقع.
٢) اقرأ عناوينَ المجموعات بالترتيب: أولًا · ثانيًا · ثالثًا · رابعًا · سادسًا · سابعًا.
٣) لا مجموعةَ «خامسًا».</t>
  </si>
  <si>
    <t xml:space="preserve">أصلِح المرحلةَ الخامسةَ (الاعتماد) أولًا؛ ثم أزِل الترقيمَ اللفظيَّ من stage_title واعتمِد الترتيبَ على stage_no وحدَه مع عناوينَ وصفية («اعتماد ما سُجّل» بدل «خامسًا: اعتماد ما سُجّل») وفق UXR-0036-ب</t>
  </si>
  <si>
    <t xml:space="preserve">عناوينُ المجموعاتِ وصفيةٌ بلا ترقيمٍ لفظيّ، ولا توجد أيُّ مرحلةٍ مفقودةٍ من دورة إدارة الموقع.</t>
  </si>
  <si>
    <t xml:space="preserve">المجموعةُ الخامسةُ موجودةٌ في link_groups (3283 'الاعتماد') لكنَّ عنصرَها الوحيد (الموديول 192) يسقط لغياب منحةِ can_view للدور 6، ومصيِّرُ المراحل يجمّع من العناصر لا من المجموعات فتختفي المرحلةُ كلُّها.</t>
  </si>
  <si>
    <t xml:space="preserve">INJ-0571</t>
  </si>
  <si>
    <t xml:space="preserve">§٥-٢ الألوان · §٥-٤ المسافاتُ والشبكة · §٧ معاييرُ القبولِ البصري</t>
  </si>
  <si>
    <t xml:space="preserve">الألوانُ والمسافاتُ من رموزِ النظامِ التصميميِّ لا من قيمٍ موضعية؛ والأرقامُ بمحاذاةٍ عشريةٍ وtabular-nums</t>
  </si>
  <si>
    <t xml:space="preserve">عددُ الأنماط الموضعية المقيسُ ١٨٣ (لا ٢٠١) وتصريحاتُ المحاذاة ٢٥. — [مُصحَّح بعد التحقق] الصياغة الأولى: الشاشةُ أسوأُ ملفات النظام قياسًا في ثلاثةِ محاور: ١٨٢ لونًا مكتوبًا موضعيًّا و٢٠١ نمطًا موضعيًّا و١٦ تصريحَ محاذاةٍ يدويةً — وهي أكبرُ ملفِّ شاشةٍ في المستودع (٣٣٥٢ سطرًا) وتحصل على ٥/٥ في مقياس التع</t>
  </si>
  <si>
    <t xml:space="preserve">بوابةُ القبول البصريِّ G5-B (التبنّي) لا تجتاز على أهمِّ شاشةٍ ميدانيةٍ في إدارة الموقع: لا تستدعي مكوناتِ النظام التصميميِّ بل تعيد بناءَها موضعيًّا، فيختلف مظهرُها وسلوكُها عن بقية النظام ويستحيل تعديلُ الهويةِ مركزيًّا</t>
  </si>
  <si>
    <t xml:space="preserve">شاشةٌ موروثةٌ ضخمةٌ لم تُرحَّل إلى قشرةِ التطبيق والمكونات المشتركة</t>
  </si>
  <si>
    <t xml:space="preserve">Timesheet/timesheet.php:901; Timesheet/timesheet.php:1253; assets/css/ems.main.all.style.css:881; assets/js/ui-unification.js:366</t>
  </si>
  <si>
    <t xml:space="preserve">١) افتح Timesheet/timesheet.php وافحص عناصرَها في أدوات المطور: قيمُ ألوانٍ ومسافاتٍ مكتوبةٌ في السمة style.
٢) قارِن مظهرَ الأزرارِ والجداولِ بشاشةٍ تستعمل includes/u13_screen_kit.php.</t>
  </si>
  <si>
    <t xml:space="preserve">فكِّك Timesheet/timesheet.php إلى مكوناتٍ (رأسٌ موحَّد + جدولُ عُدّةِ u13 + نماذجُ .allforms)، وانقل الألوانَ والمسافاتِ إلى رموز assets/css، وأزِل تصريحاتِ المحاذاةِ اليدويةَ واعتمِد tabular-nums</t>
  </si>
  <si>
    <t xml:space="preserve">فاحصُ التبنّي G5-B يعيد صفرَ لونٍ ونمطٍ موضعيٍّ في الشاشة، ومظهرُها مطابقٌ لبقية شاشات النظام.</t>
  </si>
  <si>
    <t xml:space="preserve">القياسُ صحيحٌ ومطابق: ٣٣٥٢ سطرًا (أكبرُ ملفِّ شاشةٍ في المستودع) و١٨٢ لونًا سداسيًّا موضعيًّا و١٨٣ سمةَ style مضمَّنة؛ لكنه دَينُ تصميمٍ لا عطبٌ وظيفي.</t>
  </si>
  <si>
    <t xml:space="preserve">INJ-0572</t>
  </si>
  <si>
    <t xml:space="preserve">§٤ حالاتُ الشاشة · ٤-٥ حالةُ الحجبِ وانعدامِ الصلاحية · CM-00</t>
  </si>
  <si>
    <t xml:space="preserve">التوقفات وتحديد المتحمِّل · شاشات الموقع المولَّدة</t>
  </si>
  <si>
    <t xml:space="preserve">«◆ الحكم: تُعاد النمذجةُ إلى خمسةِ محاورَ مستقلةٍ يركّبها الغلافُ الحاكم» — والمحجوبةُ لا تبدو فارغةً والمقفلةُ لا تبدو مفتوحة</t>
  </si>
  <si>
    <t xml:space="preserve">أرقامُ أسطرِ shift_log وdaily_plan في الملاحظة (23 و35) خاطئة؛ المواضعُ الصحيحةُ 126 و158. — [مُصحَّح بعد التحقق] الصياغة الأولى: Operations/stops_unattributed.php تبذر محاورَ الغلافِ باستدعاء ems_shell_axes(null) — أي بمحاورَ فارغةٍ لا مشتقّةٍ من محرك الصلاحيات (لأنها بلا حارسٍ أصلًا فلا $perms فيها)؛ وشاشاتُ CMP-03 الست تفعل ا</t>
  </si>
  <si>
    <t xml:space="preserve">سبعُ شاشاتِ موقعٍ لا تعرض حالةَ الحجبِ ولا القراءةَ فقط: المستخدمُ بلا صلاحيةٍ يرى شاشةً تبدو عاملةً ثم يفشل فعلُه بلا سبب — وهو الأثرُ الذي يمنعه القرارُ الحاكمُ الأول</t>
  </si>
  <si>
    <t xml:space="preserve">تمريرُ null إلى ems_shell_axes في الشاشات التي لا تحسب صلاحياتٍ أصلًا</t>
  </si>
  <si>
    <t xml:space="preserve">Operations/stops_unattributed.php:42; Operations/shift_log.php:126; Operations/daily_plan.php:158; Operations/production.php:134</t>
  </si>
  <si>
    <t xml:space="preserve">١) افتح Operations/stops_unattributed.php بحسابٍ بلا صلاحية.
٢) الشاشةُ تُعرض بجدولٍ وأزرارٍ بلا أيِّ بيانٍ بانعدام الصلاحية.
٣) اضغط الزر: يقع الفعلُ فعلًا (لأنها بلا حارس).</t>
  </si>
  <si>
    <t xml:space="preserve">احسب $perms عبر check_page_permissions في الشاشات السبع ومرِّرها إلى ems_shell_axes($perms) بدل null، على نمط Operations/daily_plan.php:35، وأضِف حالتَي «محجوب» و«قراءةٌ فقط» بنصٍّ وسببٍ ورمز</t>
  </si>
  <si>
    <t xml:space="preserve">فتحُ أيٍّ من الشاشات السبع بحسابٍ بلا صلاحيةٍ يعرض حالةَ «محجوب» برمزٍ وسببٍ صريح، وبحسابِ قراءةٍ فقط يعرض الحالةَ بلا أزرارِ كتابة.</t>
  </si>
  <si>
    <t xml:space="preserve">ems_shell_axes(null) مؤكَّدٌ في stops_unattributed.php:42 وفي شاشات CMP-03 (production.php:134 · shift_log.php:126 · site_gate_equip.php:125 · daily_plan.php:158) — فلا يُشتق محورا «بلا صلاحية» و«قراءةٌ فقط» من محرك الصلاحيات.</t>
  </si>
  <si>
    <t xml:space="preserve">INJ-0573</t>
  </si>
  <si>
    <t xml:space="preserve">شاشات إدارة الموقع الإحدى عشرة مقابل الموجود</t>
  </si>
  <si>
    <t xml:space="preserve">«الشاشات `11 شاشة` · الأفعال `23 فعلًا` · الأعمدة `263`» في §٢٠ — ولكل شاشةٍ رمزٌ ومالكٌ ومرحلةٌ في نظام الشاشات</t>
  </si>
  <si>
    <t xml:space="preserve">من إحدى عشرةَ شاشةً منصوصة: تسعٌ موجودةٌ خارجَ نطاقِ الموقع (سبعٌ في Operations/ · واحدةٌ في admin/ · واحدةٌ في Timesheet/)، واثنتان غيرُ موجودتين (risk_dept_sit · gov_dept_sit)؛ وشاشتان معروضتان في السايدبار غيرُ مذكورتين في §٢٠-٤ (stops_unattributed.php · monthly_close.php)؛ والأفعالُ الثلاثةُ والعشرون غيرُ قابلةٍ للجرد لأن ستَّ شاشاتٍ منها فعلُها الوحيدُ «إضافةُ صفٍّ» في مخزنٍ مولَّد</t>
  </si>
  <si>
    <t xml:space="preserve">مقامُ قياسِ التبنّي لإدارة الموقعِ غيرُ قابلٍ للحساب، وعددُ الأفعالِ المعلَنُ (٢٣) لا يقابله أفعالٌ حقيقيةٌ في الكود — وهو عينُ العيبين المقياسيين MD-01 و MD-02 المفتوحين</t>
  </si>
  <si>
    <t xml:space="preserve">بُنيت الشاشاتُ خارجَ نطاقِ الوحدةِ وبمولِّدٍ عامٍّ لا يُنتج أفعالًا مسمّاةً، ولم يُحدَّث نظامُ الشاشات</t>
  </si>
  <si>
    <t xml:space="preserve">Operations/site_work_calendar.php:1; Operations/stops_unattributed.php:1; Operations/monthly_close.php:1; admin/org_permits.php:1; database/schema/seed_reference.sql (nav_items الدور 6: 3282 · 3287)</t>
  </si>
  <si>
    <t xml:space="preserve">١) قارِن جدول §٢٠-٤ بمحتوى Operations/ و admin/ و Timesheet/.
٢) اجرد أفعالَ الشاشات الست المولَّدة: فعلٌ واحدٌ لكلٍّ (cmp03_action=add).
٣) اجمع: أقلُّ بكثيرٍ من ٢٣ فعلًا.</t>
  </si>
  <si>
    <t xml:space="preserve">سجِّل الشاشاتِ التسعَ في نظام الشاشات بمالكٍ (إدارة الموقع) ومرحلةٍ ونطاقٍ ورمزٍ جديد، وأنشئ الشاشتين الناقصتين، وعرِّف الأفعالَ الثلاثةَ والعشرين بعقودها في الورقة ٠٧، ثم أعِد حسابَ مقام التبنّي وابصِمه</t>
  </si>
  <si>
    <t xml:space="preserve">فاحصُ المطابقة يربط كلَّ شاشةٍ وفعلٍ في §٢٠ بكيانٍ حيٍّ في نظام الشاشات، ويعيد صفرَ شاشةٍ موثقةٍ بلا ملفٍ وصفرَ ملفٍ بلا تسجيل.</t>
  </si>
  <si>
    <t xml:space="preserve">شاشاتُ الموقع موزَّعةٌ فعلًا خارج نطاقٍ واحد (Operations/ · admin/org_permits.php · Timesheet/timesheet.php)، وrisk_dept_sit وgov_dept_sit غيرُ موجودتين، وstops_unattributed.php وmonthly_close.php معروضتان في سايدبار الدور 6 دون ورودهما في جدول §٢٠-٤ — فلا مقامَ مشتركٌ للجرد.</t>
  </si>
  <si>
    <t xml:space="preserve">INJ-0574</t>
  </si>
  <si>
    <t xml:space="preserve">AR-05 · الحارسُ في الخادم — والقرارُ بسلطتِه</t>
  </si>
  <si>
    <t xml:space="preserve">FRD §١٢-٣ المرحلة ٧: «سابعًا: القبولُ والتصعيد — المعتمِد: ◆ صاحبُ السلطةِ بحسب الدرجة» — ولكلِّ درجةٍ صاحبُ سلطةٍ قابلٌ للوصول.</t>
  </si>
  <si>
    <t xml:space="preserve">`AUTHORITY_MATRIX['مرتفع'] = 'deputy'` (`RiskService.php:29-35`) لكن `risk_actor_authority_map()` لا تُرجع `deputy` لأيِّ دورٍ إطلاقًا (`_risk_authority.php:9-13`) — فلا حسابَ في النظامِ يحمل رتبةَ ٣. النتيجةُ أنَّ كلَّ خطرٍ «مرتفع» إمّا يُرفض قبولُه ويُصعَّد آليًّا (`RiskService.php:593-596`) أو يقبله الرئيسُ وحدَه (رتبة ٤).</t>
  </si>
  <si>
    <t xml:space="preserve">انسدادُ مسارٍ كاملٍ في مصفوفةِ الاعتماد: كلُّ خطرٍ مرتفعٍ يصل مكتبَ الرئيسِ مهما كان محدودَ الأثر، فيتحول التصعيدُ إلى ضجيجٍ ويفقد معناه.</t>
  </si>
  <si>
    <t xml:space="preserve">طبقةُ «النواب» غيرُ موجودةٍ في `roles` الحيّة، والحكمُ المؤقتُ موثَّقٌ في `_risk_authority.php:5` لكنّه لم يُرفع قرارًا.</t>
  </si>
  <si>
    <t xml:space="preserve">Risk/_risk_authority.php:5; :9-13; app/Services/Risk/RiskService.php:29-35</t>
  </si>
  <si>
    <t xml:space="preserve">١) اجعل خطرًا بدرجة «مرتفع».
٢) بحساب مديرِ الإدارةِ المالكةِ أرسل `do=risk_accept`: يعود `RSK-403: قبول مرتفع يتطلب سلطة deputy` ويُنشأ تصعيدٌ آلي.
٣) لا حسابَ في النظامِ يحقق `deputy` — تحقَّق من `Risk/_risk_authority.php:9-13`.</t>
  </si>
  <si>
    <t xml:space="preserve">إمّا أضِف أدوارَ النوابِ إلى `roles` واربطها في `risk_actor_authority_map()` برتبة `deputy`، وإمّا عدِّل `AUTHORITY_MATRIX['مرتفع']` إلى `'ceo'` صراحةً بقرارٍ موثَّقٍ في سجلِّ القرارات — ولا تُترك رتبةٌ لا يبلغها أحد.</t>
  </si>
  <si>
    <t xml:space="preserve">لكلِّ درجةٍ من الأربعِ يوجد دورٌ واحدٌ على الأقلِّ في `roles` يستطيع القبولَ — يُثبت باختبارٍ يمرُّ على الدرجاتِ الأربع.</t>
  </si>
  <si>
    <t xml:space="preserve">الواقعةُ صحيحة (AUTHORITY_MATRIX['مرتفع']='deputy' و`risk_actor_authority_map()` لا تُرجع deputy)، لكنها **قرارٌ موثَّقٌ صراحةً** في رأس الملف: «حكم مؤقت موثق: لا طبقة نواب في الهيكل الحي — فالمرتفع يرتفع للرئيس» — فهي فجوةُ توثيقٍ/إغلاقٍ لا خللٌ صامت.</t>
  </si>
  <si>
    <t xml:space="preserve">INJ-0575</t>
  </si>
  <si>
    <t xml:space="preserve">§٤-٥ قواعدُ السايدبار · FRD §١٢-٤</t>
  </si>
  <si>
    <t xml:space="preserve">مخاطر الإدارة (risk_dept_*)</t>
  </si>
  <si>
    <t xml:space="preserve">FRD يعلن «20 شاشة» لإدارةِ المخاطر ويسمّي اثنتَي عشرةَ شاشةً لكلِّ إدارةٍ باسمها (`risk_dept_ops` · `risk_dept_flt` · `risk_dept_hrm` · `risk_dept_cap` · `risk_dept_crp` · `risk_dept_mnt` · `risk_dept_wrk` · `risk_dept_trp` · `risk_dept_prc` · `risk_dept_inv` · `risk_dept_sit` · `risk_dept_ceo`) بحكم «◆ إدارةُ المخاطرِ — والإدارةُ تنفّذ».</t>
  </si>
  <si>
    <t xml:space="preserve">Risk/ فيه 27 ملفًّا (23 شاشة + 4 أجزاء) وليس فيها risk_dept_&lt;code&gt; عدا fin و gov؛ والوظيفةُ متاحةٌ عبر dept_risk_space.php بمعامل unit لكن قراءةً فقط (can_edit=0). — [مُصحَّح بعد التحقق] الصياغة الأولى: لا وجودَ لأيٍّ من الاثنتي عشرةَ شاشة في `/tmp/ems/Risk/` — الموجودُ 22 ملفَّ شاشةٍ ليس بينها أيُّ `risk_dept_&lt;code&gt;.php` عدا `fin` و`gov`. جميعُها مطويةٌ في المكوِّنِ النطاقيِّ الواحد `dept_risk_space</t>
  </si>
  <si>
    <t xml:space="preserve">أربعَ عشرةَ إدارةً بلا مدخلٍ مسمًّى لمخاطرها؛ ومراجعةُ التتبعِ على الورقةِ ٠٦ تُظهر شاشاتٍ معلَنةً بلا ملفّات — وهو فارقٌ يُفسد عدَّ الشاشات.</t>
  </si>
  <si>
    <t xml:space="preserve">قرارُ تصميمٍ (مكوِّنٌ نطاقيٌّ واحد) نُفِّذ بلا تحديثِ الوثيقةِ ولا إنشاءِ أغلفةٍ رقيقةٍ بأسماءِ الشاشاتِ المعلَنة.</t>
  </si>
  <si>
    <t xml:space="preserve">Risk/dept_risk_space.php:14; :20; Risk/risk_dept_fin.php:14; Risk/risk_dept_gov.php:11</t>
  </si>
  <si>
    <t xml:space="preserve">١) نفِّذ `ls /tmp/ems/Risk/risk_dept_*.php` → ملفّان فقط (`fin`, `gov`).
٢) قارِنهما بقائمةِ FRD الاثنتي عشرة: عشرُ شاشاتٍ مفقودة.</t>
  </si>
  <si>
    <t xml:space="preserve">ولِّد لكلِّ إدارةٍ غلافًا رقيقًا على غرارِ `Risk/risk_dept_fin.php` (يحلُّ `unit_code` من `org_units` ثم `require dept_risk_space.php`) وسجِّله في `modules` و`nav_items` — أو اعتمِد قرارًا موثَّقًا بتعديلِ FRD إلى مكوِّنٍ نطاقيٍّ واحد.</t>
  </si>
  <si>
    <t xml:space="preserve">لكلِّ إدارةٍ من الأربعَ عشرةَ رابطٌ باسمِ «مخاطر إدارتي» في سايدبارها يفتح المكوِّنَ مضبوطًا على وحدتها.</t>
  </si>
  <si>
    <t xml:space="preserve">لا وجودَ لأيٍّ من الاثنتي عشرةَ شاشةً المسمّاة في Risk/ عدا fin و gov، والوظيفةُ مطويةٌ في dept_risk_space.php المضبوطِ بوحدةٍ تنظيمية. العددُ الدقيقُ 27 ملفًّا (منها 4 أجزاءٌ ببادئة _) لا 22. مخالفةُ جردٍ وتسميةٍ لا فقدانَ وظيفة.</t>
  </si>
  <si>
    <t xml:space="preserve">INJ-0576</t>
  </si>
  <si>
    <t xml:space="preserve">§٦ الشاشاتُ الطويلةُ ومناظرُها · الحالاتُ الخمس</t>
  </si>
  <si>
    <t xml:space="preserve">http://localhost/ems/Risk/dept_risk_space.php?tab=treatments</t>
  </si>
  <si>
    <t xml:space="preserve">«دليلُ إغلاقٍ يقبله المتحقِّق» (FRD §٢٦-٢ رقم ٧) — والدليلُ مستندٌ يُرفَق لا نصٌّ حرّ، والإدخالُ يقع في نموذجِ الشاشةِ لا في نافذةِ متصفح.</t>
  </si>
  <si>
    <t xml:space="preserve">السلسلةُ غيرُ الفارغةِ تجتاز حالةَ done وحدَها؛ أمّا الإغلاق (verified) فيمنعه فحصُ استقلال المتحقِّق. — [مُصحَّح بعد التحقق] الصياغة الأولى: دليلُ تنفيذِ المعالجةِ يُجمع بنافذةِ `prompt()` من JavaScript (`dept_risk_space.php:186-188`)، ويُخزَّن نصًّا حرًّا في `risk_treatments.done_evidence TEXT` (`database/schema/schema.sql:9021`) — فأيُّ </t>
  </si>
  <si>
    <t xml:space="preserve">بوابةُ «لا إغلاقَ بلا دليل» — وهي أقوى حرَّاسِ M-16 — تُجتاز بكتابةِ نقطةٍ في نافذةِ prompt؛ ولا مرفقَ ولا مرجعَ مستندٍ يمكن للمراجعِ فحصُه.</t>
  </si>
  <si>
    <t xml:space="preserve">نافذةُ prompt استُعملت اختصارًا بدل نموذجٍ داخل الصفحة، ولم يُربَط الدليلُ بجدولِ المرفقات.</t>
  </si>
  <si>
    <t xml:space="preserve">Risk/dept_risk_space.php:186-188; database/schema/schema.sql:9021; Risk/risk_actions.php:323-326; :347-355</t>
  </si>
  <si>
    <t xml:space="preserve">١) افتح `Risk/dept_risk_space.php?tab=treatments` بحساب منفِّذِ معالجة.
٢) اضغط «تم مع دليل» فتظهر نافذةُ prompt.
٣) اكتب «.» واضغط موافق: تُقبل الحالةُ `done` وتفتح بابَ التحقق.</t>
  </si>
  <si>
    <t xml:space="preserve">استبدِل `prompt()` في `Risk/dept_risk_space.php:186` بنموذجٍ داخلَ الصفحةِ يطلب: نوعَ الدليل (مرفق/مرجع مستند) و`attachment_id` أو `doc_ref` ونصًّا لا يقلُّ عن ٢٠ حرفًا؛ وفي `Risk/risk_actions.php:324` اشترط وجودَ `evidence_ref` صالحٍ في جدولِ المرفقاتِ لا مجرَّدَ نصٍّ غيرِ فارغ.</t>
  </si>
  <si>
    <t xml:space="preserve">أرسل `treatment_done` بدليلٍ نصيٍّ «.»: يجب 422؛ وبمرفقٍ حقيقيٍّ ومرجع: يجب 200 وظهورُ رابطِ المرفقِ في شاشةِ التحقق.</t>
  </si>
  <si>
    <t xml:space="preserve">الدليلُ يُجمع بـprompt() ويُخزَّن نصًّا حرًّا فعلًا (dept_risk_space.php:186-188 · schema.sql:9021)، لكنّ «اجتيازَ حارس الإغلاق» مبالَغٌ فيه: الإغلاقُ يحتاج قبولَ متحقِّقٍ مختلفٍ عن المنفِّذ (risk_actions.php:347-354) لا مجردَ سلسلةٍ غير فارغة.</t>
  </si>
  <si>
    <t xml:space="preserve">INJ-0577</t>
  </si>
  <si>
    <t xml:space="preserve">§٦-٢ الشاشاتُ الطويلةُ · نموذجُ الإدخال</t>
  </si>
  <si>
    <t xml:space="preserve">الحقلُ المرجعيُّ يُدخَل بالاختيارِ من مصدرِه — «يجد الكيانَ أيًّا كان نوعُه — فلا يُسأل المتدربُ عن الشاشة».</t>
  </si>
  <si>
    <t xml:space="preserve">حقلُ «الإدارة المالكة (وحدة الهيكل)» في نموذجِ إنشاءِ الخطرِ حقلُ رقمٍ حرٍّ: `risk_register.php:202` يصيّر `&lt;input name="owner_unit_id" type="number" placeholder="unit_id"&gt;` — يطلب من المستخدمِ حفظَ رقمِ الوحدةِ عن ظهرِ قلب، ولا يتحقق من وجودِها ولا من انتمائها للكيان.</t>
  </si>
  <si>
    <t xml:space="preserve">إسنادُ الخطرِ لوحدةٍ خاطئةٍ أو غيرِ موجودةٍ بخطأٍ مطبعيّ — والخطرُ عندئذٍ يختفي عن كلِّ الإدارات (تفاعلٌ مع فجوةِ NULL نفسِها).</t>
  </si>
  <si>
    <t xml:space="preserve">النموذجُ كُتب سريعًا بحقلٍ رقميٍّ بدل قائمةٍ من `org_units`.</t>
  </si>
  <si>
    <t xml:space="preserve">Risk/risk_register.php:195-197; :202</t>
  </si>
  <si>
    <t xml:space="preserve">١) افتح نموذجَ «خطر جديد».
٢) اكتب في حقلِ الإدارةِ المالكة الرقمَ 999.
٣) احفظ: يُقبل الخطرُ بوحدةٍ غيرِ موجودة.</t>
  </si>
  <si>
    <t xml:space="preserve">استبدِل حقلَ `risk_register.php:202` بـ`&lt;select name="owner_unit_id"&gt;` معبَّأً من `SELECT unit_id, name_ar FROM org_units WHERE company_id = ? AND active = 1`، واجعله `required`، وتحقَّق في `RiskService::createRisk` من وجودِ الوحدةِ داخلَ الكيان.</t>
  </si>
  <si>
    <t xml:space="preserve">لا يمكن حفظُ خطرٍ بوحدةٍ خارجَ `org_units` الخاصةِ بالكيان؛ والقائمةُ تعرض الأسماءَ العربيةَ لا الأرقام.</t>
  </si>
  <si>
    <t xml:space="preserve">حقلُ «الإدارة المالكة (وحدة الهيكل)» في نموذج risk_register.php:202 هو &lt;input name="owner_unit_id" type="number" placeholder="unit_id"&gt; بينما حقلُ «الوحدة» المجاورُ (سطر 195) قائمةُ اختيارٍ معبَّأةٌ — فالتناقضُ داخل النموذج نفسِه.</t>
  </si>
  <si>
    <t xml:space="preserve">INJ-0578</t>
  </si>
  <si>
    <t xml:space="preserve">٥-١ بواباتُ التسليمِ الخمس · الشاهد</t>
  </si>
  <si>
    <t xml:space="preserve">«لا تُقفز — وتتوقف صادقةً حيث تتوقف»: الميزةُ لا تُعدُّ مسلَّمةً إلا بدليلٍ على تشغيلها فعليًّا.</t>
  </si>
  <si>
    <t xml:space="preserve">محرّكُ القواعدِ الدوريةِ `tools/m16_risk_cron.php` موجودٌ ويولّد ثلاثَ عشرةَ قاعدةَ إشارةٍ (SG-01..SG-15) لكن لا أثرَ لجدولةٍ في المستودع: لا صفَّ crontab ولا مهمةٌ في `app/Services/Queue/JobQueueService.php` ولا نداءٌ من `cron_events.php` أو `cron_requests.php` الموجودَين في الجذر.</t>
  </si>
  <si>
    <t xml:space="preserve">إن لم يُجدوَل فلن تُنتج أيُّ قاعدةٍ دوريةٍ إشارةً: لا رصدَ للأعطالِ المتكررةِ ولا للمراجعاتِ المتأخرةِ ولا للمؤشراتِ المتجاوزة — ويبدو صندوقُ الإشاراتِ سليمًا وهو أعمى.</t>
  </si>
  <si>
    <t xml:space="preserve">الجدولةُ خارجَ المستودعِ (بيئةُ الخادم) ولا دليلَ نشرٍ يوثّقها.</t>
  </si>
  <si>
    <t xml:space="preserve">tools/m16_risk_cron.php:1; cron_events.php:1; app/Services/Queue/JobQueueService.php:1</t>
  </si>
  <si>
    <t xml:space="preserve">١) `grep -rn m16_risk_cron /tmp/ems --include=*.php --include=*.sql` → تعريفُ الملفِّ فقط.
٢) لا ملفَّ crontab ولا وحدةَ systemd ولا صفَّ في جدولِ المهامِّ يشير إليه.</t>
  </si>
  <si>
    <t xml:space="preserve">سجِّل المهمةَ في `app/Services/Queue/JobQueueService.php` بدورةٍ يوميةٍ، أو أضِف نداءَها إلى `cron_events.php`، ووثِّق الجدولةَ في بصمةِ الإصدار (AR-08) مع آخرِ تشغيلٍ ناجح.</t>
  </si>
  <si>
    <t xml:space="preserve">بعد النشرِ يجب أن يُظهر جدولُ `risk_signals` صفوفًا بـ`source='auto'` و`sg_code` خلال ٢٤ ساعة، وأن تعرض شاشةُ الإعداداتِ آخرَ تشغيلٍ للمحرّك.</t>
  </si>
  <si>
    <t xml:space="preserve">لا أثرَ لجدولةٍ في المستودع فعلًا (لا crontab ولا نداءٌ من cron_events.php ولا مهمةٌ في JobQueueService) — لكنَّ الادعاءَ سلبيٌّ بطبيعته و«غيابُ الدليل» في نسخةٍ منقوصةٍ لا يساوي غيابَ الجدولة على الخادم.</t>
  </si>
  <si>
    <t xml:space="preserve">INJ-0579</t>
  </si>
  <si>
    <t xml:space="preserve">SEC-025 · النطاقُ والعزلُ بين الكيانات</t>
  </si>
  <si>
    <t xml:space="preserve">عزلُ الكيانِ شرطٌ في كلِّ استعلام — «لكل جدولٍ صنفُه ومسارُ عزلِه مُثبَت».</t>
  </si>
  <si>
    <t xml:space="preserve">المكشوفُ اسمُ وحدةٍ وعددٌ إجماليٌّ لا صفوفُ بياناتٍ حساسة. — [مُصحَّح بعد التحقق] الصياغة الأولى: استعلامان في وحدةِ المخاطرِ يُغفلان `company_id`: `dept_risk_space.php:17` (`SELECT name_ar FROM org_units WHERE unit_id = {$unit}`) و`gov_dept_rsk.php:71` (`COUNT(*) FROM sensitive_read_log`). كما أن</t>
  </si>
  <si>
    <t xml:space="preserve">في نشرٍ متعددِ الكيانات يظهر اسمُ وحدةِ شركةٍ أخرى في ترويسةِ الشاشة، ويُحسب عدَّادُ الاطّلاعِ الحساسِ على مستوى القاعدةِ كلِّها؛ وقد تُسنَد وحدةُ إدارةٍ خاطئةٍ لدورٍ فيرى مخاطرَ إدارةٍ غيرِ إدارته.</t>
  </si>
  <si>
    <t xml:space="preserve">افتراضُ كيانٍ واحدٍ (company_id=4) عند كتابةِ الخرائطِ والاستعلاماتِ المرجعية.</t>
  </si>
  <si>
    <t xml:space="preserve">Risk/dept_risk_space.php:17; Risk/gov_dept_rsk.php:71; Risk/_risk_common.php:45-64</t>
  </si>
  <si>
    <t xml:space="preserve">١) أنشئ كيانًا ثانيًا وابذر له `org_units` بترتيبٍ مختلف.
٢) ادخل بدور 17 (المالية) في الكيان الثاني وافتح `Risk/dept_risk_space.php`.
٣) لاحظ أنَّ ترويسةَ «الزاوية» تعرض اسمَ وحدةٍ من الكيانِ الأول، وأنَّ الصفوفَ المعروضةَ ليست مخاطرَ المالية.</t>
  </si>
  <si>
    <t xml:space="preserve">① أضِف `AND company_id = {$company_id}` إلى `dept_risk_space.php:17` و`gov_dept_rsk.php:71`. ② استبدِل `risk_role_org_unit()` باستعلامٍ حيٍّ على `org_units` بمفتاحِ `unit_code` (لا `unit_id`) داخل الكيان.</t>
  </si>
  <si>
    <t xml:space="preserve">في كيانين بترتيبَي بذرٍ مختلفين: كلُّ دورٍ يرى وحدتَه الصحيحةَ بالاسم، و`COUNT` سجلِّ الاطّلاعِ في `gov_dept_rsk.php` يساوي عددَ صفوفِ الكيانِ الحالي فقط.</t>
  </si>
  <si>
    <t xml:space="preserve">الاستعلامان بلا عزلٍ كما وُصف: dept_risk_space.php:17 يقرأ org_units بـunit_id وحدَه، وgov_dept_rsk.php:71 يعدّ sensitive_read_log بلا company_id (بينما جاراه في السطرين 69 و72 يعزلان)؛ وrisk_role_org_unit (_risk_common.php:45-64) خريطةُ أرقامٍ صلبةٍ 1..15.</t>
  </si>
  <si>
    <t xml:space="preserve">INJ-0580</t>
  </si>
  <si>
    <t xml:space="preserve">§٢٦-١ نوع ٥ · بلاغ</t>
  </si>
  <si>
    <t xml:space="preserve">بلاغاتي</t>
  </si>
  <si>
    <t xml:space="preserve">«بلاغاتي» شاشةُ قراءةٍ وتنفيذٍ تجمع بلاغاتِ الشخص: «رفع بلاغ · المفتوحة · ما ينتظر ردي» — لا نموذجَ فتحِ بلاغٍ جديد.</t>
  </si>
  <si>
    <t xml:space="preserve">بلاطةُ «③ بلاغاتي» في `main/my_workspace.php:62` تشير إلى `Tickets/ticket_contextual_open.php` وهي نقطةُ **فتحِ** بلاغٍ سياقيٍّ جديد (`Tickets/ticket_contextual_open.php:4-8`) — نموذجُ تصنيفٍ ثلاثيٍّ وحفظ، لا قائمةَ «بلاغاتي المفتوحة» ولا «ما ينتظر ردي». ولا يوجد في المستودعِ ملفٌّ باسم `my_tickets` أو ما يعادله.</t>
  </si>
  <si>
    <t xml:space="preserve">واحدةٌ من الشاشاتِ الخمسِ المسمّاةِ نصًّا غيرُ موجودةٍ أصلًا: لا يستطيع الموظفُ رؤيةَ بلاغاتِه المفتوحةِ ولا ما ينتظر ردَّه في موضعٍ واحد؛ والعدَّادُ على البلاطةِ يَعُدُّ بلاغاتٍ لا يمكن فتحُ قائمتها.</t>
  </si>
  <si>
    <t xml:space="preserve">رُبطت البلاطةُ بأقربِ شاشةِ بلاغاتٍ متاحةٍ بدل بناءِ شاشةِ «بلاغاتي».</t>
  </si>
  <si>
    <t xml:space="preserve">main/my_workspace.php:50; :62; Tickets/ticket_contextual_open.php:4-8</t>
  </si>
  <si>
    <t xml:space="preserve">١) افتح `main/my_workspace.php`.
٢) اضغط بلاطةَ «③ بلاغاتي» ذاتَ الشارةِ الرقمية.
٣) تُفتح صفحةُ «بلاغ جديد» بنموذجٍ فارغ — لا قائمةَ ببلاغاتِك المعدودةِ في الشارة.</t>
  </si>
  <si>
    <t xml:space="preserve">أنشئ `Tickets/my_tickets.php` بثلاثةِ عروض (المفتوحة · ما ينتظر ردي · المغلقة حديثًا) مبنيةً على الاستعلامِ نفسِه المستعملِ في `main/my_workspace.php:50-51` (`tickets` × `ticket_participants`)، وسجِّلها في `modules` و`nav_items`، ووجِّه البلاطةَ إليها مع إبقاءِ زرِّ «بلاغ جديد» داخلَها.</t>
  </si>
  <si>
    <t xml:space="preserve">فريق الواجهة — مركز البلاغات</t>
  </si>
  <si>
    <t xml:space="preserve">بلاطةُ «بلاغاتي» تفتح قائمةً عددُ صفوفها = الرقمُ في الشارة، وفيها زرُّ «بلاغ جديد».</t>
  </si>
  <si>
    <t xml:space="preserve">بلاطةُ «③ بلاغاتي» في السطر 62 تشير إلى Tickets/ticket_contextual_open.php وهي نموذجُ فتحِ بلاغٍ سياقيٍّ لا قائمة، والعدّادُ محسوبٌ في السطر 50 من tickets×ticket_participants.</t>
  </si>
  <si>
    <t xml:space="preserve">INJ-0581</t>
  </si>
  <si>
    <t xml:space="preserve">§٢٦-١ نوع ٣ · طلب · «وكلُّ طلبٍ يُعرف عند مَن توقف»</t>
  </si>
  <si>
    <t xml:space="preserve">http://localhost/ems/Portal/my_requests.php</t>
  </si>
  <si>
    <t xml:space="preserve">«طلب: مستندٌ يُنشئه موظفٌ لجهةٍ أخرى» — من قاموسِ الأنواعِ الاثنين والستين؛ و«كلُّ طلبٍ يُعرف عند مَن توقف» (نصُّ بلاطةِ الشاشةِ نفسِها).</t>
  </si>
  <si>
    <t xml:space="preserve">عدَّادُ «طلباتي» في `main/my_workspace.php:46-49` يجمع مصدرين مختلفين: `requests` (المحرّكُ العامّ) و`fin_requests` (البوابةُ المالية) — بينما الشاشةُ المقصودةُ `Portal/my_requests.php` تعرض المصدرَ الأولَ فقط، وشاشةُ `FinRequests/my_requests.php` تعرض الثانيَ فقط. فلا شاشةَ واحدةَ تعرض ما يعدُّه العدَّاد.</t>
  </si>
  <si>
    <t xml:space="preserve">الشارةُ على بلاطةِ «طلباتي» تعرض رقمًا لا يجد المستخدمُ ما يقابله في أيِّ شاشة: يفتح الشاشةَ فيرى عددًا أقلَّ ويظنُّ أنَّ طلباتِه ضاعت.</t>
  </si>
  <si>
    <t xml:space="preserve">مصدرانِ للطلباتِ بلا شاشةٍ موحَّدةٍ تجمعهما، والعدَّادُ بُني على الجمعِ والشاشاتُ على الفصل.</t>
  </si>
  <si>
    <t xml:space="preserve">main/my_workspace.php:46; :48; :49; :63; Portal/my_requests.php:1; FinRequests/my_requests.php:24; database/schema/seed_reference.sql:297; :167</t>
  </si>
  <si>
    <t xml:space="preserve">١) قدِّم طلبًا ماليًّا وطلبًا غيرَ ماليّ.
٢) افتح `main/my_workspace.php`: شارةُ «طلباتي» = ٢.
٣) افتح `Portal/my_requests.php`: طلبٌ واحدٌ فقط.</t>
  </si>
  <si>
    <t xml:space="preserve">اجعل `Portal/my_requests.php` يجمع المصدرين (اتحادُ `requests` و`fin_requests` بأعمدةٍ موحَّدةٍ: الرقم · النوع · الحالة · عند مَن توقف · المهلة) مع زرِّ قفزٍ إلى شاشةِ الأصل؛ أو اجعل العدَّادَ في `main/my_workspace.php:46` يقتصر على المصدرِ الذي تعرضه الشاشةُ المرتبطة.</t>
  </si>
  <si>
    <t xml:space="preserve">فريق الواجهة + الباك-إند — محرّك العمل الشخصي</t>
  </si>
  <si>
    <t xml:space="preserve">رقمُ شارةِ «طلباتي» = عددُ الصفوفِ في الشاشةِ التي تفتحها البلاطةُ بالضبط، لكلِّ مستخدم.</t>
  </si>
  <si>
    <t xml:space="preserve">العدّادُ يجمع requests وfin_requests بينما البلاطةُ تفتح Portal/my_requests.php (المصدر الأول) والسايدبارُ يربط FinRequests/my_requests.php — لكن كلَّ صفوف nav_items لـmain/my_workspace.php غيرُ فعّالة فأثرُه محدود.</t>
  </si>
  <si>
    <t xml:space="preserve">INJ-0582</t>
  </si>
  <si>
    <t xml:space="preserve">الشاشةُ مسجَّلةٌ في `modules` (id 249) ومُمنَحةٌ can_view لـ٢٧ دورًا في `role_permissions`، لكنَّها **بلا أيِّ صفٍّ في `nav_items`** — بحثٌ عن مسارها في `database/schema/seed_reference.sql` يُظهر صفَّ المودولِ وحدَه. فلا تظهر في سايدبارِ أيِّ دور، ولا تُبلَغ إلا من بلاطاتِ `main/my_workspace.php` وهي نفسُها معطَّلةٌ في القائمة.</t>
  </si>
  <si>
    <t xml:space="preserve">database/schema/seed_reference.sql:4019 (و٢٤ نظيرًا)؛ app/Services/Work/RequestService.php:288; :330</t>
  </si>
  <si>
    <t xml:space="preserve">١) ادخل بأيِّ دورٍ له can_view على المودول 249.
٢) افحص السايدبار: لا رابطَ للشاشة.
٣) استعلم `SELECT COUNT(*) FROM nav_items WHERE route LIKE '%my_requests.php'` → صفر.</t>
  </si>
  <si>
    <t xml:space="preserve">ولِّد صفَّ `nav_items` لكلِّ دورٍ مخوَّلٍ (`door='HOME'` أو مجموعةُ «مساحتي الشخصية» في وضعِ المراحل، `module_id=249`، `permission_code='Portal/my_requests.php'`، `active=1`) من مصفوفةِ العرضِ في NAV-09.</t>
  </si>
  <si>
    <t xml:space="preserve">بكلِّ دورٍ مخوَّلٍ يظهر رابطُ «طلباتي» في السايدبار ويفتح الشاشةَ بلا رسالةِ حجب.</t>
  </si>
  <si>
    <t xml:space="preserve">صحيحٌ أن `Portal/my_requests.php` (module 249) بلا صفِّ nav_items، لكن «طلباتي» **يظهر في سايدبار ٢٥ دورًا** موجَّهًا إلى `FinRequests/my_requests.php`؛ والشاشةُ الأخرى مبلوغةٌ من روابطِ الإشعارات في `RequestService::decide()` — فادعاءُ «لا تُبلَغ إلا من بلاطات my_workspace المعطَّلة» غيرُ دقيق.</t>
  </si>
  <si>
    <t xml:space="preserve">INJ-0583</t>
  </si>
  <si>
    <t xml:space="preserve">غيابُ صفِّ التنقل صحيح؛ أما «لا تُبلَغ» فغيرُ دقيق — منفذُها بلاطةُ بوابتي الفعّالة. — [مُصحَّح بعد التحقق] الصياغة الأولى: الشاشةُ مسجَّلةٌ في `modules` (id 250) ومُمنَحةٌ can_view لـ٢٧ دورًا في `role_permissions`، لكنَّها **بلا أيِّ صفٍّ في `nav_items`** — بحثٌ عن مسارها في `database/schema/seed_reference.sql` يُظهر صفَّ</t>
  </si>
  <si>
    <t xml:space="preserve">database/schema/seed_reference.sql:298; Portal/notifications.php:1; includes/unified_nav.php:63; :70; main/my_workspace.php:60</t>
  </si>
  <si>
    <t xml:space="preserve">١) ادخل بأيِّ دورٍ له can_view على المودول 250.
٢) افحص السايدبار: لا رابطَ للشاشة.
٣) استعلم `SELECT COUNT(*) FROM nav_items WHERE route LIKE '%notifications.php'` → صفر.</t>
  </si>
  <si>
    <t xml:space="preserve">ولِّد صفَّ `nav_items` لكلِّ دورٍ مخوَّلٍ (`door='HOME'` أو مجموعةُ «مساحتي الشخصية» في وضعِ المراحل، `module_id=250`، `permission_code='Portal/notifications.php'`، `active=1`) من مصفوفةِ العرضِ في NAV-09.</t>
  </si>
  <si>
    <t xml:space="preserve">بكلِّ دورٍ مخوَّلٍ يظهر رابطُ «المراسلات والتنبيهات» في السايدبار ويفتح الشاشةَ بلا رسالةِ حجب.</t>
  </si>
  <si>
    <t xml:space="preserve">لا صفَّ nav_items للشاشة فعلًا رغم 27 منحةَ عرضٍ على الوحدة 250، لكنها تُبلَغ من بلاطةِ «بوابتي» (Portal/my_portal.php:51-52) وهي في المرحلة صفر لكل دور — فليست معدومةَ المنفذ.</t>
  </si>
  <si>
    <t xml:space="preserve">INJ-0584</t>
  </si>
  <si>
    <t xml:space="preserve">UXR-0034 · الاسمُ يصف ما خلفه · CM-00</t>
  </si>
  <si>
    <t xml:space="preserve">«لا تكرارَ في القائمة»: كلُّ عنصرٍ يقود إلى موضعٍ متمايز؛ والنصُّ الظاهرُ يطابق ما تحته.</t>
  </si>
  <si>
    <t xml:space="preserve">«⑩ بوابتي» تختلف بمعامل ?view=gateway عن «⑧ ملفي» — فالتكرارُ التامُّ في بلاطةٍ واحدةٍ لا اثنتين. — [مُصحَّح بعد التحقق] الصياغة الأولى: الترويسةُ وشرحُ الشاشةِ يقولان «الحاوية الثمانية» و«ثمانية عناصر» (`main/my_workspace.php:3` و`:86`) بينما المصفوفةُ تحوي **عشرَ** بلاطات (`:59-71`). وبلاطتانِ مكرَّرتان: «⑥ طلب جديد» تفتح `Portal/my_</t>
  </si>
  <si>
    <t xml:space="preserve">عدَّانِ متناقضانِ في الشاشةِ نفسِها، وعنصرانِ من عشرةٍ بلا وجهةٍ متمايزة — يُضعف الثقةَ في الحاويةِ التي يفترض أن تكون مرجعَ الموظفِ الأول.</t>
  </si>
  <si>
    <t xml:space="preserve">أُضيفت بلاطتانِ (⑨ ⑩) بقرارٍ لاحقٍ (NAV-01 v6 §7) ولم يُحدَّث النصُّ ولا فُصلت الوجهات.</t>
  </si>
  <si>
    <t xml:space="preserve">main/my_workspace.php:3; :59; :63; :65; :67; :70; :71; :86</t>
  </si>
  <si>
    <t xml:space="preserve">١) افتح `main/my_workspace.php`.
٢) اقرأ الشرحَ: «ثمانية عناصر».
٣) عُدَّ البلاطات: عشر.
٤) اضغط «⑥ طلب جديد» ثم «④ طلباتي»: الوجهةُ نفسُها.</t>
  </si>
  <si>
    <t xml:space="preserve">في `main/my_workspace.php` صحِّح نصَّ `ems_screen_about` (السطر 86) إلى العددِ الفعلي، ووجِّه «⑥ طلب جديد» إلى `Portal/my_requests.php?new=1` مع فتحِ نموذجِ التقديم، و«⑩ بوابتي» إلى منظرِ البوابةِ بمعاملٍ يُفعِّل تبويبًا مختلفًا عن «⑧ ملفي».</t>
  </si>
  <si>
    <t xml:space="preserve">عددُ البلاطاتِ = العددُ المذكورُ في الشرح، ولا بلاطتانِ تفتحان المسارَ نفسَه بالمعاملاتِ نفسِها.</t>
  </si>
  <si>
    <t xml:space="preserve">الترويسةُ (السطر 3) والشرحُ (السطر 86) يقولان «ثمانية» والمصفوفةُ عشرُ بلاطات؛ و«⑥ طلب جديد» و«④ طلباتي» تفتحان المسارَ نفسَه حرفيًّا Portal/my_requests.php.</t>
  </si>
  <si>
    <t xml:space="preserve">INJ-0585</t>
  </si>
  <si>
    <t xml:space="preserve">§٤-٥ · «لا شاشتان لغرضٍ واحد»</t>
  </si>
  <si>
    <t xml:space="preserve">مساحة العمل</t>
  </si>
  <si>
    <t xml:space="preserve">http://localhost/ems/Portal/workspace.php</t>
  </si>
  <si>
    <t xml:space="preserve">لكلِّ غرضٍ شاشةٌ واحدةٌ وموضعٌ واحد — «مصدرُ الحقيقة: الموضعُ الوحيدُ الذي يُنشأ فيه البيانُ ويُعدَّل».</t>
  </si>
  <si>
    <t xml:space="preserve">توجد شاشتانِ لغرضِ «مساحة العمل»: `main/my_workspace.php` (مودول 228، حاويةُ عشرِ بلاطات) و`Portal/workspace.php` (مودول 191 «مساحة العمل»، لوحةٌ سياقيةٌ ثلاثيةُ الأجنحةِ مبنيةٌ على `WorkspaceFeedService`). والثانيةُ مُمنَحةٌ can_view لـ٢٣ دورًا ولها **صفرُ** صفوفٍ في `nav_items` — أي مبنيةٌ ومموَّلةٌ بالصلاحياتِ وغيرُ قابلةٍ للوصول.</t>
  </si>
  <si>
    <t xml:space="preserve">ازدواجُ مفهومِ «مساحة العمل» بين حاويةِ تنقُّلٍ ولوحةٍ سياقية؛ وواحدةٌ منهما مهجورةٌ تمامًا — جهدُ بناءٍ لا يصل مستخدمًا، وارتباكٌ في تحديدِ «الصفحةِ الأولى» التي يُلزم بها WSP-01.</t>
  </si>
  <si>
    <t xml:space="preserve">بُنيت `Portal/workspace.php` في موجة H-19 ثم بُنيت `main/my_workspace.php` في موجة NAV-07 بلا قرارِ دمجٍ أو إلغاء.</t>
  </si>
  <si>
    <t xml:space="preserve">database/schema/seed_reference.sql:242; :276; (role_permissions: 23 صفَّ can_view للموديول 191); Portal/workspace.php:1-15</t>
  </si>
  <si>
    <t xml:space="preserve">١) استعلم `SELECT COUNT(*) FROM nav_items WHERE route='Portal/workspace.php'` → صفر.
٢) افتح `Portal/workspace.php` بالمسارِ المباشر: تعمل الشاشةُ كاملةً.
٣) قارِنها بـ`main/my_workspace.php`: الغرضُ المعلَنُ نفسُه بمحتوًى مختلف.</t>
  </si>
  <si>
    <t xml:space="preserve">اتخِذ قرارًا موثَّقًا: إمّا دمجُ محتوى `Portal/workspace.php` (تغذيةُ `WorkspaceFeedService`) داخلَ `main/my_workspace.php` كقسمٍ ثانٍ ثم إلغاءُ المودول 191، وإمّا توليدُ صفوفِ تنقُّلٍ لها باسمٍ متمايزٍ («لوحةُ عملي السياقية»).</t>
  </si>
  <si>
    <t xml:space="preserve">في النظامِ شاشةٌ واحدةٌ فقط اسمُها يحوي «مساحة العمل»، ولها صفوفُ تنقُّلٍ فعّالة؛ والأخرى إمّا مدموجةٌ أو مُلغاةٌ من `modules`.</t>
  </si>
  <si>
    <t xml:space="preserve">Portal/workspace.php موديولٌ قائمٌ (191) ممنوحُ can_view لثلاثةٍ وعشرين دورًا وله صفرُ صفٍّ في nav_items، بينما main/my_workspace.php (موديول 228) يحمل الغرضَ نفسَه — شاشتان لغرضٍ واحد وإحداهما بلا منفذ.</t>
  </si>
  <si>
    <t xml:space="preserve">INJ-0586</t>
  </si>
  <si>
    <t xml:space="preserve">٤-١ الشرطُ ١١ · الحالةُ البصريةُ الراهنةُ مقيسة · §٥-١ البواباتُ الخمس</t>
  </si>
  <si>
    <t xml:space="preserve">الفصلُ ٢٦ يحمل **١٢٦ حكمًا ذريًّا** من WFM-01 وقواميسَ كاملةً في WFM-MAP-01 — ولكلِّ حكمٍ شاهدٌ في مصفوفةِ التتبع.</t>
  </si>
  <si>
    <t xml:space="preserve">المستودعُ يُظهر 126 رمزَ WFM متمايزًا، منها 100 في سطور الشواهد بالملفات — فالتغطيةُ تُقاس بمسحٍ نصيٍّ بسيط، والناقصُ 26 رمزًا. — [مُصحَّح بعد التحقق] الصياغة الأولى: الوثيقةُ لا تسمّي لهذه الشاشاتِ الخمسِ أيَّ ملفٍّ ولا عمودٍ ولا فعل (جدولُ الشاشاتِ يعرض `—` و`0` و`0` لكلٍّ منها)، والمستودعُ يحوي شواهدَ متطلباتٍ جزئيةً فقط: `Portal/my_tasks.php:2` يستشهد بـ`WFM-00</t>
  </si>
  <si>
    <t xml:space="preserve">أكبرُ محرّكٍ عرضيٍّ في النظام (١٢٦ حكمًا) بلا مصفوفةِ تتبعٍ قابلةٍ للفحص: لا يمكن إعلانُ اكتمالِه ولا رسوبِه — وهو بالضبط ما يمنعه شرطُ «لا يُعلَن ‹جاهزٌ للتشغيل المؤسسي› قبل دليلٍ لكل محور».</t>
  </si>
  <si>
    <t xml:space="preserve">أحكامُ WFM-01 موضعُها ملفُّ التتبعِ الورقةُ ٠٣ بترشيح «الفصلُ ٢٣»، ولم تُنشر مقابلةً بين الحكمِ والملفِّ والسطر.</t>
  </si>
  <si>
    <t xml:space="preserve">Portal/my_tasks.php:2; app/Services/Work/AchievementService.php:2; app/Services/Work/WorkItemService.php:1; main/my_workspace.php:1; Portal/approvals_inbox.php:2</t>
  </si>
  <si>
    <t xml:space="preserve">١) افتح الفصلَ ٢٦ في قاموسِ FRD: جدولُ الشاشاتِ الخمسِ بلا ملفاتٍ ولا أعمدةٍ ولا أفعال.
٢) ابحث في المستودعِ عن شواهدِ `WFM-0..`: تظهر في ملفّين فقط وتغطي ١٩ رمزًا من ١٢٦.</t>
  </si>
  <si>
    <t xml:space="preserve">أصدِر ورقةَ تتبعٍ لـWFM-01 تربط كلَّ حكمٍ من ١٢٦ بملفٍّ وسطرٍ واختبارٍ في `tests/`، وأضِف سطرَ «شواهد المتطلبات» في رأسِ كلٍّ من الملفاتِ الخمسة، وأدخِلها في بوابةِ القبولِ كما فُعل بـM-10 وM-14.</t>
  </si>
  <si>
    <t xml:space="preserve">بوابةٌ آليةٌ (`tools/wfm_ac_gate.php`) تُبلّغ تغطيةَ ١٢٦/١٢٦ حكمًا بشواهدَ حقيقيةٍ ملفًّا وسطرًا، وترسب إن نقص واحد.</t>
  </si>
  <si>
    <t xml:space="preserve">لا ورقةَ تتبعٍ لـWFM-01 ولا بوابةَ قبولٍ خاصة، لكنّ «لا سبيلَ للقياس» مبالغة: سطورُ «شواهد المتطلبات» في 36 ملفًّا تغطي 100 رمزًا من 126، وtools/wfm_checks.php حزامُ إنفاذٍ قائم.</t>
  </si>
  <si>
    <t xml:space="preserve">INJ-0587</t>
  </si>
  <si>
    <t xml:space="preserve">SEC-025 · الصلاحياتُ والنطاق — «الدورُ لا يُكتب في الكود»</t>
  </si>
  <si>
    <t xml:space="preserve">الصلاحيةُ ومصفوفةُ الاعتمادِ تُقرآنِ من مصدرِهما الحاكم لا تُكتبان أرقامًا في الشاشة.</t>
  </si>
  <si>
    <t xml:space="preserve">خريطةُ «الحالة → الأدوارُ صاحبةُ القرار» مكتوبةٌ أرقامًا صلبةً في **موضعين متكررين**: `Portal/approvals_inbox.php:41-47` و`main/my_workspace.php:35-37` — ونسختانِ متطابقتانِ يدويًّا لخمسِ حالاتٍ وتسعةِ أدوار.</t>
  </si>
  <si>
    <t xml:space="preserve">أيُّ تغييرٍ في مصفوفةِ الاعتمادِ يتطلب تعديلَ كودٍ في موضعين؛ وإن اختلفا (وهما يختلفان حاليًّا في شرطِ الاستبعاد) اختلف العدَّادُ في «مساحة عملي» عن محتوى الصندوق — فيرى الموظفُ شارةً برقمٍ لا يجد ما يقابله.</t>
  </si>
  <si>
    <t xml:space="preserve">نسخُ منطقِ الأدوارِ بدل قراءتِه من `role_permissions` أو من جدولِ مراحلِ السلسلة.</t>
  </si>
  <si>
    <t xml:space="preserve">Portal/approvals_inbox.php:41-47; main/my_workspace.php:35-37</t>
  </si>
  <si>
    <t xml:space="preserve">١) قارِن `Portal/approvals_inbox.php:41-47` بـ`main/my_workspace.php:35-37`: الخريطةُ نفسُها منسوخة.
٢) قارِن شرطَ الاستبعاد: الأولُ يستعمل `ems_uc_prechain_sql('ue')` والثاني `NOT (ue.state='converted' AND ue.converted_at IS NULL)` — منطقانِ مختلفان.
٣) النتيجةُ رقمانِ مختلفانِ للعنصرِ نفسِه.</t>
  </si>
  <si>
    <t xml:space="preserve">انقل الخريطةَ إلى دالةٍ واحدةٍ في `includes/unit_chain_helpers.php` (مثلًا `ems_uc_stage_roles()`) تقرأ من جدولِ مراحلِ السلسلةِ، ونادِها من الملفّين؛ واستعمِل `ems_uc_prechain_sql()` نفسَها في الاثنين.</t>
  </si>
  <si>
    <t xml:space="preserve">الرقمُ على بلاطةِ «موافقاتي» في `main/my_workspace.php` = عددُ الصفوفِ في `Portal/approvals_inbox.php` بالضبط، لكلِّ دورٍ من الأدوارِ التسعة.</t>
  </si>
  <si>
    <t xml:space="preserve">تحقّقت حرفيًّا: `$stageRoles` نسختان يدويتان متطابقتان في Portal/approvals_inbox.php:41-47 وmain/my_workspace.php:35-37. خفّضتُ الخطورة: عيبُ صيانةٍ وتناسقٍ لا فقدُ حارس.</t>
  </si>
  <si>
    <t xml:space="preserve">INJ-0588</t>
  </si>
  <si>
    <t xml:space="preserve">١٠-٣ الحكمُ · فجوةُ قرار (DEC) — «لا تُخترع دورةٌ ولا شاشةٌ ولا حكمٌ قبل القرارِ»</t>
  </si>
  <si>
    <t xml:space="preserve">المراجع الداخلي المستقل (وحدة تنظيمية)</t>
  </si>
  <si>
    <t xml:space="preserve">M-14 يعرّف الاستقلالَ وظيفيًّا لا اسميًّا: `GOV-0370-أ` «وظيفتان رقابيتان مستقلتان ترتبطان بالرئيس التنفيذيِّ مباشرةً»، `GOV-0371-ب` «ولا يتحول التنسيقُ إلى خطِّ تقريرٍ يمرُّ عبره ما يخصُّ الرقابة»، `FIN-024-د` «وصلاحية المراجع حصرًا ولا كتابة»، `IAM-018-ج` «يراه … والمدقّق … ولا يُعدَّل ولا يُحذف».</t>
  </si>
  <si>
    <t xml:space="preserve">لفظُ «المراجع الداخلي المستقل» **لا يَرِد وحدةً تنظيميةً في أيٍّ من الوثائقِ الستّ**: M-14 يقرُّ ذلك صراحةً في ملاحظةِ التدقيق، و FRD يسجّلها «◆ غيرُ مغطّاةٍ — لا فصلَ لها ولا دورةَ ولا شاشاتٍ ولا أحكامَ». ومع ذلك بُني في النظامِ دورٌ كاملٌ (roles.id = 33 «المراجع الداخلي المستقل») و**ستَّ عشرةَ شاشةً** في `Audit/` وخدمةٌ `InternalAuditService` وأحدَ عشرَ جدولَ `iaf_*` — كلُّها مستندةٌ إلى وثيقةٍ `IAF-01` خارجَ الوثائقِ الستِّ الحاكمة.</t>
  </si>
  <si>
    <t xml:space="preserve">وحدةٌ رقابيةٌ كاملةٌ تعمل بلا سندٍ في الوثائقِ الحاكمة: لا تتبعُ ولا اختصاصُ ولا حدودُ سلطةٍ معتمدة — فلا يمكن مراجعةُ ما تفعله ولا محاسبتُها، وهي في الوقتِ نفسِه الجهةُ التي تراجع الجميع. وهذا اختراعُ دورةٍ وشاشاتٍ قبل القرار.</t>
  </si>
  <si>
    <t xml:space="preserve">بُنيت الوحدةُ من وثيقةٍ مصدرٍ (IAF-01) لم تُدرَج في حزمةِ الوثائقِ الستِّ ولم يصدر بها قرارُ مالكٍ يُلحقها بالهيكل.</t>
  </si>
  <si>
    <t xml:space="preserve">database/schema/seed_reference.sql:51; Audit/iaf_charter.php:10; :11; app/Services/Audit/InternalAuditService.php:3; :27; :30; database/migrations/2026_12_25_u13_internal_audit.sql:1</t>
  </si>
  <si>
    <t xml:space="preserve">١) ابحث عن «المراجع الداخلي المستقل» في `/tmp/dict/*_readable.md`: يَرِد بوصفِه فجوةً لا وحدة.
٢) استعلم `SELECT * FROM roles WHERE id = 33` → الدورُ موجودٌ بالاسمِ نفسِه.
٣) `ls /tmp/ems/Audit/` → ست عشرة شاشة.</t>
  </si>
  <si>
    <t xml:space="preserve">أصدِر قرارَ مالكٍ موثَّقًا (بنمطِ DEC-H/DEC-I) يُلحق «المراجعَ الداخليَّ المستقل» بالهيكلِ ويحدد: تبعيتَه (الرئيسُ التنفيذيُّ مباشرةً بحكمِ GOV-0370-أ)، واختصاصَه، وحدودَه («قراءةٌ حصرًا على السجلاتِ الأصلية»)، وشاشاتِه الستَّ عشرةَ وأفعالَها؛ ثم أدرِج IAF-01 في حزمةِ الوثائقِ وارفع أحكامَه إلى مصفوفةِ التتبع. وإلى حين ذلك عطِّل الدورَ 33 من `roles`.</t>
  </si>
  <si>
    <t xml:space="preserve">يوجد قرارٌ موثَّقٌ برقمٍ وتاريخٍ وموقِّعٍ يُنشئ الوحدةَ ويحدد تبعيتَها وحدودَها، ومصفوفةُ التتبعِ تحمل أحكامَ IAF-01 مرقَّمةً — أو الدورُ 33 وشاشاتُه معطَّلةٌ حتى صدورِه.</t>
  </si>
  <si>
    <t xml:space="preserve">الوثيقةُ FRD تسجّلها صراحةً «◆ غيرُ مغطّاةٍ — لا فصلَ لها ولا دورةَ ولا شاشاتٍ ولا أحكام» (frd_readable.md:1930-1943) وM-14 يقرّ غيابَ المسمّى (m14_readable.md:1006)؛ والمبنيُّ فعلًا: roles.id=33 و16 شاشةً في Audit/ و11 جدولَ iaf_ وخدمةٌ وهجرةٌ مستندةً إلى IAF-01. تجاوزُ نطاقٍ موثَّقٌ لا عطلٌ وظيفيّ.</t>
  </si>
  <si>
    <t xml:space="preserve">INJ-0589</t>
  </si>
  <si>
    <t xml:space="preserve">GOV-0371-ب · «ولا يتحول التنسيقُ إلى خطِّ تقريرٍ يمرُّ عبره ما يخصُّ الرقابة»</t>
  </si>
  <si>
    <t xml:space="preserve">تقييم جودة المراجعة الدوري</t>
  </si>
  <si>
    <t xml:space="preserve">http://localhost/ems/Audit/iaf_quality.php</t>
  </si>
  <si>
    <t xml:space="preserve">اختبارُ خطٍّ: «خطُّ التقريرِ في الهيكلِ يصل الرئيسَ مباشرةً» — والوظيفةُ الرقابيةُ **مراقَبةٌ أيضًا** من جهةٍ غيرِ نفسِها.</t>
  </si>
  <si>
    <t xml:space="preserve">الرئيسُ التنفيذي (الدور 9) ممنوحٌ can_view على الموديولات الستةَ عشرَ 377-392 كلِّها؛ الباقي أنَّ الدور 33 يُدخل تقييمَ جودةِ مراجعتِه بنفسه (can_add/can_edit على 392). — [مُصحَّح بعد التحقق] الصياغة الأولى: شاشةُ «تقييم جودة المراجعة الدوري» مملوكةٌ للدور 33 نفسِه (`modules.owner_role_id = 33`، `database/schema/seed_reference.sql:440`) ومُمنَحةٌ له `can_add=1, can_edit=1` (`:2411`) على جدولِ `iaf_quality</t>
  </si>
  <si>
    <t xml:space="preserve">حلقةٌ مغلقة: المراجعُ يراجع الجميعَ ويقيّم نفسَه، والرئيسُ التنفيذيُّ — وهو خطُّ تقريرِه بحكم GOV-0370-أ — لا يملك حتى `can_view` على شاشاتِ المراجعة. فلا خطَّ تقريرٍ فعليٌّ في النظام، ولا رقابةَ على الرقابة.</t>
  </si>
  <si>
    <t xml:space="preserve">مُنحت شاشاتُ الوحدةِ لدورها المالكِ وحدَه بلا منحةِ قراءةٍ لخطِّ التقريرِ المنصوصِ عليه.</t>
  </si>
  <si>
    <t xml:space="preserve">database/schema/seed_reference.sql:440; :2411; role_permissions (2255,9,377,1,0,0,0) … (2300,9,392,1,0,0,0)</t>
  </si>
  <si>
    <t xml:space="preserve">١) استعلم `SELECT DISTINCT role_id FROM role_permissions p JOIN modules m ON m.id=p.module_id WHERE m.code LIKE 'Audit/%'` → الدور 33 فقط.
٢) ادخل بحساب الرئيس (دور 9) وحاوِل فتحَ `Audit/iaf_findings.php`: يُحجب.
٣) بحساب دور 33 افتح `Audit/iaf_quality.php`: كتابةٌ متاحة.</t>
  </si>
  <si>
    <t xml:space="preserve">① امنح الدورَ 9 (والجهةَ المشرفةَ إن وُجدت) `can_view=1` على المودولات 377-392 بهجرة. ② انزِع `can_add/can_edit` من الدور 33 على المودول 392 واجعل مُدخِلَ تقييمِ الجودةِ جهةً خارجيةً أو الرئيسَ، مع نداءِ `assertReadOnly` قبل الكتابة.</t>
  </si>
  <si>
    <t xml:space="preserve">إدارة الحوكمة والالتزام + فريق الباك-إند — وحدة المراجعة الداخلية (IAF-01)</t>
  </si>
  <si>
    <t xml:space="preserve">بحساب الرئيس تُفتح شاشاتُ المراجعةِ الستَّ عشرةَ للقراءة؛ وبحساب المراجعِ يُرفض إدخالُ تقييمِ جودةِ مراجعتِه برمزٍ وسبب.</t>
  </si>
  <si>
    <t xml:space="preserve">الشقُّ الثاني قائم (الدور 33 يملك can_add/can_edit على موديول تقييم جودة مراجعته)، لكنَّ الشقَّ الأول مكذوب: الدورُ 9 يملك can_view=1 على الموديولات 377-392 كلِّها فالرقابةُ الخارجيةُ للقراءة قائمةٌ سلفًا.</t>
  </si>
  <si>
    <t xml:space="preserve">INJ-0590</t>
  </si>
  <si>
    <t xml:space="preserve">§٤-٥ · «لا شاشتان لغرضٍ واحد» · §٦-٢ المناظر</t>
  </si>
  <si>
    <t xml:space="preserve">ردود الإدارات / خطط المعالجة / محاضر الإغلاق / المصعَّد إلى الجهة المشرفة</t>
  </si>
  <si>
    <t xml:space="preserve">http://localhost/ems/Audit/iaf_responses.php</t>
  </si>
  <si>
    <t xml:space="preserve">المنظرُ (CM-09) ترشيحٌ داخلَ شاشةٍ واحدة لا شاشةٌ مستقلةٌ لكلِّ حالة — والشاشةُ المستقلةُ تُنشأ لغرضٍ متمايزٍ لا لقيمةِ عمود.</t>
  </si>
  <si>
    <t xml:space="preserve">خمسُ شاشاتٍ من الستَّ عشرةَ تُصيَّر فوق الجدولِ نفسِه `iaf_findings` ولا تختلف إلا في شرطِ `where`: `iaf_findings` (بلا شرط)، `iaf_responses` (`state IN ('responded','in_remediation','evidence_submitted')`)، `iaf_action_plans` (`action_plan IS NOT NULL AND state &lt;&gt; 'closed'`)، `iaf_closure` (`state = 'closed'`)، `iaf_escalations` (`state = 'escalated'`).</t>
  </si>
  <si>
    <t xml:space="preserve">أربعُ شاشاتٍ زائدةٌ في القائمةِ وفي عدَّ الشاشاتِ الحاكمة، وأربعةُ صفوفِ صلاحياتٍ ونقاطِ صيانةٍ لغرضٍ واحد — والمستخدمُ يتنقل بين خمسِ قوائمَ بدل منتقي منظرٍ واحد.</t>
  </si>
  <si>
    <t xml:space="preserve">وُلِّدت الشاشاتُ من بندِ الوثيقةِ (IAF §٤-٣) بندًا بندًا بدل ترجمتِها إلى مناظرَ داخلَ شاشةٍ واحدة.</t>
  </si>
  <si>
    <t xml:space="preserve">Audit/iaf_responses.php:30; Audit/iaf_action_plans.php:30; Audit/iaf_closure.php:30; Audit/iaf_escalations.php:30</t>
  </si>
  <si>
    <t xml:space="preserve">١) افحص قيمةَ `'table'` في الملفاتِ الخمسة: `iaf_findings` في جميعها.
٢) افحص `'where'`: الفارقُ الوحيد.
٣) افتح الشاشاتِ الخمس: الأعمدةُ نفسُها والبياناتُ متداخلة.</t>
  </si>
  <si>
    <t xml:space="preserve">ادمِج الأربعَ في `Audit/iaf_findings.php` بمنتقي منظرٍ CM-09 بأربعةِ مناظرَ (مفتوحة · قيد الرد · قيد المعالجة · مغلقة · مصعَّدة) عبر `$_GET['view']`، وألغِ المودولاتِ 384-387 وصفوفَ تنقُّلها — أو أبقِها روابطَ منظرٍ (`iaf_findings.php?view=closed`) لا شاشاتٍ مستقلة.</t>
  </si>
  <si>
    <t xml:space="preserve">عددُ ملفاتِ الشاشاتِ في `Audit/` التي تُصيَّر فوق `iaf_findings` = واحد؛ والمناظرُ الخمسةُ متاحةٌ من منتقي المنظرِ داخلَه.</t>
  </si>
  <si>
    <t xml:space="preserve">خمسُ شاشاتٍ تُصيَّر فوق iaf_findings ولا تختلف إلا بشرط where في السطر 30 من كلٍّ منها — مخالفةُ نمط المنظر CM-09 بلا أثرٍ على البيانات.</t>
  </si>
  <si>
    <t xml:space="preserve">INJ-0591</t>
  </si>
  <si>
    <t xml:space="preserve">§٤-٥ القاعدة ١٠ · «القائمةُ تُولَّد من مصفوفة العرضِ في NAV-09»</t>
  </si>
  <si>
    <t xml:space="preserve">مجموعة «خارج الوثيقة — بانتظار قرار المالك» (٨ روابط)</t>
  </si>
  <si>
    <t xml:space="preserve">ترتيبُ السايدبار بالمرحلة المستندية، ولكل شاشةٍ مرحلةٌ ومالكٌ — ولا مجموعةَ خارج الدورة</t>
  </si>
  <si>
    <t xml:space="preserve">ثمانيةُ روابطَ (٢٨٪ من روابط الدور) في مجموعةٍ عنوانُها «خارج الوثيقة — بانتظار قرار المالك»: الاستلامُ المؤقت · صرفُ المخزون والعهدة · حدودُ إعادة الطلب · موردو المشتريات · البياناتُ المرجعية · سجلُّ الأحداث المالية · طلباتُ عروض الموردين · مساحةُ مخاطر الإدارة — وأربعةٌ منها مملوكةٌ لإدارة المخازن وواحدٌ للمالية وواحدٌ للموردين</t>
  </si>
  <si>
    <t xml:space="preserve">P4</t>
  </si>
  <si>
    <t xml:space="preserve">ربعُ سايدبار المشتريات معروضٌ للمستخدم تحت عنوانٍ يقول إنه خارجُ الوثيقة — عرضٌ لحالةِ عيبٍ داخليٍّ في واجهة المستخدم النهائي، وهو مانعٌ للعرض الخارجي</t>
  </si>
  <si>
    <t xml:space="preserve">استُعملت مجموعةُ التصريف (stage_no=99) وعاءً لكل ما لم يُصنَّف عند توليد NAV-09 وبقي عنوانُها الداخليُّ ظاهرًا للمستخدم</t>
  </si>
  <si>
    <t xml:space="preserve">database/schema/seed_reference.sql:2878; database/schema/seed_reference.sql:3020; Procurement/master_data_proc.php:14; Procurement/suppliers_proc.php:27</t>
  </si>
  <si>
    <t xml:space="preserve">١) ادخل بدور المشتريات.
٢) انزل إلى آخر السايدبار: مجموعةٌ عنوانُها «خارج الوثيقة — بانتظار قرار المالك» بثمانية روابط.</t>
  </si>
  <si>
    <t xml:space="preserve">صنِّف الروابطَ الثمانيةَ إلى مراحلها أو إلى منطقة «السجلات والمراجع»، وانقل ما تملكه المخازنُ إلى سايدبار المخازن، وأخفِ مجموعةَ stage_no=99 من الإنتاج واجعلها تقريرًا داخليًّا في أداة الفحص لا عنصرًا في الواجهة</t>
  </si>
  <si>
    <t xml:space="preserve">لا تظهر أيُّ مجموعةٍ بعنوانٍ يذكر «خارج الوثيقة» لأيِّ دور، وكلُّ رابطٍ في سايدبار المشتريات منسوبٌ إلى مرحلةٍ أو إلى منطقةٍ من الخمس.</t>
  </si>
  <si>
    <t xml:space="preserve">حسبتُ سايدبار الدور 16: ثمانيةُ روابطَ في مجموعة stage_no=99 «خارج الوثيقة — بانتظار قرار المالك» بالأسماء المذكورة حرفيًّا من 27 رابطًا. لكنها مجموعةٌ معلَنةٌ بذاتها بانتظار قرار المالك — شفافيةٌ منظَّمةٌ لا عيبٌ حاجب، فخُفّضت إلى P4.</t>
  </si>
  <si>
    <t xml:space="preserve">INJ-0592</t>
  </si>
  <si>
    <t xml:space="preserve">§٧ معاييرُ القبولِ البصري · حالاتُ الشاشة ٤-١</t>
  </si>
  <si>
    <t xml:space="preserve">الحالةُ الفارغةُ تغطي عرضَ الجدولِ وتشرح السببَ وتقترح الفعل</t>
  </si>
  <si>
    <t xml:space="preserve">عددُ الرؤوس 25 لا 33. — [مُصحَّح بعد التحقق] الصياغة الأولى: صفُّ الحالة الفارغة يستعمل colspan="7" في جدولٍ رؤوسُه ٣٣ عمودًا، فينكسر عرضُ الصف؛ ونصُّه سطرٌ رماديٌّ واحدٌ «لا عروضَ مقدَّمةً لهذا الطلب» بلا فعلٍ مقترحٍ (مثل «ادعُ موردين» أو «افتح طلب العروض»)</t>
  </si>
  <si>
    <t xml:space="preserve">حالةٌ فارغةٌ مكسورةُ العرضِ وبلا مخرَجٍ للمستخدم — أحدُ معايير القبول البصري الستةَ عشرَ لا يجتاز</t>
  </si>
  <si>
    <t xml:space="preserve">لم يُحدَّث colspan بعد حقن أعمدة CMP-03</t>
  </si>
  <si>
    <t xml:space="preserve">Procurement/rfq_compare_award.php:120; :90-117</t>
  </si>
  <si>
    <t xml:space="preserve">١) اختر طلبَ عروضٍ بلا عروضٍ مقدَّمة.
٢) لاحِظ صفَّ الحالة الفارغة يغطي ٧ أعمدةٍ من ٣٣ فتظهر خلايا فارغةٌ إلى جانبه.</t>
  </si>
  <si>
    <t xml:space="preserve">اضبط colspan على العدد الفعلي للأعمدة (أو احسبه ديناميكيًّا)، وأضِف نصًّا يشرح السببَ وزرَّ فعلٍ مقترحًا وفق نمط الحالة الفارغة في UXR</t>
  </si>
  <si>
    <t xml:space="preserve">صفُّ الحالة الفارغة يغطي عرضَ الجدول كاملًا ويعرض سببًا وفعلًا مقترحًا.</t>
  </si>
  <si>
    <t xml:space="preserve">صفُّ الحالة الفارغة يستعمل colspan="7" (سطر 120) في جدولٍ رؤوسُه خمسةٌ وعشرون &lt;th&gt; (سبعةٌ ظاهرةٌ + أعمدةُ الحوكمة والوظيفة المحقونة)، ونصُّه سطرٌ واحدٌ بلا سببٍ ولا فعلٍ مقترح.</t>
  </si>
  <si>
    <t xml:space="preserve">INJ-0593</t>
  </si>
  <si>
    <t xml:space="preserve">§٥-١٠ العربيةُ والاتجاهُ من اليمين · خلطُ اللغتين</t>
  </si>
  <si>
    <t xml:space="preserve">كتالوج الأصناف والقطع الحرجة · حدود إعادة الطلب</t>
  </si>
  <si>
    <t xml:space="preserve">«العربيةُ وRTL أصلُ التصميمِ لا معالجةً لاحقة» — ولا نصَّ لاتينيًّا في رؤوس الجداول الموجَّهة للمستخدم</t>
  </si>
  <si>
    <t xml:space="preserve">رؤوسُ أعمدةٍ لاتينيةٌ في شاشتين من المشتريات: «Min»/«Max» في كتالوج الأصناف، و«Min»/«Max»/«ROP» في حدود إعادة الطلب — بلا مقابلٍ عربيٍّ ولا تلميح</t>
  </si>
  <si>
    <t xml:space="preserve">مستخدمٌ عربيٌّ ميدانيٌّ لا يفهم معنى ROP ولا Min/Max، فيُخطئ في ضبط حدود إعادة الطلب — وهي مدخلاتُ التوليد الآليِّ لطلبات الشراء</t>
  </si>
  <si>
    <t xml:space="preserve">رؤوسٌ تقنيةٌ نُقلت من نموذج البيانات إلى الواجهة بلا ترجمة</t>
  </si>
  <si>
    <t xml:space="preserve">Procurement/items_proc.php:244; Procurement/reordering_proc.php:230-231</t>
  </si>
  <si>
    <t xml:space="preserve">١) افتح «كتالوج الأصناف والقطع الحرجة» وانظر رؤوس الأعمدة: Min و Max.
٢) افتح «حدود إعادة الطلب»: Min و Max و ROP.</t>
  </si>
  <si>
    <t xml:space="preserve">بدِّل الرؤوسَ في Procurement/items_proc.php:244 و Procurement/reordering_proc.php:229-230 إلى «الحد الأدنى» و«الحد الأقصى» و«نقطة إعادة الطلب» مع تلميحٍ يشرح الحساب</t>
  </si>
  <si>
    <t xml:space="preserve">مسحُ رؤوس الجداول في Procurement/ يعيد صفرَ رأسٍ لاتينيٍّ غيرِ مصحوبٍ بمقابلٍ عربي.</t>
  </si>
  <si>
    <t xml:space="preserve">الرؤوسُ اللاتينيةُ قائمةٌ حرفيًّا: «Min»/«Max» في كتالوج الأصناف و«Min»/«Max»/«ROP» في حدود إعادة الطلب بلا مقابلٍ عربيٍّ ولا تلميح.</t>
  </si>
  <si>
    <t xml:space="preserve">INJ-0594</t>
  </si>
  <si>
    <t xml:space="preserve">▐ ٤ من يرى ماذا · عزلُ الكيان</t>
  </si>
  <si>
    <t xml:space="preserve">كلُّ قراءةٍ وكتابةٍ مقيَّدةٌ بالكيان المالك — ولا يقرأ كيانٌ صفوفَ كيانٍ آخر</t>
  </si>
  <si>
    <t xml:space="preserve">استعلامُ فحص التكرار على rfq_awards في السطر ٢٨ يقيّد بـrfq_id و line_id فقط بلا company_id، بينما بقيةُ استعلامات الشاشة تقيّد بـcompany_id — فقراءةُ الفحص تعبر حدودَ الكيانات</t>
  </si>
  <si>
    <t xml:space="preserve">ترسيةٌ مشروعةٌ في كيانٍ قد تُرفض ٤٠٩ بسبب ترسيةٍ في كيانٍ آخر، ويُستدل من رسالة الرفض على وجود بياناتٍ في كيانٍ لا يملكه المستخدم</t>
  </si>
  <si>
    <t xml:space="preserve">سهوٌ في شرطِ العزل داخل استعلام الفحص وحدَه</t>
  </si>
  <si>
    <t xml:space="preserve">Procurement/rfq_compare_award.php:28; Procurement/rfq_compare_award.php:26; Procurement/rfq_compare_award.php:56</t>
  </si>
  <si>
    <t xml:space="preserve">١) أنشئ ترسيةً للبند X في الكيان A.
٢) حاوِل ترسيةَ البند X نفسِه في الكيان B (إن تشارك المعرّف).
٣) تُرفض برسالة «البندُ مُرسًى من قبل».</t>
  </si>
  <si>
    <t xml:space="preserve">أضِف AND company_id = $company_id إلى استعلام الفحص في Procurement/rfq_compare_award.php:28، أو مرِّر الاستعلامَ عبر بوابة الكيان proc_gate()-&gt;selectOne</t>
  </si>
  <si>
    <t xml:space="preserve">ترسيةُ بندٍ في كيانٍ لا تتأثر بترسياتِ كياناتٍ أخرى، وفحصُ العزل الآليُّ يعيد صفرَ استعلامٍ بلا شرط كيان في الملف.</t>
  </si>
  <si>
    <t xml:space="preserve">الاستعلامُ في السطر 28 بلا company_id فعلًا، لكن rfq_id وline_id مشتقّان من صفٍّ مقيَّدٍ بالشركة في السطر 25-26 فلا يعبر الفحصُ حدودَ الكيان عمليًّا — الملاحظةُ صحيحةٌ شكلًا بلا أثرٍ مثبت.</t>
  </si>
  <si>
    <t xml:space="preserve">INJ-0595</t>
  </si>
  <si>
    <t xml:space="preserve">مجموعة «خارج الوثيقة — بانتظار قرار المالك» (٦ روابط)</t>
  </si>
  <si>
    <t xml:space="preserve">ستةُ روابطَ في مجموعةٍ عنوانُها «خارج الوثيقة — بانتظار قرار المالك»: الورديات (movement/movement_operations.php) · فريق الإدارة والتكليفات · سجل الأحداث المالية · نطاقات العقد التشغيلية · مخاطرُ الميدان · مساحة مخاطر الإدارة — وفيها شاشةُ الورديات التي تكتب في جداول operations و equipments بلا أن تُنسب إلى مرحلة</t>
  </si>
  <si>
    <t xml:space="preserve">عنوانُ عيبٍ داخليٍّ معروضٌ في واجهة المستخدم النهائي (مانعٌ للعرض الخارجي)، وشاشةٌ كاتبةٌ في جداولِ إدارتين أخريين معروضةٌ بلا مرحلةٍ ولا مالكٍ معلَن</t>
  </si>
  <si>
    <t xml:space="preserve">استُعملت مجموعةُ التصريف (stage_no=99) وعاءً لكل ما لم يُصنَّف عند توليد NAV-09 وبقي عنوانُها ظاهرًا</t>
  </si>
  <si>
    <t xml:space="preserve">database/schema/seed_reference.sql:2870; movement/movement_operations.php:31; movement/movement_operations.php:339; Risk/risk_field.php:1</t>
  </si>
  <si>
    <t xml:space="preserve">١) ادخل بدور إدارة الموقع.
٢) انزل لآخر السايدبار: مجموعةٌ بعنوان «خارج الوثيقة — بانتظار قرار المالك» بستة روابط.</t>
  </si>
  <si>
    <t xml:space="preserve">صنِّف الروابطَ الستةَ إلى مراحلها أو إلى منطقة «السجلات والمراجع»، وأخفِ مجموعةَ stage_no=99 من الإنتاج واجعلها تقريرًا في أداة الفحص لا عنصرًا في الواجهة</t>
  </si>
  <si>
    <t xml:space="preserve">لا تظهر أيُّ مجموعةٍ بعنوانٍ يذكر «خارج الوثيقة» لأيِّ دور، وكلُّ رابطٍ منسوبٌ إلى مرحلةٍ أو إلى منطقةٍ من الخمس.</t>
  </si>
  <si>
    <t xml:space="preserve">سايدبار الدور 6 المحسوب يعرض ستةَ روابطَ في stage_no=99 بالأسماء المذكورة حرفيًّا، ومنها movement/movement_operations.php التي تكتب في operations (السطر 338). لكن المجموعةَ معلَنةٌ «بانتظار قرار المالك» فالأثرُ تنظيميٌّ لا حاجب.</t>
  </si>
  <si>
    <t xml:space="preserve">أول عشرين إصلاحًا — بترتيب الأثر على الإغلاق</t>
  </si>
  <si>
    <t xml:space="preserve">#</t>
  </si>
  <si>
    <t xml:space="preserve">الشاشة/الطبقة</t>
  </si>
  <si>
    <t xml:space="preserve">الخلل</t>
  </si>
  <si>
    <t xml:space="preserve">الإصلاح المطلوب</t>
  </si>
  <si>
    <t xml:space="preserve">الدليل</t>
  </si>
  <si>
    <t xml:space="preserve">المالك</t>
  </si>
  <si>
    <t xml:space="preserve">الحارسُ المركزيُّ مفتوحٌ افتراضًا: `_default_full_permissions()` تُرجع `can_view/can_add/can_edit/can_delete = true` لأيِّ شاشةٍ غيرِ مسجَّلةٍ في `modules` (`includes/permissions_helper.php:810-818`)، وتُستدعى مرتين: عند فشلِ تجهيزِ الاستعلام (`:897-899`) وعند عدمِ العثورِ على الشاشة (`:909-911`). والنمطُ نفسُه في `get_current_page_permissions` (`:621-629`). والتعليقُ يقرُّ بذلك: «إذا لم توجد الصف</t>
  </si>
  <si>
    <t xml:space="preserve">Procurement/rfq_compare_award.php:11; Procurement/rfq_compare_award.php:20; Procurement/rfq_compare_award.php:33; Procurement/rfq_compare_award.php:38; Procurement/rfq_compare_awar</t>
  </si>
  <si>
    <t xml:space="preserve">Procurement/wh_count.php:10; Procurement/wh_count.php:19; Procurement/wh_count.php:22; Procurement/wh_count.php:24; Procurement/wh_count.php:29; Procurement/wh_count.php:116; Procu</t>
  </si>
  <si>
    <t xml:space="preserve">get_current_page_permissions() تُرجع can_view/add/edit/delete = true حين لا تُحَلّ الشاشةُ إلى موديول (id = null)، و_default_full_permissions() تفعل الشيءَ نفسه، وenforce_current_page_view_permission() لا تحجب إلا حين id !== null. الصمّامُ المضادّ ems_failclosed_screen_guard مقودٌ بـEMS_FAILCLOSED_ENFORCE_PREFIXES وهو فارغٌ افتراضيًّا. النتيجة: أيُّ شاشةٍ غيرِ مسجَّلةٍ في modules مفتوحةٌ لكل مستخد</t>
  </si>
  <si>
    <t xml:space="preserve">فرعُ الفشلِ المفتوح حيٌّ لا نظري: لا مسارَ في excel.php يحمّل permissions_helper.php، ولا يلتقطه حارسُ AJAX المركزي (اسمُ السكربت ليس get_*/‏*_handler)، فالتصديرُ محكومٌ بعزل الشركة وحدَه دون أيِّ راية دور. — [مُصحَّح بعد التحقق] الصياغة الأولى: excel.php يفحص وجودَ الجلسة فقط، وExcelService::authorize يفحص can_view (صلاحيةَ عرضٍ لا تصدير). والأسوأ: `if (!function_exists('check_page_permissions'))</t>
  </si>
  <si>
    <t xml:space="preserve">Transport/transfer_close_cost.php:11; Transport/transfer_close_cost.php:19; Transport/transfer_close_cost.php:25; Transport/transfer_close_cost.php:34; Transport/transfer_close_cos</t>
  </si>
  <si>
    <t xml:space="preserve">Financing/fin_models.php:28; Financing/fin_models.php:80; Financing/fin_models.php:87; includes/cmp03_registry.php:252; includes/cmp03_registry.php:254; Financing/financing_operati</t>
  </si>
  <si>
    <t xml:space="preserve">Procurement/wh_transfer.php:10; Procurement/wh_transfer.php:18; Procurement/wh_transfer.php:34; Procurement/wh_transfer.php:36; Procurement/wh_transfer.php:60; insidebar.php:14; da</t>
  </si>
  <si>
    <t xml:space="preserve">من الشاشاتِ الستَّ عشرةَ في `Audit/` **شاشةٌ واحدةٌ فقط** تحمل كتلةَ `actions` هي `Audit/iaf_findings.php:32-55` (قبولُ دليلٍ وإغلاقُ ملاحظة). أمّا `iaf_charter` و`iaf_universe` و`iaf_plan` و`iaf_engagements` و`iaf_workpapers` و`iaf_independence` وسائرُها فبلا أيِّ فعل — فلا سبيلَ لإنشاءِ ميثاقٍ ولا اعتمادِه ولا بناءِ كونٍ رقابيٍّ ولا خطةٍ ولا مهمةٍ ولا ورقةِ عملٍ ولا حتى **رفعِ ملاحظة**. والدالةُ</t>
  </si>
  <si>
    <t xml:space="preserve">Audit/iaf_charter.php:19; :30; Audit/iaf_universe.php:19; Audit/iaf_plan.php:19; Audit/iaf_engagements.php:19; Audit/iaf_findings.php:32; :55; app/Services/Audit/InternalAuditServi</t>
  </si>
  <si>
    <t xml:space="preserve">app/Services/Contract/ContractStateMachine.php:148; :219; Portal/ceo_contracts.php:167; Portal/ceo_contracts.php:243-246; Contracts/contracts.php:1; app/Services/Operations/Operati</t>
  </si>
  <si>
    <t xml:space="preserve">check_page_permissions (112 شاشة) تفشل مغلقةً منذ 2026-08-05، فالفشلُ المفتوحُ محصورٌ في get_current_page_permissions وستِّ شاشاتٍ تستعملها — لكن منها Settings/role_permissions.php وSettings/roles.php وmain/users.php، فسلسلةُ التصعيد مكتملةٌ ومن أخطر ما يكون. — [مُصحَّح بعد التحقق] الصياغة الأولى: الدالة ems_governance_admin_roles() تُرجع الدورين 1 (ادارة التشغيل) و15 (مدير الصلاحيات)، وems_requir</t>
  </si>
  <si>
    <t xml:space="preserve">includes/governance_guard.php:42,71,94-97; Settings/modules.php:20-21; includes/permissions_helper.php:614-628; Settings/role_permissions.php:21-28; Settings/roles.php:17-25; main/</t>
  </si>
  <si>
    <t xml:space="preserve">السطرُ 982 عمودُ ترشيحٍ لـ«نوع الراتب» لا عمودُ راتبٍ في الجدول؛ ومنفذُ الكشف الحقيقيُّ get_employee_data.php الذي يرسل الصفَّ كاملًا (بما فيه monthly_salary ورقمُ الهوية) لأيِّ جلسةٍ مصادَقةٍ بلا فحصِ صلاحيةٍ إطلاقًا. — [مُصحَّح بعد التحقق] الصياغة الأولى: شاشةُ سجل الموظفين تعرض وتحفظ monthly_salary و salary_type مباشرةً (الإدخالُ في السطر 92 والحقلُ في 724 وعمودُ الجدول في 982) لكل من يملك can_</t>
  </si>
  <si>
    <t xml:space="preserve">أيُّ منحةٍ نشطةٍ بأيِّ permission_code وفي أيِّ كيان — أو الدورُ 26 — تفتح الشاشاتِ الستَّ كلَّها وتتجاهل valid_from/valid_to؛ والبياناتُ نفسُها تبقى معزولةً بـcompany_id. — [مُصحَّح بعد التحقق] الصياغة الأولى: ستُّ شاشاتٍ تتجاوز الحارسَ باستعلامٍ خامٍّ واحد: SELECT 1 FROM ownership_access_grants WHERE person_id = $uid AND state = 'active' LIMIT 1 — بلا company_id، وبلا permission_code، وبلا نافذة</t>
  </si>
  <si>
    <t xml:space="preserve">إحصاءات الملاحظات حسب الإدارة والخطورة</t>
  </si>
  <si>
    <t xml:space="preserve">الرمز</t>
  </si>
  <si>
    <t xml:space="preserve">الإجمالي</t>
  </si>
  <si>
    <t xml:space="preserve">M-00</t>
  </si>
  <si>
    <t xml:space="preserve">M-01</t>
  </si>
  <si>
    <t xml:space="preserve">M-08</t>
  </si>
  <si>
    <t xml:space="preserve">M-09</t>
  </si>
  <si>
    <t xml:space="preserve">M-12</t>
  </si>
  <si>
    <t xml:space="preserve">M-10</t>
  </si>
  <si>
    <t xml:space="preserve">M-11</t>
  </si>
  <si>
    <t xml:space="preserve">M-13</t>
  </si>
  <si>
    <t xml:space="preserve">M-15</t>
  </si>
  <si>
    <t xml:space="preserve">M-03</t>
  </si>
  <si>
    <t xml:space="preserve">M-04</t>
  </si>
  <si>
    <t xml:space="preserve">M-07</t>
  </si>
  <si>
    <t xml:space="preserve">M-05</t>
  </si>
  <si>
    <t xml:space="preserve">M-06</t>
  </si>
  <si>
    <t xml:space="preserve">M-02</t>
  </si>
  <si>
    <t xml:space="preserve">M-16</t>
  </si>
  <si>
    <t xml:space="preserve">WORKSPACE</t>
  </si>
  <si>
    <t xml:space="preserve">IA</t>
  </si>
  <si>
    <t xml:space="preserve">توزيع الملاحظات حسب نوع الفجوة وحسب الوثيقة الحاكمة</t>
  </si>
  <si>
    <t xml:space="preserve">العدد</t>
  </si>
  <si>
    <t xml:space="preserve">P0+P1</t>
  </si>
  <si>
    <t xml:space="preserve">ملاحظات سقطت في التحقق المضاد — محفوظة للشفافية ولا يُعمَل بها</t>
  </si>
  <si>
    <t xml:space="preserve">لا يُطلب من المبرمج إصلاح أيٍّ من هذه؛ أُدرجت لبيان ما فُحص وسقط، ولتفادي إعادة رفعه لاحقًا.</t>
  </si>
  <si>
    <t xml:space="preserve">REF-001</t>
  </si>
  <si>
    <t xml:space="preserve">الافتراضُ في الكود `off` (تصلُّبٌ ناقص)، أمّا القيمةُ النافذةُ فمن `.env` والموثَّقُ فيها `publish` — فلا دليلَ على توقّف نشر الحقائق. — [مُصحَّح بعد التحقق] الصياغة الأولى: الدالةُ `EventPublisher::publishFact()` تُرجع `null` فورًا إن لم يكن `EMS_EVENT_ROOT === 'publish'`، والافتراضُ في الكود `'off'` ولا يوجد `.env` في الحزمة. فكلُّ حقائق §١١ الأربعِ للقمة (exec.approval</t>
  </si>
  <si>
    <t xml:space="preserve">الأسطر صحيحة حرفيًّا (EventPublisher.php:103 `ems_env('EMS_EVENT_ROOT','off')` و:201 خروجٌ بـnull)، لكنّ config.php:188-198 يوقف الإقلاع كلَّه إن غاب `.env` (منه بيانات الاتصال) فوجودُه في الإنتاج حتميّ، وسجلُّ الأعلام في docs/specs/N-04 §3 وdocs/NEUTRAL_ROOT_ADR15 يعلن `EMS_EVENT_ROOT=publish` حيًّا منذ 2026-07-17 — فادّعاءُ «لا تُكتب إطلاقًا» يستند إلى غياب ملفٍ سرّيٍّ من نسخةِ التدقيق لا إلى الكود.</t>
  </si>
  <si>
    <t xml:space="preserve">app/Core/EventPublisher.php:103; :201; config.php:188; docs/specs/N-04_MIGRATION_ROLLBACK_PLAN_ar.md:34; tests/rollback_flag_test.php:47</t>
  </si>
  <si>
    <t xml:space="preserve">REF-002</t>
  </si>
  <si>
    <t xml:space="preserve">إنفاذُ CSRF متدرّجٌ بالتصميم (ADR-05) والقائمةُ الحيةُ في .env تشمل Finance/Procurement/Transport/Opportunities (MIGRATION_PROGRESS.md:69) دون Portal؛ والخطرُ المتبقّي دفاعٌ في العمق لا ثغرةٌ قابلةٌ للاستغلال مع SameSite=Strict. — [مُصحَّح بعد التحقق] الصياغة الأولى: الحارسُ المركزي `ems_enforce_csrf_protection()` يعمل في وضع «مراقبةٍ فقط»: `EMS_CSRF_ENFORCE` مُعرَّفٌ بـ`false` في config.php وقائمةُ `CSRF_ENFORCE_PATHS` تُقرأ من `.env` غيرِ الموجود في الحزمة، فيسج</t>
  </si>
  <si>
    <t xml:space="preserve">النصُّ صحيحٌ (EMS_CSRF_ENFORCE=false وPortal خارج CSRF_ENFORCE_PATHS وصفرُ csrf في Portal/) لكنّ الاستغلالَ المدَّعى ساقط: includes/security.php:105,116 يصدر كوكي الجلسة بـSameSite=Strict عبر secure_session_start المستدعاة تلقائيًّا من نهاية security.php عند login، فلا يُرسَل الكوكي في POST عابرِ المواقع؛ وPR-05 حكمُ صلاحيةٍ لا CSRF وشاشاتُ ceo_* تفحص الدور 9 خادميًّا.</t>
  </si>
  <si>
    <t xml:space="preserve">config.php:134-136; config.php:468-469; includes/security.php:404; includes/security.php:447-451; includes/security.php:370; includes/security.php:105; includes/security.php:116; Portal/ceo_contracts.php:128</t>
  </si>
  <si>
    <t xml:space="preserve">REF-003</t>
  </si>
  <si>
    <t xml:space="preserve">Portal/ceo_approvals.php:70-73 يربط أعمدةَ الحوكمة بـ__creator/approver_name/authority_ref/__status ويصيّر &lt;td&gt; لكلٍّ منها؛ ظاهرةُ «الرأسُ بلا خلية» قائمةٌ في شاشاتٍ أخرى (Operations/ · Transport/) لا في Portal/ceo_*. — [مُصحَّح بعد التحقق] الصياغة الأولى: طبقةُ الحوكمة المشتركة تحقن رؤوسَ هذه الأعمدة فقط، وتُصرّح في ترويستها أن «العمودَ بلا مصدرٍ بعدُ يظهر بمكانه «—»»؛ والخلايا يحشوها `ui-unification.js` بـ«—» ثابتة. فالأعمدةُ الخمسةُ في شاشات القمة زخ</t>
  </si>
  <si>
    <t xml:space="preserve">شاشاتُ القمة لا تحمل أعمدةَ الشريحة ② الخمسَ أصلًا، وأعمدتُها الحاكمةُ (المُنشئ · المعتمِد · مرجعُ التفويض · الحالة) مربوطةٌ بأعمدةِ قاعدةٍ حقيقيةٍ في $COLDB وتُصيَّر خلايا من PHP لا من ui-unification.js.</t>
  </si>
  <si>
    <t xml:space="preserve">includes/gov_columns.php:13-16; includes/gov_columns.php:37-41; Portal/ceo_approvals.php:366-369; Operations/monthly_close.php:20-23</t>
  </si>
  <si>
    <t xml:space="preserve">REF-004</t>
  </si>
  <si>
    <t xml:space="preserve">لوحة النظام العامة</t>
  </si>
  <si>
    <t xml:space="preserve">ترتيبٌ غيرُ مثاليٍّ (استعلاماتٌ قبل تضمين insidebar) بلا أثرِ كشفٍ: الشاشةُ هبوطٌ عامٌّ مقصودٌ لكل دور. — [مُصحَّح بعد التحقق] الصياغة الأولى: `main/dashboard.php` — وجهةُ إعادةِ التوجيه لكلِّ رفضٍ في النظام وصفحةُ الهبوط لكل دورٍ بلا لوحة — لا تستدعي `check_page_permissions` ولا `enforce_current_page_view_permission` مباشرةً؛ حارسُها الوحيد</t>
  </si>
  <si>
    <t xml:space="preserve">main/dashboard.php شاشةٌ مفتوحةٌ بقرارٍ صريح: هجرة 2026_08_06_sec_governance_lockdown.php:69 تدرجها في OPEN_SCREENS، ولا صفَّ لها في modules فترجع الصلاحياتُ كاملةً — أي أن الحارسَ لا يرفض أحدًا أصلًا وترتيبُه لا يكشف شيئًا؛ والبياناتُ معزولةٌ ببوابة المستأجر (سطر 46-48).</t>
  </si>
  <si>
    <t xml:space="preserve">main/dashboard.php:1-10; main/dashboard.php:34-48; main/dashboard.php:499; insidebar.php:12-14; database/migrations/2026_08_06_sec_governance_lockdown.php:66-70</t>
  </si>
  <si>
    <t xml:space="preserve">REF-005</t>
  </si>
  <si>
    <t xml:space="preserve">الفراغُ يُعلَن «—»؛ الباقي الصحيحُ هو كتلةُ الأنماط الموضعيةِ وغيابُ رابطِ التعمّق. — [مُصحَّح بعد التحقق] الصياغة الأولى: `dashboard_two_digits()` ما زالت تُرجع السلسلةَ '00' وتُشحن حرفيًّا في بطاقات اللوحة؛ فالفراغُ يُعرض صفرًا عملاقًا لا حالةً فارغة. واللوحةُ تحمل كتلةَ `&lt;style&gt;` موضعيةً بمئات الأسطر ومجموعةَ رموزٍ خاص</t>
  </si>
  <si>
    <t xml:space="preserve">الادعاءُ الأساسيُّ باطل: البطاقةُ تعرض «—» صراحةً عند غياب البيانات (dashboard.php:1174-1175) بتعليقٍ يقول «لا نلفّق أصفارًا (UI-DEF-02)»، و«00» نصٌّ بذرةٌ لعدّادِ JS عبر data-count (سطر 1275). ولا تُستعمل dashboard_two_digits في البطاقات بل في ملاحظةِ رسمٍ واحدةٍ (سطر 1208).</t>
  </si>
  <si>
    <t xml:space="preserve">main/dashboard.php:1174-1177; :1275; :1208</t>
  </si>
  <si>
    <t xml:space="preserve">REF-006</t>
  </si>
  <si>
    <t xml:space="preserve">صحيحٌ أن SELECT * قائمٌ وأن SensitiveFieldGuard بلا مستدعٍ إنتاجي، لكن الشاشةَ المعنيةَ في TABLE 37 غيرُها؛ وexcel.php:82-98 يسجّل الاطّلاعَ الحساسَ عند التصدير عبر ems_log_sensitive_read. — [مُصحَّح بعد التحقق] الصياغة الأولى: الشاشةُ تنفّذ `SELECT *` من `exec_approvals` وتطبع أعمدةَ القيمة وسقف الإدارة والتجاوز والعملة لكلِّ من يملك can_view، بلا استدعاءٍ لـ`VisibilityGuard` ولا `SensitiveFieldGuard` ولا `ems_log_sensitive</t>
  </si>
  <si>
    <t xml:space="preserve">TABLE 37 (m14_readable.md:210) تنسب الحقولَ الحساسةَ إلى شاشة «صندوق ما ينتظر اعتمادي» أي Portal/approvals_inbox.php لا إلى «اعتمادات المدير التنفيذي» التي لا تَرِد في M-14 أصلًا؛ فالمطلبُ منسوبٌ لشاشةٍ خطأ.</t>
  </si>
  <si>
    <t xml:space="preserve">Portal/ceo_approvals.php:202-206; Portal/ceo_approvals.php:222-226; Portal/ceo_approvals.php:356-360; app/Services/Security/SensitiveFieldGuard.php:29-33</t>
  </si>
  <si>
    <t xml:space="preserve">REF-007</t>
  </si>
  <si>
    <t xml:space="preserve">طلبات التشغيل</t>
  </si>
  <si>
    <t xml:space="preserve">link_groups id=3334 stage_no=7 stage_title='طلبات التشغيل' للدور 1، وفيها nav_items: طلبات الشراء · طلبات الترحيل · طلبات الدفع والسداد (كلُّها active=1). — [مُصحَّح بعد التحقق] الصياغة الأولى: سايدبارُ الدور 1 ثمانِ مجموعاتٍ: لوحة الإدارة · خمسُ مراحلَ · سجلات التشغيل · «خارج الوثيقة». لا مجموعةَ «طلبات التشغيل» ولا أيٌّ من شاشاتها؛ و`Operations/swap_request.php` (طلبُ تبديل) موجودٌ في المس</t>
  </si>
  <si>
    <t xml:space="preserve">مجموعةُ «طلبات التشغيل» موجودةٌ فعلًا للدور 1 (link_groups 3334 · stage_no=7) وفيها ثلاثةُ روابطَ فعّالة كما تنصُّ الوثيقة؛ الباقي أنَّ swap_request.php بلا رابط.</t>
  </si>
  <si>
    <t xml:space="preserve">database/schema/seed_reference.sql:3334 (link_groups); nav_items 5983-5985</t>
  </si>
  <si>
    <t xml:space="preserve">REF-008</t>
  </si>
  <si>
    <t xml:space="preserve">الافتراضُ في الشيفرة off، لكن التوزيعَ الحيَّ يضبط EMS_EVENT_HOOKS=publish، وللمروحة مسارُ نداءٍ ثانٍ من شاشة المالية عبر UnitConversionService لا يمرُّ بالعَلَم أصلًا. — [مُصحَّح بعد التحقق] الصياغة الأولى: المروحةُ المالية (`EffectFanout::forTimesheetId`) تُستدعى من `includes/timesheet_event_hook.php` وحدَه، وهذا الخطّافُ يخرج فورًا إن لم يكن `EMS_EVENT_HOOKS` في وضع monitor/publish — والافتراضُ في الكو</t>
  </si>
  <si>
    <t xml:space="preserve">السطران 34-38 صحيحان حرفيًّا (الافتراضُ في الكود off)، لكن الادعاءَ «EffectFanout::forTimesheetId تُستدعى من الخطّاف وحدَه» باطل: تُستدعى أيضًا من app/Services/Finance/UnitConversionService.php:65 عبر شاشة Finance/unit_records_fin.php:76 بلا أيِّ علاقةٍ بـEMS_EVENT_HOOKS؛ ووثائقُ المستودع تُثبت أن .env الحيَّ فيه EMS_EVENT_HOOKS=publish (docs/PHASE1_CLOSURE_REPORT_ar.md:22,81 · docs/NEUTRAL_ROOT_ADR15_ar.md:43) فالسلسلةُ ليست مقطوعة.</t>
  </si>
  <si>
    <t xml:space="preserve">includes/timesheet_event_hook.php:34-38; app/Services/Finance/UnitConversionService.php:65; Finance/unit_records_fin.php:76; docs/PHASE1_CLOSURE_REPORT_ar.md:81</t>
  </si>
  <si>
    <t xml:space="preserve">REF-009</t>
  </si>
  <si>
    <t xml:space="preserve">التزام العقد بنوع المعدة / بطاقة العقد</t>
  </si>
  <si>
    <t xml:space="preserve">الشاشتان محروستان: coverage بفحصٍ ذاتي صريح، وcard بالحارس المركزي لأنها مسجَّلةٌ في modules، والمعالجان في سجل حارس الأفعال. — [مُصحَّح بعد التحقق] الصياغة الأولى: `Contracts/contract_coverage.php` و`Contracts/contract_card.php` لا تحتويان على أيِّ فحصِ صلاحيةٍ خاصٍّ بهما: الحارسُ الوحيدُ سطرُ `if ($company_id &lt;= 0) { header('Location: ../login.php'); exit(); }`</t>
  </si>
  <si>
    <t xml:space="preserve">الادعاءُ ساقطٌ بفخّي ① و④: Contracts/contract_coverage.php يحمل حارسَه الخاص (يحلّ الموديول ثم get_module_permissions ثم ems_gov_flash_redirect في الأسطر 30-42)، وcontract_card.php مسجَّلٌ موديول 200 فيغطّيه enforce_current_page_view_permission، ونقطتا AJAX مسجَّلتان في includes/action_guard.php ضمن سجل المعالجات.</t>
  </si>
  <si>
    <t xml:space="preserve">Contracts/contract_coverage.php:30-42; includes/action_guard.php:47-51; insidebar.php:12-14</t>
  </si>
  <si>
    <t xml:space="preserve">REF-010</t>
  </si>
  <si>
    <t xml:space="preserve">أفعالُ دورةِ الحياة تكتب سجلَّ تعديلٍ منظَّمًا في contract_amendments (كود · نوع · قيمة قبل · قيمة بعد · أثر · منشئ) عبر amd_op؛ والفجوةُ الحقيقيةُ محصورةٌ في contracts.php و update_contract_details.php و rate_books.php. — [مُصحَّح بعد التحقق] الصياغة الأولى: خمسةُ معالجاتٍ في وحدة العقود تكتب في القاعدة بلا أيِّ سجلِّ تدقيقٍ على أيِّ مسار: `Contracts/contract_actions_handler.php` (ثمانيةُ أفعالِ دورةِ حياة) · `Contracts/contracts.php` · `Contracts/contrac</t>
  </si>
  <si>
    <t xml:space="preserve">الادعاءُ «البديلُ الوحيدُ ملاحظةٌ نصية بلا قبل/بعد» مكذوبٌ: سبعةُ أفعالِ دورةِ الحياة تُدرج صفَّ contract_amendments بحقول old_value وnew_value وcreated_by وamend_date داخل المعاملة نفسِها.</t>
  </si>
  <si>
    <t xml:space="preserve">Contracts/contract_actions_handler.php:116-135; :196; :261; :329; :405; :466; :565; :602</t>
  </si>
  <si>
    <t xml:space="preserve">REF-011</t>
  </si>
  <si>
    <t xml:space="preserve">لبناء بنود المستخلص مسارُ تغذيةٍ إنتاجيٌّ حيٌّ بلا علَم: «أحكام العميل والمورد والمشغّل» → convert_units → UnitConversionService → EffectFanout::forTimesheetId ⇒ fin_financial_events + fin_event_links. الشرطُ الحقيقيُّ هو وجودُ صفِّ مرآةٍ في unit_entries بحالة sales_approved لا علَمُ الأحداث. — [مُصحَّح بعد التحقق] الصياغة الأولى: بناءُ بنود المستخلص يعتمد كليًّا على `fin_event_links` بشرط `parent_kind='timesheet' AND effect_type='revenue_event'`، وهذه الصفوفُ لا تُنشأ إلا من مروحة الأثر التي تعمل خلف علَم `EMS_EVENT_HOOKS` الم</t>
  </si>
  <si>
    <t xml:space="preserve">الادعاءُ بأن صفوفَ fin_event_links (parent_kind='timesheet' · effect_type='revenue_event') لا تُنشأ إلا خلف EMS_EVENT_HOOKS المطفأ غيرُ صحيح: شاشةُ Finance/unit_records_fin.php:53-76 تنادي UnitConversionService::convertBatch الذي ينادي EffectFanout::forTimesheetId (app/Services/Finance/UnitConversionService.php:65) فيكتب الرابطَ والحدثَ بلا أيِّ علَم. وpublishFact المعطَّلة ترجع null بلا أثرٍ على حفظ المستخلص.</t>
  </si>
  <si>
    <t xml:space="preserve">Finance/unit_records_fin.php:53-76; app/Services/Finance/UnitConversionService.php:64-71; app/Services/EffectFanout.php:934,1057,276</t>
  </si>
  <si>
    <t xml:space="preserve">REF-012</t>
  </si>
  <si>
    <t xml:space="preserve">الوحدات التعاقدية المرقَّمة / الأعمال غير المفوترة</t>
  </si>
  <si>
    <t xml:space="preserve">المتبقّي فرقُ ملكيةٍ واحدٌ: module 149 (containers.php) مالكُه الدورُ 1 بينما تضع الوثيقةُ units.php تحت المبيعات؛ ووسمُ الترويسة «02 · إدارة التشغيل» يخالف صفَّ modules. — [مُصحَّح بعد التحقق] الصياغة الأولى: الملفّان يقعان في وحدة التشغيل: `Operations/containers.php` (عنوانُها «حاويات العقود») و`Operations/unbilled.php` (ترويستُها تعلن المالكَ «02 · إدارة التشغيل»)، ووحدةُ الصلاحيات المسجَّلةُ لهما تحت مس</t>
  </si>
  <si>
    <t xml:space="preserve">الملكيةُ في هذا النظام عمودُ modules.owner_role_id لا مجلَّدُ الملف: صفُّ 'الأعمال غير المفوترة' (seed_reference.sql:339) مالكُه الدورُ 12 «ادارة المبيعات» تمامًا كما تُسند الوثيقةُ §٦-٤، فلا يحتاج مستخدمُ المبيعات منحةً على «وحدة التشغيل»؛ و«الوحدات التعاقدية المرقَّمة» مسجَّلةٌ باسمها على Operations/containers.php في nav_items.</t>
  </si>
  <si>
    <t xml:space="preserve">database/schema/seed_reference.sql:339; database/schema/seed_reference.sql:201; database/schema/seed_reference.sql:4129; Operations/unbilled.php:5</t>
  </si>
  <si>
    <t xml:space="preserve">REF-013</t>
  </si>
  <si>
    <t xml:space="preserve">سجل العملاء / كتالوج الخدمات / قوائم التسعير</t>
  </si>
  <si>
    <t xml:space="preserve">الاستيرادُ يمرّ بحارسِ الصلاحية ورمزِ الحماية ويُدرج ذرّيًّا؛ الصحيحُ فقط أنه لا هويةَ دفعةٍ محفوظةٍ ولا تقريرَ أخطاءٍ مخزَّنٌ ولا عكسٌ للدفعة. — [مُصحَّح بعد التحقق] الصياغة الأولى: شاشاتُ المبيعات الستُّ التي تستورد (clients · products · pricelists · quotations · tenders · activities) تكتب عبر `Importer` بـ`INSERT` مباشرٍ في الجدول الهدف بلا مرورٍ بحرّاس الكتابة في النظام؛ ولا ه</t>
  </si>
  <si>
    <t xml:space="preserve">الادعاءُ ساقط: مسارُ الاستيراد الحيّ ExcelService::import يستدعي verifyCsrf() ثم authorize($def,'add') الذي يفحص can_add على كود الموديول (ExcelService.php:56-70, 111-123)، وImporter::commit يُدرج داخل معاملةٍ بـrollback (Importer.php:145, 184-186) فلا «فشلَ جزئيٌّ مثبَّت».</t>
  </si>
  <si>
    <t xml:space="preserve">app/Services/Excel/ExcelService.php:56-70; :111-123; app/Services/Excel/Importer.php:145; :184-186</t>
  </si>
  <si>
    <t xml:space="preserve">REF-014</t>
  </si>
  <si>
    <t xml:space="preserve">شاشات المبيعات والعقود</t>
  </si>
  <si>
    <t xml:space="preserve">لا يمكن إغلاقُ بند الشاشات: الوثيقةُ نفسُها متعارضة (22 معلَنة مقابل 14 مسرودة)، والمنفَّذُ في سايدبار الدور 12 خمسةٌ وخمسون رابطًا تشير إلى نحو 40 ملفًّا موزَّعةٍ على أربع وحداتٍ (Clients · Contracts · Operations · Portal) — فلا يوجد مقياسٌ مشتركٌ للمقارنة.</t>
  </si>
  <si>
    <t xml:space="preserve">الوثيقةُ ليست متعارضة: `frd_readable.md:439` يعلن صراحةً «عرضٌ مختصر — تُعرض هنا أولُ أربعَ عشرةَ شاشةً من 22 والقائمةُ الكاملةُ في ملف التتبع الورقة ٠٦»؛ كما أن Document_Section المذكور (§١١-٤) ليس فصلَ المبيعات (§٦).</t>
  </si>
  <si>
    <t xml:space="preserve">Contracts/contracts.php:1; Clients/quotations.php:1; Operations/unbilled.php:1; Portal/contract_review.php:1</t>
  </si>
  <si>
    <t xml:space="preserve">REF-015</t>
  </si>
  <si>
    <t xml:space="preserve">تقييم المورد الدوري</t>
  </si>
  <si>
    <t xml:space="preserve">التقييمُ الدوريُّ مقروءٌ فعلًا عند تسجيل العرض والترسية — والناقصُ حدٌّ أدنى مانعٌ ونشرُ حدثٍ عند صدور التقييم، لا انعدامُ الربط. — [مُصحَّح بعد التحقق] الصياغة الأولى: `Suppliers/supplier_evaluation.php` شاشةُ إدخالٍ بمعالجِ POST واحدٍ يحفظ صفَّ تقييمٍ نصيًّا؛ ولا ربطَ بين نتيجة التقييم وأيِّ قرارٍ لاحق: `Suppliers/rfq_requests.php` و`Procurement/rfq_compare_award.p</t>
  </si>
  <si>
    <t xml:space="preserve">الادّعاءُ الأساسيُّ ساقط: `RFQService::supplierRating()` (:469-479) يقرأ آخرَ تقييمٍ معتمدٍ من `supplier_evaluations` ويحقنه في `record_rating` (:184 · :192) الذي تُرتَّب به المقارنةُ ويُحسب منه `is_best_record` (:264 · :272-277).</t>
  </si>
  <si>
    <t xml:space="preserve">app/Services/Procurement/RFQService.php:184; :192; :264; :469-479</t>
  </si>
  <si>
    <t xml:space="preserve">REF-016</t>
  </si>
  <si>
    <t xml:space="preserve">سلفيات الموردين</t>
  </si>
  <si>
    <t xml:space="preserve">فصلُ اليدين مُنفَّذٌ في الخدمة، والقسطُ يظهر بندًا في التسوية آليًّا. — [مُصحَّح بعد التحقق] الصياغة الأولى: `Suppliers/supplier_advances.php` يفحص صلاحيةَ الوحدة ثم يكتب صفَّ السلفة في معالجٍ يبدأ في السطر 66 قبل تضمين `insidebar.php` في السطر 114؛ ولا سقفَ مبلغٍ يُقاس، ولا مقارنةَ بين طالب السلفة ومعتمِدها</t>
  </si>
  <si>
    <t xml:space="preserve">الادعاءُ «لا مقارنةَ بين طالب السلفة ومعتمِدها» باطل: SupplierAdvanceService::approve يرفض 403 عند created_by===actor (السطر 110). والادعاءُ «بلا ربطٍ بالتسوية» باطلٌ أيضًا: SettlementService::collectLines يستدعي SupplierAdvanceService::chargeLines لكل مورد (السطر 280-283). الباقي الصحيحُ: لا سقفَ مبلغٍ ولا استشارةَ signing_authorities.</t>
  </si>
  <si>
    <t xml:space="preserve">app/Services/Settlement/SupplierAdvanceService.php:110; app/Services/Settlement/SettlementService.php:277-283</t>
  </si>
  <si>
    <t xml:space="preserve">REF-017</t>
  </si>
  <si>
    <t xml:space="preserve">غرفة عمليات المواقع / لوحة المواقع / مساحة التوزيع</t>
  </si>
  <si>
    <t xml:space="preserve">لوحاتُ التشغيل الثلاثُ (operations_room · sites_board · distribution_space) شاشاتُ لوحةٍ قصيرةٌ تعرض بطاقاتٍ وجداولَ مبنيةً باستعلاماتٍ مباشرة؛ ولا تستدعي `EmsUI.emptyState` ولا أيَّ مكوّنِ حالة، فتسقط الشبكةُ الفارغةُ إلى نصِّ DataTables الافتراضي أو إلى جدولٍ بلا صفوفٍ بلا رسالة. و232 جدولًا في النظام بلا أيِّ معالجةٍ لحالة الفراغ.</t>
  </si>
  <si>
    <t xml:space="preserve">الشاشاتُ الثلاثُ **تستدعي فعلًا** مكوّنَ الحالة الفارغة الخادميَّ `ems_state_empty()` (operations_room.php:65,107,130,148 · distribution_space.php:69) وsites_board.php يطبع صفَّ «لا معداتَ مخصَّصةً لهذا الموقع» (:105-107)؛ الفاحصُ بحث عن `EmsUI.emptyState` وحدَه.</t>
  </si>
  <si>
    <t xml:space="preserve">includes/screen_contract.php:44; Operations/operations_room.php:65; Operations/distribution_space.php:69; Operations/sites_board.php:105-107</t>
  </si>
  <si>
    <t xml:space="preserve">REF-018</t>
  </si>
  <si>
    <t xml:space="preserve">الأداء الشهري للوحدة</t>
  </si>
  <si>
    <t xml:space="preserve">مجموعةُ «رابعًا: متابعة الانحراف» تضمُّ ستةَ روابطَ منها شاشةُ الانحراف المشتقّة وشاشةُ الهامش وأوامرُ الصيانة؛ والباقي أنَّ unit_perf.php وحدَها إدخالٌ يدوي. — [مُصحَّح بعد التحقق] الصياغة الأولى: مجموعةُ «رابعًا: متابعة الانحراف» رابطان فقط: «الأداء الشهري للوحدة» و«بلاغات إدارتي». وشاشةُ الأداء فورمُ إدخالٍ يدويٍّ (CMP-03) يكتب أرقامَ الأداء نصًّا؛ فلا خطةَ تُقارَن بها (لا شاشةَ خطةٍ شهرية) و</t>
  </si>
  <si>
    <t xml:space="preserve">المجموعةُ الرابعةُ للدور 1 فيها ستةُ روابطَ لا رابطان، ومنها Finance/variance_monitor_fin.php «متابعة انحراف المنفَّذ عن المخطط» بانحرافٍ محسوبٍ من fin_budget_lines وحالةٍ محكومة (open→in_progress→closed).</t>
  </si>
  <si>
    <t xml:space="preserve">database/schema/seed_reference.sql: nav_items 5968-5973 (link_groups 3325-3328); Finance/variance_monitor_fin.php:1-10</t>
  </si>
  <si>
    <t xml:space="preserve">REF-019</t>
  </si>
  <si>
    <t xml:space="preserve">الشاشاتُ مملوكةٌ للدور 6 ومربوطةٌ بسايدباري 6 و7. — [مُصحَّح بعد التحقق] الصياغة الأولى: ستُّ شاشاتٍ في وحدة التشغيل مبنيةٌ وموجودةٌ ولا رابطَ لها في سايدبار الدور 1: site_gate_equip · site_gate_person · site_shift_plan · site_work_calendar · shift_log · attendance — وكلُّها فورماتُ CMP-0</t>
  </si>
  <si>
    <t xml:space="preserve">الشاشاتُ الستُّ مسجَّلةٌ في modules (281·285·286·287·288·289 بمالكٍ الدور 6) ولها صفوفُ nav_items نشطةٌ للأدوار 6 و7 (و27 و4 لبعضها)، فادعاءُ «بلا بذرِ تنقّلٍ لأيِّ دور» و«لا يبلغها أحدٌ من قائمته» باطل. الباقي الصحيحُ أن الإدراجَ يقع قبل include insidebar.</t>
  </si>
  <si>
    <t xml:space="preserve">database/schema/seed_reference.sql (modules 281-289؛ nav_items 5871-5941)؛ Operations/site_gate_equip.php:79 مقابل :127</t>
  </si>
  <si>
    <t xml:space="preserve">REF-020</t>
  </si>
  <si>
    <t xml:space="preserve">خط أساس العقد</t>
  </si>
  <si>
    <t xml:space="preserve">الافتراضُ في الكود 'off' صحيحٌ نصًّا، والقيمةُ الحيةُ في .env غير مرئيةٍ في هذه النسخة؛ والوثائق (UPDATE0003 · ق-20 · خطة UAT) تسجّل EMS_BASELINE_GATE=enforce مقصورًا على العقد الرائد 7. — [مُصحَّح بعد التحقق] الصياغة الأولى: `ContractBaselineService::gateMode()` تقرأ `EMS_BASELINE_GATE` بقيمةٍ افتراضيةٍ `'off'`، و`EMS_BASELINE_GATE_CONTRACTS` (قائمةُ العقود الرائدة) فارغةٌ افتراضيًّا — فالبوابةُ التي تمنع الفوترةَ قبل قفل</t>
  </si>
  <si>
    <t xml:space="preserve">الوثيقةُ الحاكمةُ نفسُها (ملحق PLAN-03 §2-②) تُلزم بأن تبدأ البوابةُ مطفأةً وتُفعَّل لعقدٍ رائدٍ واحد، فالافتراضُ 'off' امتثالٌ لا فجوة؛ وسجلاتُ التنفيذ تُثبت قلبَها إلى enforce للعقد 7.</t>
  </si>
  <si>
    <t xml:space="preserve">app/Services/Contract/ContractBaselineService.php:6; :292; :300; Contracts/contract_baseline.php:1; PROMPT_cross_env_portability_fix.md:11</t>
  </si>
  <si>
    <t xml:space="preserve">REF-021</t>
  </si>
  <si>
    <t xml:space="preserve">الفاتورة الضريبية / ذمم العملاء وأعمارها</t>
  </si>
  <si>
    <t xml:space="preserve">شاشتان تحملان صراحةً ما تنفيه الوثيقةُ عن الإدارة تقعان في وحدة العقود ومربوطتان في سايدبار دور المبيعات: `Contracts/tax_invoices.php` («الفاتورة الضريبية» — وفيها تصدير) و`Contracts/collections.php` («الذمم والتحصيل» بفعلِ `record` لتسجيل تحصيل). فالمبيعاتُ تملك في الشيفرة ما لا تملكه في الوثيقة.</t>
  </si>
  <si>
    <t xml:space="preserve">المبيعاتُ لا تملك الفعلَين: الدور 12 له can_view=1 وcan_add=0/can_edit=0 على وحدة `Contracts/collections.php` (مالكُها الدور 17) وفعلُ `record` محروسٌ بـ`if (!$can_add)` (:59)؛ وصفُّ nav_items لـtax_invoices للدور 12 **غيرُ نشط** (active=0) والشاشةُ نفسُها «لا حقلَ تعديلٍ فيها ألبتة».</t>
  </si>
  <si>
    <t xml:space="preserve">Contracts/collections.php:59; database/schema/seed_reference.sql:218 (module 166) و:3851 (nav غير نشط)</t>
  </si>
  <si>
    <t xml:space="preserve">REF-022</t>
  </si>
  <si>
    <t xml:space="preserve">مصفوفة التزامات العقد</t>
  </si>
  <si>
    <t xml:space="preserve">الباقي الصحيح: لا مقارنةَ بمنشئ الصف ولا ems_audit_change — لا كتابةَ معتمِدٍ من الطلب ولا انفتاحَ صلاحية. — [مُصحَّح بعد التحقق] الصياغة الأولى: `Contracts/contract_obligations.php` من نقاط الاعتماد التي تكتب `approved_by` من `$_POST` بلا مقارنةٍ بمنشئ الصف، وهو أيضًا ضمن المعالجات التي لا تكتب سجلَّ تدقيقٍ على أيِّ مسار. والالتزامُ المعتمَدُ </t>
  </si>
  <si>
    <t xml:space="preserve">approved_by يُكتب من جلسة المستخدم ($uid في السطرين 171 و190) لا من $_POST، والشاشةُ تفحص صلاحيتَها بكودها fail-closed وتفصل can_add (الملء — المبيعات) عن can_edit (الإجازة — مدير المالية).</t>
  </si>
  <si>
    <t xml:space="preserve">Contracts/contract_obligations.php:1; includes/self_approval_guard.php:22; Contracts/claims.php:99; Contracts/penalties.php:12-14</t>
  </si>
  <si>
    <t xml:space="preserve">REF-023</t>
  </si>
  <si>
    <t xml:space="preserve">الشاشةُ تعرض «لا يومَ عملٍ جاهزًا للفوترة خارجَ المستخلصات…» عند الفراغ، وفوقها شرحٌ صريحٌ أن اليومَ الذي لم يكتمل اعتمادُه الرباعيُّ ولم تحوّله الماليةُ لا يُستخلص. — [مُصحَّح بعد التحقق] الصياغة الأولى: حين لا تكون مروحةُ الأثر قد عملت (وهو الوضعُ الافتراضي لأن `EMS_EVENT_HOOKS='off'`) يعود استعلامُ بنود المستخلص من `fin_event_links` فارغًا، فتُعرض شاشةُ المستخلص بلا بنودٍ وبلا أيِّ رسالةٍ تشرح السبب</t>
  </si>
  <si>
    <t xml:space="preserve">المقدمةُ خاطئة: القيمةُ الحيةُ لـ`EMS_EVENT_HOOKS` هي **publish** لا off (فخُّ ٥ · docs v6 §14 · v7 §14 · v8 §14)؛ كما أن `Contracts/claims.php` يعرض حالةً فارغةً معلَّلةً ونصَّ حكمٍ يشرح سببَ غيابِ البنود.</t>
  </si>
  <si>
    <t xml:space="preserve">docs/ARCHITECTURE_CURRENT_SYSTEM_v8_ar.md:221; Contracts/claims.php:328-329; :373-377</t>
  </si>
  <si>
    <t xml:space="preserve">REF-024</t>
  </si>
  <si>
    <t xml:space="preserve">قواعد التحميل والجزاءات على المورد</t>
  </si>
  <si>
    <t xml:space="preserve">الشاشةُ شاشةُ إدخالٍ لقواعدَ نصيةٍ بمعالجِ POST واحدٍ يبدأ في السطر 64 قبل الحارس المركزي في السطر 123؛ ولا تقرأ `SettlementService::generate()` هذه القواعدَ عند توليد التسوية (بنودُ التحميل تأتي من مصادرَ أخرى)، ولا يُنشر حدثٌ عند تعديل قاعدة، ولا فعلَ اعتمادٍ للقاعدة.</t>
  </si>
  <si>
    <t xml:space="preserve">القاعدةُ تُقرأ فعلًا في التسوية: `SettlementService::collectLines()` تستدعي `SupplierRuleService::priceCharge()` (SettlementService.php:304 و:337) داخل مسار `generate()`؛ والقواعدُ بنيويةٌ (charge_type · pricing · rate · cap · currency) في `supplier_charge_rules` بسجلِّ تدقيق، والشاشةُ لها حارسُ صلاحيةٍ خاصٌّ بها (:34-56) قبل معالج الـPOST (:64).</t>
  </si>
  <si>
    <t xml:space="preserve">app/Services/Settlement/SettlementService.php:304; :337; app/Services/Settlement/SupplierRuleService.php:95; :115; Suppliers/supplier_rules.php:34-56; :67</t>
  </si>
  <si>
    <t xml:space="preserve">REF-025</t>
  </si>
  <si>
    <t xml:space="preserve">طلبات الدفع والسداد / ملّاك الأسطول</t>
  </si>
  <si>
    <t xml:space="preserve">سايدبارُ الدور 2 يعرض «طلبات الدفع والسداد» → `Finance/payments_fin.php` (شاشةُ الدفع المملوكةُ للمالية) و«ملّاك الأسطول» → `Financing/owners_registry.php` (سجلُّ الملكية المملوكُ للتمويل والملكية، وهو من الحقول التي تنص الوثيقةُ على حجبها «عن الجميعِ إلا بمنحٍ فرديٍّ مسجَّل») — بلا تمييزٍ بين منظرِ قراءةٍ ومنظرِ كتابة، وبلا حكمِ رؤيةٍ موثَّق.</t>
  </si>
  <si>
    <t xml:space="preserve">getUnifiedNavItems يحذف كلَّ مسارات Financing/ لمن لا يملك منحةَ المجال المقيَّد (unified_nav.php:92-115)، وowners_registry نفسُها fail-closed بمنحةٍ فرديةٍ وتسجّل الاطّلاع، وpayments_fin تقصر الصرفَ على أمين الخزينة.</t>
  </si>
  <si>
    <t xml:space="preserve">includes/unified_nav.php:92-115; Financing/owners_registry.php:17-26; Finance/payments_fin.php:19-29</t>
  </si>
  <si>
    <t xml:space="preserve">REF-026</t>
  </si>
  <si>
    <t xml:space="preserve">مخاطر الأسطول (risk_dept_flt.php)</t>
  </si>
  <si>
    <t xml:space="preserve">المتبقّي فرقُ تسميةٍ ووسمِ مجموعةٍ (الاسمُ المعلَنُ risk_dept_flt.php) لا غيابُ سجلِّ مخاطرَ لإدارة الأسطول. — [مُصحَّح بعد التحقق] الصياغة الأولى: لا يوجد ملفٌّ باسم risk_dept_flt.php في المستودع. مجلدُ Risk/ يحوي risk_dept_fin.php و risk_dept_gov.php فقط — أي نسختين لإدارتين أخريين ولا نسخةَ للأسطول. وسايدبار دور ٣ يضع بدلًا منها «مساحة مخاطر ا</t>
  </si>
  <si>
    <t xml:space="preserve">المطلبُ منفَّذٌ بالمكوّن النطاقيِّ الواحد الذي تفضّله الوثيقةُ نفسُها: Risk/dept_risk_space.php «مكوّن نطاقي واحد لأربع عشرة إدارة» (UXR-0076) يرشّح rr.owner_unit_id بنطاق الوحدة وله صفٌّ حيٌّ في nav_items للدور 3 (seed_reference.sql:4999) وصفُّ modules 330.</t>
  </si>
  <si>
    <t xml:space="preserve">Risk/dept_risk_space.php:1-20; database/schema/seed_reference.sql:378; database/schema/seed_reference.sql:4999</t>
  </si>
  <si>
    <t xml:space="preserve">REF-027</t>
  </si>
  <si>
    <t xml:space="preserve">إدارة المعدات — نسخة السائقين</t>
  </si>
  <si>
    <t xml:space="preserve">الفحصُ الداخليُّ يحلّ موديول سجل المعدات، لكنَّ العرضَ محروسٌ بموديول 27 عبر insidebar؛ العيبُ الحقيقيُّ أنّ الكتابةَ في :186-285 لا تفحص can_add/can_edit إطلاقًا (تكتفي بمنع الدور 10). — [مُصحَّح بعد التحقق] الصياغة الأولى: equipments_drivers.php يفحص الصلاحيةَ برمز 'equipments' (السطر 84) وهو الرمزُ نفسُه لشاشةِ السجل الرئيسة؛ فكلُّ من يملك عرضَ سجل المعدات يملك تلقائيًّا شاشةً ثانيةً غيرَ مسجَّلةٍ في سايدباره ولا في مص</t>
  </si>
  <si>
    <t xml:space="preserve">فخُّ ①: Equipments/equipments_drivers.php مسجَّلٌ موديول 27 في modules، فـenforce_current_page_view_permission في insidebar (المضمَّن في السطر 164 قبل معالج الحفظ في السطر 186) يفحص صلاحيةَ الشاشة نفسِها لا صلاحيةَ 'equipments' — فلا «يملكها تلقائيًّا كلُّ من يملك سجل المعدات».</t>
  </si>
  <si>
    <t xml:space="preserve">Equipments/equipments_drivers.php:84; :164; :186; database/schema/seed_reference.sql:82 (modules id 27)</t>
  </si>
  <si>
    <t xml:space="preserve">REF-028</t>
  </si>
  <si>
    <t xml:space="preserve">الملفُّ لا يستدعي check_page_permissions ولا أيَّ فحصِ صلاحيةٍ إطلاقًا: الحارسُ الوحيدُ هو وجودُ الجلسة و company_id&gt;0 (الأسطر 18-20). أيُّ مستخدمٍ مسجَّلٍ من أي إدارة (مخازن · بلاغات · موردون) يفتح لوحةَ جاهزية الأسطول كاملةً بأسماء المعدات وحالاتها.</t>
  </si>
  <si>
    <t xml:space="preserve">الفخُّ ①: الشاشةُ مسجَّلةٌ في `modules` (id 196) فـ`enforce_current_page_view_permission()` في insidebar.php:12-14 تحجب وتُنهي؛ و`role_permissions` تمنح can_view للدورين 1 و3 فقط — فأيُّ دورٍ آخر يُعاد توجيهُه بـGOV-PERM-403.</t>
  </si>
  <si>
    <t xml:space="preserve">includes/permissions_helper.php:701; :763-772; :275-320; database/schema/seed_reference.sql:247; :1388-1389; Fleet/readiness_board.php:34</t>
  </si>
  <si>
    <t xml:space="preserve">REF-029</t>
  </si>
  <si>
    <t xml:space="preserve">السلسلةُ ليست مقطوعة: القيدُ الآليُّ يُولَّد من شاشة الأحداث المالية عند الاعتماد؛ الملاحظةُ الصحيحةُ الوحيدةُ أن التوليدَ ليس تلقائيًّا من مسار الإهلاك. — [مُصحَّح بعد التحقق] الصياغة الأولى: احتسابُ الإهلاك ينشر الحدثَ expense.depreciation.recorded (DepreciationService.php:405) ولا مستهلكَ لهذا المفتاح في شيفرة التشغيل — بحثٌ شاملٌ يجد المفتاحَ في الخدمة نفسِها وفي اختبارٍ وفي بذرةٍ فقط. </t>
  </si>
  <si>
    <t xml:space="preserve">حدثُ الإهلاك يُنشر في fin_financial_events بنوعٍ legacy_event_type='expense' فيستهلكه RoutingConsumer المسجَّلُ في cron_events.php، ويولَّد قيدُه عبر fin_auto_journal من Finance/events_list_fin.php:275 عند الاعتماد النهائي — فالسلسلةُ قائمةٌ بخطوةِ اعتمادٍ محكومة.</t>
  </si>
  <si>
    <t xml:space="preserve">app/Services/Finance/DepreciationService.php:213; app/Services/Finance/DepreciationService.php:405; Finance/fin_helpers.php:642; Finance/journal_form_fin.php:177; tools/act_seed_contracts.php:145</t>
  </si>
  <si>
    <t xml:space="preserve">REF-030</t>
  </si>
  <si>
    <t xml:space="preserve">الشاشةُ محصورةٌ بثلاثة أدوارٍ عبر role_permissions؛ النقصُ الحقيقيُّ أنها لا تستدعي OwnershipDomainGuard فلا منحَ فرديًّا لكل حقلٍ ولا سطرَ اطّلاعٍ في sensitive_read_log، وأن كتابةَ POST (السطر 92) تسبق الحارس. — [مُصحَّح بعد التحقق] الصياغة الأولى: شاشةُ «الأعيان المموَّلة» تعرض عمودَي «قيمة الشراء» و«رأس المال المموَّل» (الفهرسان 6 و7 في $COLS) ولا تستدعي OwnershipDomainGuard إطلاقًا: حارسُها الوحيد هو وجودُ الجلسة و company_id&gt;0 (الأسطر 20-26)</t>
  </si>
  <si>
    <t xml:space="preserve">الشاشةُ مسجَّلةٌ موديولًا 267 (seed_reference.sql:315) ومصفوفةُ الصلاحيات تحصرها في الأدوار 3 و10 عرضًا و26 كتابةً (seed_reference.sql:1799-1801)، و enforce_current_page_view_permission القادمُ مع insidebar (السطر 131) يحوّل أيَّ دورٍ آخرَ قبل طباعةِ أيِّ صف — فلا «تُعرض لكل من يفتح الرابط داخل الشركة».</t>
  </si>
  <si>
    <t xml:space="preserve">Equipments/fin_assets.php:99; Equipments/fin_assets.php:131; database/schema/seed_reference.sql:315; database/schema/seed_reference.sql:1799-1801; includes/permissions_helper.php:770</t>
  </si>
  <si>
    <t xml:space="preserve">REF-031</t>
  </si>
  <si>
    <t xml:space="preserve">تفاصيل المعدة (نقطة نهاية JSON)</t>
  </si>
  <si>
    <t xml:space="preserve">النقاطُ الثلاثُ محروسةٌ مركزيًّا: سجل action_guard + enforce ⇒ 403 JSON لغير المخوَّل قبل تنفيذ المعالج. — [مُصحَّح بعد التحقق] الصياغة الأولى: Equipments/get_equipment_details.php لا يستدعي check_page_permissions ولا أي فحصِ وحدة (بحثٌ في الملف = صفر)؛ الحارسُ الوحيدُ هو isset($_SESSION['user']) في السطر 5. وكذلك Equipments/get_model_data.ph</t>
  </si>
  <si>
    <t xml:space="preserve">فخُّ الحارس المركزي: النقاطُ الثلاثُ مسجَّلةٌ في includes/action_guard.php:61-64 بفعل view على موديولات 'Equipments/'، وكلُّها تُضمِّن config.php (:9 · :15 · :12) الذي يستدعي ems_enforce_action_permission، والقيمةُ الحية EMS_ACTION_GUARD=enforce موثَّقةٌ في docs/ROLES_AND_PERMISSIONS_GUIDE_ar.md:400 و521.</t>
  </si>
  <si>
    <t xml:space="preserve">Equipments/get_equipment_details.php:5; Equipments/get_equipment_details.php:9; Equipments/get_model_data.php:1; Equipments/get_contract_stats.php:1; includes/handler_guard.php:1</t>
  </si>
  <si>
    <t xml:space="preserve">REF-032</t>
  </si>
  <si>
    <t xml:space="preserve">أحكام العميل والمورد والمشغّل</t>
  </si>
  <si>
    <t xml:space="preserve">الصفّان ظاهران بمنحةِ عرضٍ نافذةٍ للدور 11 — فالمسألةُ تصميمُ منحةٍ لا مخالفةُ قاعدةِ ظهور، ولا نصَّ في القاموس يحدّد عارضي `Finance/unit_records_fin.php`. — [مُصحَّح بعد التحقق] الصياغة الأولى: سايدبار دور ١١ «مشغل اسطول» يعرض بابَين لشاشاتٍ لا يملكها الأسطول: «أحكام العميل والمورد والمشغّل» (Finance/unit_records_fin.php — مملوكةٌ للمالية والخزينة) و«الموردون» (Suppliers/suppliers.php — مملو</t>
  </si>
  <si>
    <t xml:space="preserve">القاعدةُ المستشهَدُ بها أُسيء فهمُها: «لا يُعرض عنصرٌ لا يملكه المستخدم» تعني انعدامَ الصلاحية، والدورُ 11 يملك can_view=1 على المودولين (105 · 22)؛ والوثيقةُ نفسُها تُقرّ «مالكٌ واحدٌ وعارضون بزوايا مختلفة».</t>
  </si>
  <si>
    <t xml:space="preserve">database/schema/seed_reference.sql:3645 (nav#138); :3986 (nav#946)</t>
  </si>
  <si>
    <t xml:space="preserve">REF-033</t>
  </si>
  <si>
    <t xml:space="preserve">المجموعةُ الثالثةُ في سايدبار دور ٣ تحوي رابطًا واحدًا فقط هو «إسناد المعدات للوحدات» (Operations/containers.php) — أي شاشةً مملوكةً لإدارة التشغيل؛ ولا رابطَ لأمر الترحيل (Transport/) ولا لشاشةٍ ثالثة.</t>
  </si>
  <si>
    <t xml:space="preserve">المرحلةُ الثالثةُ للدور 3 مجموعتان لا واحدة (link_groups 3524 «التوزيع والإسناد» و3525 «الترحيل») وفيها ثلاثةُ روابطَ حيةٍ: Operations/distribution_space.php و Operations/containers.php و Transport/transfer_orders_list.php «أوامر الترحيل» — أي العددُ المعلَنُ نفسُه ومعه رابطُ أمر الترحيل الذي ادُّعي غيابُه.</t>
  </si>
  <si>
    <t xml:space="preserve">database/schema/seed_reference.sql:3161-3162; :4478; :4479; :4480</t>
  </si>
  <si>
    <t xml:space="preserve">REF-034</t>
  </si>
  <si>
    <t xml:space="preserve">قراءات العدّادات</t>
  </si>
  <si>
    <t xml:space="preserve">أفعالُ الشاشة (record و reset) تُنفَّذ عبر MeterReadingService بلا أي مفتاحِ عطالةٍ يُمرَّر من الطلب: لا حقلَ idempotency في النموذج ولا في المعالج (الأسطر 73-98)، ورمزُ الحماية جلسيٌّ قابلٌ لإعادة الاستعمال (includes/security.php:233).</t>
  </si>
  <si>
    <t xml:space="preserve">العطالةُ منفَّذةٌ بمفتاحٍ طبيعيٍّ مركَّب: `MeterReadingService::record()` يرفض القراءةَ المكررة (معدة × نوع × تاريخ) برمز 409 **ويعيد مرجعَ الأثر الأول** (رقمَه وقيمتَه) — وهو نصُّ AR-04 حرفيًّا؛ و`reset` بابُه منفصلٌ محروسٌ بـcan_edit.</t>
  </si>
  <si>
    <t xml:space="preserve">app/Services/Fleet/MeterReadingService.php:74-81; Equipments/meter_readings.php:73; :86</t>
  </si>
  <si>
    <t xml:space="preserve">REF-035</t>
  </si>
  <si>
    <t xml:space="preserve">العيبُ الحقيقيُّ أصغرُ ومختلف: مخطَّطُ التثبيت schema.sql لا يحمل أيَّ قيدِ CHECK مسمًّى (صفرُ نتيجةٍ لـ`CONSTRAINT ... CHECK`)، فالتركيبُ من الصفر يفقد القيودَ البنيوية كلَّها لا قيدَ الذمم وحدَه. — [مُصحَّح بعد التحقق] الصياغة الأولى: تعليقُ الشيفرة في Finance/dues_fin.php:70 يصرّح: «والقيدُ البنيويُّ ck_dues_debit_source يرفضه الآن في القاعدة، فالفحصُ هنا رسالةٌ للمستخدم لا حارسٌ وحيد». والقيدُ غيرُ موجود: تعريفُ CREATE TABLE `fin</t>
  </si>
  <si>
    <t xml:space="preserve">الفحصُ التطبيقيُّ حيٌّ ويمنع فعلًا: Finance/dues_fin.php:82-95 يخرج بـ`ems_gov_flash_redirect`+exit قبل الإدراج لكلِّ خصمٍ بلا مستند؛ كما أن استنتاجَ «القيدُ غيرُ موجود» من schema.sql باطل — فالمُفرِّغُ يُسقط كلَّ قيود CHECK المسمّاة (مثالٌ محقَّق: `permission_exceptions` في schema.sql:7533-7550 بلا `chk_bg_24h` رغم إنشائها به في database/migrations/2026_08_02_sec01_structure.sql:155)، وtests/dues_source_doc_test.php:57-61 يختبر وجودَ القيد حيًّا.</t>
  </si>
  <si>
    <t xml:space="preserve">Finance/dues_fin.php:82-95; database/schema/schema.sql:7533-7550; database/migrations/2026_08_02_sec01_structure.sql:155; tests/dues_source_doc_test.php:57</t>
  </si>
  <si>
    <t xml:space="preserve">REF-036</t>
  </si>
  <si>
    <t xml:space="preserve">القراءةُ تسبق الحارس لكنها لا تُعرض: ems_gov_flash_redirect ينهي الطلبَ بـexit قبل أي إخراج. — [مُصحَّح بعد التحقق] الصياغة الأولى: Finance/entitlement_gate.php لا يستدعي check_page_permissions ولا fin_page_perms ولا أي فحصِ وحدة؛ الحارسُ الوحيدُ isset($_SESSION['user']) في السطر 11، ثم يقرأ مباشرةً من fin_dues بنطاق الشركة (السطر</t>
  </si>
  <si>
    <t xml:space="preserve">فخُّ ①: Finance/entitlement_gate.php مسجَّلٌ موديول 270 في modules، فـinsidebar (السطر 31) يستدعي enforce_current_page_view_permission التي تحجب وتُنهي التنفيذ بـexit قبل تصيير أي بيان — فالشاشةُ تُفتح بوحدة صلاحيتها المسجَّلة.</t>
  </si>
  <si>
    <t xml:space="preserve">Finance/entitlement_gate.php:11; :31; database/schema/seed_reference.sql:318 (modules id 270); includes/permissions_helper.php:770-772</t>
  </si>
  <si>
    <t xml:space="preserve">REF-037</t>
  </si>
  <si>
    <t xml:space="preserve">استقبال معاملات الإدارات</t>
  </si>
  <si>
    <t xml:space="preserve">النشرُ يقع من الإدارتين المنتِجتين آليًّا؛ الزرّان اليدويّان مصالِحٌ لما فشل نشرُه. — [مُصحَّح بعد التحقق] الصياغة الأولى: الشاشةُ تعمل بنموذج السحب المعلَن في عنوانها «استقبال معاملات الإدارات (نموذج السحب)» (السطر 157): زرّان يدويّان (gen_proc و gen_mnt في الأسطر 124 و130) يمسحان أوامرَ المشتريات والصيانة ويولّدان لها أ</t>
  </si>
  <si>
    <t xml:space="preserve">فخّا ⑥ و⑨: الإدارةُ المنتِجةُ تنشر من منبعها — Maintenance/orders.php:345 ينشر عند الإقفال وProcurement/proc_helpers.php:398 ينشر عند الاستلام النهائي؛ وimport_events_fin.php قناةُ لحاقٍ مصرَّحٌ بها في تعليق الملف (:110) لما تعثّر نشرُه، لا بديلٌ عن النشر.</t>
  </si>
  <si>
    <t xml:space="preserve">Maintenance/orders.php:345; Procurement/proc_helpers.php:398; Finance/import_events_fin.php:92; :110</t>
  </si>
  <si>
    <t xml:space="preserve">REF-038</t>
  </si>
  <si>
    <t xml:space="preserve">البوابةُ مفعّلةٌ في البيئة الحية (on)، فالمروحةُ مؤجَّلةٌ إلى ختم المالية عبر Finance/unit_records_fin.php؛ والافتراضُ 'off' في الشيفرة مسارُ تراجعٍ لا سلوكٌ مشحون. — [مُصحَّح بعد التحقق] الصياغة الأولى: علَمُ بوابة التحويل المالي EMS_UNIT_CONVERT_GATE قيمتُه الافتراضيةُ 'off' في includes/timesheet_event_hook.php:157، فتنطلق مروحةُ الأثر المالي تلقائيًّا عند اكتمال الاعتماد التشغيلي (السطر 166 وما بعد</t>
  </si>
  <si>
    <t xml:space="preserve">السطر 157 يحمل الافتراضَ 'off' في الشيفرة، لكن وثائقَ المستودع تُثبت أن التوزيعَ الحيَّ EMS_UNIT_CONVERT_GATE=on (docs/D04_FINANCE_AUDIT_REPORT_ar.md:150 · docs/SUPPLIERS_DEPARTMENT_AUDIT_REPORT_ar.md:387,538 «بوابةُ التحويل تعمل كما صُمّمت» · docs/ARCHITECTURE_CURRENT_SYSTEM_v8_ar.md:159)، وشارةُ unit_records_fin.php:139 لا تُطبع إلا حين تكون البوابةُ مطفأة؛ كما أن الملاحظةَ تناقض الملاحظةَ 49 (لو كان EMS_EVENT_HOOKS=off لما بلغ التنفيذُ السطرَ 156 أصلًا).</t>
  </si>
  <si>
    <t xml:space="preserve">includes/timesheet_event_hook.php:156-164; Finance/fin_helpers.php:1088-1092; docs/ARCHITECTURE_CURRENT_SYSTEM_v8_ar.md:159</t>
  </si>
  <si>
    <t xml:space="preserve">REF-039</t>
  </si>
  <si>
    <t xml:space="preserve">المستخلصات والمطالبات / فواتير العملاء</t>
  </si>
  <si>
    <t xml:space="preserve">الفاتورةُ تولّد الذمّةَ آليًّا بعطالتها؛ الباقي الصحيحُ جوازُ الإدخال اليدويِّ بمرجعٍ حرّ. — [مُصحَّح بعد التحقق] الصياغة الأولى: الحلقةُ الأخيرةُ مقطوعة: fin_receivables (الذمّة) لا تُنشأ من الفاتورة بل تُدخَل يدويًّا في Finance/dues_fin.php:124 بمرجعٍ نصيٍّ حرٍّ doc_ref (السطر 113)، ولا يوجد كاتبٌ آخرُ لهذا الجدول من مسار الفو</t>
  </si>
  <si>
    <t xml:space="preserve">الحلقةُ ليست مقطوعة: Contracts/claim_helpers.php:1139-1170 يُنشئ صفَّ fin_receivables من الفاتورة المولَّدة عن المستخلص بمفتاحِ عطالةٍ على doc_ref ويربطه بـclaims.receivable_id (تستهلكه CommercialBoardService:87-91). فادعاءُ «لا كاتبَ آخرَ من مسار الفوترة» باطل.</t>
  </si>
  <si>
    <t xml:space="preserve">Contracts/claim_helpers.php:1144-1151; app/Services/Contract/CommercialBoardService.php:87-91</t>
  </si>
  <si>
    <t xml:space="preserve">REF-040</t>
  </si>
  <si>
    <t xml:space="preserve">نماذج التمويل / تغيّرات العقود / علاقات الملكية</t>
  </si>
  <si>
    <t xml:space="preserve">أربعُ شاشاتٍ محصورةٌ بأدوارِ التمويل والصلاحيات عبر role_permissions، لكنها لا تستدعي OwnershipDomainGuard فلا منحَ فرديًّا لكلِّ حقلٍ ولا سجلَّ اطّلاع، وكتابةُ POST فيها تسبق حارسَ العرض. — [مُصحَّح بعد التحقق] الصياغة الأولى: أربعُ شاشاتٍ في نطاق التمويل والملكية بلا أي حارسِ مجالٍ مقيَّدٍ وبلا حتى check_page_permissions: Financing/fin_models.php و Financing/fin_changes.php و Financing/ownership_links.php و Equipments/fin_</t>
  </si>
  <si>
    <t xml:space="preserve">الشاشاتُ الأربعُ مسجَّلةٌ موديولاتٍ (267 · 273 · 274 · 277 في seed_reference.sql:315,321,322,325) ومصفوفةُ الصلاحيات تحصرها في الدور 26 (والدور 15 لعلاقات الملكية والدورين 3 و10 عرضًا للأعيان)، و enforce_current_page_view_permission في insidebar يحوّل سواها — فادعاءُ «لأي مستخدمٍ مسجَّلٍ أيًّا كانت إدارتُه» باطل.</t>
  </si>
  <si>
    <t xml:space="preserve">database/schema/seed_reference.sql:315,321,322,325; database/schema/seed_reference.sql:1799-1801,1848,1849,1857,1858; includes/permissions_helper.php:770; Financing/fin_models.php:119</t>
  </si>
  <si>
    <t xml:space="preserve">REF-041</t>
  </si>
  <si>
    <t xml:space="preserve">صندوقُ الاعتماد ومساحةُ العمل موجودان في سايدبار الدور 26. — [مُصحَّح بعد التحقق] الصياغة الأولى: سايدبار دور ٢٦ «إدارة التمويل» لا يحوي أي رابطٍ لصندوق اعتماد: لا Finance/approvals_inbox.php ولا Approvals/hours_approval.php ولا Portal/approvals_inbox.php. ومجموعتُه الأولى (لوحة الإدارة) تحوي أربع</t>
  </si>
  <si>
    <t xml:space="preserve">باطلٌ نصًّا: للدور 26 صفٌّ نشطٌ لـFinance/approvals_inbox.php بعنوان «صندوق ما ينتظر اعتمادي» في المرحلة 7، ومجموعتُه صفر تحوي خمسةَ عناصرَ نشطةٍ فيها «طلباتي» (FinRequests/my_requests.php) و«مهامي» و«إنجازي» و«بوابتي» و«المراسلات».</t>
  </si>
  <si>
    <t xml:space="preserve">database/schema/seed_reference.sql (nav_items للدور 26: Finance/approvals_inbox.php وgroup stage 0)</t>
  </si>
  <si>
    <t xml:space="preserve">REF-042</t>
  </si>
  <si>
    <t xml:space="preserve">بيانات الموظف (نقطة نهاية JSON)</t>
  </si>
  <si>
    <t xml:space="preserve">النقطةُ محروسةٌ بحارسِ الأفعال المركزيِّ (can_view على Employees/) وبعزلِ البوابة؛ العيبُ المتبقي أن الصفَّ يُعاد كاملًا بلا تقنيعٍ للراتب والرقم القومي لمن يملك عرضَ شاشات الموظفين. — [مُصحَّح بعد التحقق] الصياغة الأولى: Employees/get_employee_data.php يعيد صفَّ الموظف كاملًا: $emp_data_gate-&gt;selectOne('employees', array('where'=&gt;array('id'=&gt;$employee_id))) في السطر 33 ثم json_encode للصفِّ كلِّه في السطر 50 — بما فيه</t>
  </si>
  <si>
    <t xml:space="preserve">الفاحصُ أغفل الحارسَ المركزيَّ لنقاط AJAX: config.php:391 يعدّ كلَّ `get_*.php` نقطةَ AJAX، وconfig.php:460-465 يستدعي `ems_enforce_action_permission` وincludes/action_guard.php:72 يسجّل `employees/get_employee_data.php` بموديول `Employees/` وفعل view — وكلُّ ذلك ينفَّذ عند `include '../config.php'` (سطر 15) أي قبل القراءة في السطر 33؛ كما أن `ems_tenant_db()` يعزل الصفَّ بالشركة.</t>
  </si>
  <si>
    <t xml:space="preserve">Employees/get_employee_data.php:15; :31; :33; config.php:380-391; config.php:460-465; includes/action_guard.php:72</t>
  </si>
  <si>
    <t xml:space="preserve">REF-043</t>
  </si>
  <si>
    <t xml:space="preserve">مسيّر الرواتب — زر الرجوع</t>
  </si>
  <si>
    <t xml:space="preserve">زرُّ الرجوع يقود إلى شاشةٍ يملك الدورُ 4 عليها can_view/can_add/can_edit؛ فلا وصولَ إلى «خارج النطاق» — القائمُ أن الرابطَ غيرُ مبذورٍ في سايدباره (nav_items active=0). — [مُصحَّح بعد التحقق] الصياغة الأولى: زرُّ «رجوع» في شاشة مسيّر الرواتب يشير إلى contract_registry.php (السطر 182) — أي Workforce/contract_registry.php الظاهرةُ في سايدبار دور ٩ «الإدارة التنفيذية» وحدَه، وليست في سايدبار دور ٤. فمستخدمُ </t>
  </si>
  <si>
    <t xml:space="preserve">الوجهةُ ليست خارجَ نطاق الدور 4: role_permissions يحمل (role 4 · module 151) بـcan_view=1 و can_add=1 و can_edit=1 — فالشاشةُ تُفتح له فعلًا، وغيابُها من سايدباره سببُه active=0 لصفِّه لا انعدامُ الصلاحية. كما أن الصفوفَ الفعّالةَ لثلاثة أدوار (9·12·15) لا للدور 9 وحدَه.</t>
  </si>
  <si>
    <t xml:space="preserve">Workforce/payroll_runs.php:182; Workforce/contract_registry.php:1; database/schema/seed_reference.sql:4137</t>
  </si>
  <si>
    <t xml:space="preserve">REF-044</t>
  </si>
  <si>
    <t xml:space="preserve">الملف الشخصي للموظف — إدارة الحساب</t>
  </si>
  <si>
    <t xml:space="preserve">Employees/employee_profile.php يشتقّ صلاحيةَ إدارة الحسابات من وحدةٍ أخرى: $acc_perms = check_page_permissions($conn,'main/users.php') و $can_manage_accounts = !empty($acc_perms['can_edit']) في السطرين 90-91؛ فمن يملك تعديلَ شاشة حسابات المستخدمين يدير الحساباتِ من داخل شاشة الموارد البشرية. والشاشةُ نفسُها بلا فحصِ وحدةٍ خاصةٍ بها (لا check_page_permissions لوحدة Employees).</t>
  </si>
  <si>
    <t xml:space="preserve">لا يتحقّق الأثر: `role_permissions` تمنح can_edit على `main/users.php` للدورين 1 و15 فقط — فدورُ الموارد البشرية (4) لا يحصل على `$can_manage_accounts` أصلًا؛ والشاشةُ مسجَّلةٌ في modules (id 64) فعرضُها محروسٌ مركزيًّا عبر insidebar.</t>
  </si>
  <si>
    <t xml:space="preserve">Employees/employee_profile.php:90-91; database/schema/seed_reference.sql:116 (module 64) و role_permissions لوحدة main/users.php</t>
  </si>
  <si>
    <t xml:space="preserve">REF-045</t>
  </si>
  <si>
    <t xml:space="preserve">ساعات المشروع / عقود الموظف (نقاط نهاية)</t>
  </si>
  <si>
    <t xml:space="preserve">ثلاثُ نقاطِ نهاية JSON في مجلد Employees تعتمد فحصًا واحدًا فقط لا يرتبط بوحدةِ شاشةٍ مسجَّلة: Employees/get_project_hours.php و Employees/get_mine_contracts.php و Employees/get_employee_contract_equipments.php — وكلٌّ منها يعيد بيانَ عقودٍ وساعاتٍ ومعداتٍ لموظفٍ بمعرّفه من GET/POST.</t>
  </si>
  <si>
    <t xml:space="preserve">الإصلاحُ المقترحُ منفَّذٌ سلفًا حرفيًّا: الملفاتُ الثلاثةُ تستدعي ems_guard_handler($conn,'Employees/employee_contracts.php','view') في السطر 14، وهي مسجَّلةٌ فوق ذلك في السجل المركزي includes/action_guard.php:73-75 الذي يفرضه config.php:460-465.</t>
  </si>
  <si>
    <t xml:space="preserve">Employees/get_project_hours.php:14; Employees/get_mine_contracts.php:14; Employees/get_employee_contract_equipments.php:14; includes/action_guard.php:73-75</t>
  </si>
  <si>
    <t xml:space="preserve">REF-046</t>
  </si>
  <si>
    <t xml:space="preserve">سجلٌّ ورقيٌّ لا بابٌ خلفي: الصفُّ يُكتب في scr_break_glass ولا يُترجَم إلى أيِّ صلاحيةٍ نافذة؛ والعيبُ أن الشاشةَ غيرُ موصولةٍ بـBreakGlassService لا أن الموافقتين تُستوفيان بمربّعي نص. — [مُصحَّح بعد التحقق] الصياغة الأولى: «الموافق الأول» و«الموافق الثاني» حقلا نصٍّ حرّ (input type=text) يملؤهما الطالبُ نفسه في نفس النموذج ونفس الطلب. لا مسارَ موافقةٍ ولا مستخدمَين حقيقيَّين ولا تحققَ من أن الموافقَين مختلفان عن الطالب </t>
  </si>
  <si>
    <t xml:space="preserve">الحقلان النصيّان موجودان كما وُصف (:160-163)، لكن الشاشةَ لا تمنح شيئًا: حفظُها cmp03_store_insert في scr_break_glass (:73-84)، وبحثُ scr_break_glass في المستودع لا يُرجع أيَّ قارئٍ — فلا حارسَ يقرأ الاسمين. ومنحُ الطوارئ الحقيقيُّ في BreakGlassService (بـSelfGrantGuard::checkGrant :33 وpermission_exceptions) وهو غيرُ موصولٍ بهذه الشاشة.</t>
  </si>
  <si>
    <t xml:space="preserve">Governance/break_glass.php:73-84,160-163; app/Services/Security/BreakGlassService.php:33-76; app/Services/Security/PermissionResolver.php:157-164</t>
  </si>
  <si>
    <t xml:space="preserve">REF-047</t>
  </si>
  <si>
    <t xml:space="preserve">الجدولُ يُستشار ويُنفَّذ سقفُه في خمسةِ مواضعَ اعتماد، لكنّ التغطيةَ ضيقةٌ والإنفاذُ معلَّقٌ على تفعيل عنصر `signing_caps` للكيان — فالعيبُ اتّساعُ التغطية لا انعدامُ القراءة. — [مُصحَّح بعد التحقق] الصياغة الأولى: INSERT INTO signing_authorities يُنشئ صفَّ تفويضٍ بسقفٍ نقديٍّ (amount_cap)، لكن لا نقطةَ اعتمادٍ واحدةٍ في النظام تستشير الجدول: البحثُ في نقاط الاعتماد السبعٍ والعشرين لا يُرجع أيَّ قراءةٍ لـsigning</t>
  </si>
  <si>
    <t xml:space="preserve">الادّعاءُ يسقط عند الملف الذي استشهد به الفاحصُ نفسُه: app/Core/AuthorityGuard.php:74-82 يقرأ `signing_authorities` بنافذةِ سريانها، و:92-98 يرفض 403 بلا تفويضٍ و409 فوق amount_cap عند تفعيل عنصر `signing_caps`، وتُستدعى `AuthorityGuard::sign` من خمسةِ مواضعَ إنتاجية (UnitJourneyService.php:72 و:206 · UnitStateChangeService.php:239 و:309 · ExceptionService.php:128)؛ كما أن ContractStateMachine.php:197-219 يكتب `signing_authority_ref` على العقد.</t>
  </si>
  <si>
    <t xml:space="preserve">app/Core/AuthorityGuard.php:74-98; app/Services/Policy/UnitJourneyService.php:72; app/Services/Governance/UnitStateChangeService.php:239; app/Services/Governance/ExceptionService.php:128</t>
  </si>
  <si>
    <t xml:space="preserve">REF-048</t>
  </si>
  <si>
    <t xml:space="preserve">أفعال M-14</t>
  </si>
  <si>
    <t xml:space="preserve">معالجُ AJAX حيٌّ يُستدعى من guard_denials.php:213 و gov_dept_gov.php:36 ومسجَّلٌ في خريطة أفعال u12 — لا ملفٌّ بلا منفذ. — [مُصحَّح بعد التحقق] الصياغة الأولى: الملف موجودٌ على القرص وقابلٌ للفتح بالرابط المباشر، لكن لا صفَّ nav_items يشير إليه في أيٍّ من السايدبارات التسعة والعشرين، ولا رابطَ واردٌ من أيِّ شاشةٍ أخرى.</t>
  </si>
  <si>
    <t xml:space="preserve">الملفُّ ليس شاشةً بل معالجُ أفعالٍ AJAX/POST بنصِّ ترويسته (السطر 3) يعيد JSON — فلا يُتوقَّع له صفُّ nav_items. وادعاءُ «لا رابطَ واردٌ من أيِّ شاشة» مردود: يُستدعى من Governance/guard_denials.php:213 بـfetch ومن Governance/gov_dept_gov.php:36 ومسجَّلٌ في خريطة الأفعال tools/u12_setup.php:116-119.</t>
  </si>
  <si>
    <t xml:space="preserve">Governance/gov_m14_actions.php:1; database/schema/seed_reference.sql (لا صفَّ nav_items بمسار Governance/gov_m14_actions.php)</t>
  </si>
  <si>
    <t xml:space="preserve">REF-049</t>
  </si>
  <si>
    <t xml:space="preserve">التراخيص والكفالات</t>
  </si>
  <si>
    <t xml:space="preserve">المتبقّي فرقُ ترتيبٍ (الوثيقةُ تضعها في المرحلة ٢ والنظامُ في المرحلة ١) وظهورٌ إضافيٌّ للدور 26 داخل مجموعة الاحتياط. — [مُصحَّح بعد التحقق] الصياغة الأولى: الشاشة غائبةٌ كليًّا عن سايدبار الدور 15 — بل إن المرحلةَ الثانية نفسَها غيرُ موجودة: سايدبار الحوكمة يقفز من stage 1 «أولًا: الكيانات والملكية» إلى stage 3 «ثالثًا: الحسابات والأدوار». والشاشة موضوعة</t>
  </si>
  <si>
    <t xml:space="preserve">الادعاءان الرئيسان ساقطان: للدور 15 صفُّ nav_items حيٌّ (6762) على Governance/licenses_guarantees.php ضمن مجموعةٍ باسم «التراخيص والكفالات» (link_groups 3829)، والمرحلةُ الثانيةُ موجودةٌ للدور 15 باسم «ثانيًا: التفويض بالتوقيع» (link_groups 3830).</t>
  </si>
  <si>
    <t xml:space="preserve">database/schema/seed_reference.sql:3468; :3469; :4941; :3922</t>
  </si>
  <si>
    <t xml:space="preserve">REF-050</t>
  </si>
  <si>
    <t xml:space="preserve">سجل الشركات والكيانات</t>
  </si>
  <si>
    <t xml:space="preserve">المرحلةُ الأولى للدور 15 تحوي أربعةَ روابطَ أولُها سجلُّ الكيانات. — [مُصحَّح بعد التحقق] الصياغة الأولى: مجموعة «أولًا: الكيانات والملكية» في سايدبار الدور 15 تحوي رابطين ليس فيهما سجلُّ الكيانات: «سجل الأسماء المعتمدة» (Governance/canonical_names.php) و«علاقات الملكية بين الكيانات» (Financing/ownership_</t>
  </si>
  <si>
    <t xml:space="preserve">باطل: للدور 15 صفٌّ نشطٌ «سجل الشركات والكيانات» بمسار Governance/entities_registry.php#cmp03 وهو أولُ عناصر مجموعة المرحلة الأولى «الكيانات». يبدو أن الفاحصَ بحث عن المسار بلا لاصقةِ المرساة #cmp03.</t>
  </si>
  <si>
    <t xml:space="preserve">database/schema/seed_reference.sql (nav_items للدور 15، group stage_no=1 «الكيانات»)</t>
  </si>
  <si>
    <t xml:space="preserve">REF-051</t>
  </si>
  <si>
    <t xml:space="preserve">شاشات الحوكمة الكاتبة بلا حارس (خمس شاشات)</t>
  </si>
  <si>
    <t xml:space="preserve">شاشةٌ واحدةٌ (break_glass.php) تكتب بلا حارسِ دورٍ ولا صلاحية، وكتابتُها سجلٌّ نصيٌّ بلا أثرِ صلاحية؛ والأربعُ الأخرى محروسةٌ بأرقام أدوارٍ صريحةٍ قبل الكتابة. — [مُصحَّح بعد التحقق] الصياغة الأولى: خمسُ شاشاتٍ في مجلد Governance/ تكتب في قاعدة البيانات ولا تستدعي check_page_permissions ولا ems_require_governance_screen إطلاقًا: entities_registry.php · licenses_guarantees.php · activation_pattern</t>
  </si>
  <si>
    <t xml:space="preserve">أربعٌ من الخمس تحمل حارسًا خادميًّا صريحًا قبل الكتابة: entities_registry.php:21-27 و licenses_guarantees.php:19-26 و activation_patterns.php:19-20 و ownership_grants.php:27-28 (كلُّها تحصر الوصولَ في -1/1/19 وتفصل POST)، و Governance/access_review.php:34 — المستشهَدُ به دليلًا — يستدعي check_page_permissions فعلًا ويحجب POST في السطر 41. الوحيدةُ بلا حارسٍ هي break_glass.php، وكتابتُها صفٌّ سرديٌّ في scr_break_glass لا يمنح شيئًا.</t>
  </si>
  <si>
    <t xml:space="preserve">Governance/entities_registry.php:21-27; Governance/licenses_guarantees.php:19-26; Governance/activation_patterns.php:19-20; Governance/ownership_grants.php:27-28; Governance/access_review.php:34,41; Governance/break_glass.php:24-27,73-84</t>
  </si>
  <si>
    <t xml:space="preserve">REF-052</t>
  </si>
  <si>
    <t xml:space="preserve">شاشات المراجع الداخلي المستقل الست عشرة</t>
  </si>
  <si>
    <t xml:space="preserve">للدور 33 ستةَ عشرَ صفَّ nav_items بباب main (active=1) لكلِّ شاشات Audit/، وموديولاتُها 377-392 مسجَّلةٌ بمالكٍ 33 وis_link=1 — فالمنفذُ قائمٌ عبر المسار القديم لأن الدورَ 33 خارج EMS_NAV_UNIFIED_ROLES. — [مُصحَّح بعد التحقق] الصياغة الأولى: مجلد Audit/ يحوي ست عشرة شاشةً (iaf_charter · iaf_universe · iaf_plan · iaf_engagements · iaf_workpapers · iaf_findings · iaf_responses · iaf_action_plans · iaf_reports · iaf_closure · iaf_quality · i</t>
  </si>
  <si>
    <t xml:space="preserve">الادعاءُ الجوهري مكذوب: ستةَ عشرَ صفَّ nav_items فعّالًا للدور 33 (6913-6928) تشير إلى شاشات Audit/ الستَّ عشرةَ كاملة، والموديولات 377-392 مملوكةٌ للدور 33 بـis_link=1 فيصيّرها المسارُ القديم getDynamicNavLinks.</t>
  </si>
  <si>
    <t xml:space="preserve">database/schema/seed_reference.sql:5077-5092; :425-440; includes/dynamic_nav.php:97-107</t>
  </si>
  <si>
    <t xml:space="preserve">REF-053</t>
  </si>
  <si>
    <t xml:space="preserve">تفسير مصدر الصلاحية</t>
  </si>
  <si>
    <t xml:space="preserve">الباقي جزئي: التفسيرُ على مستوى (دور × شاشة) لا (مستخدم × مفتاح)، وبلا صفِّ سجلِّ اطّلاع — لا أن الشاشة «لا تفسّر شيئًا». — [مُصحَّح بعد التحقق] الصياغة الأولى: الشاشة نموذجُ CMP-03 عامّ: نموذجُ إضافةٍ حقولُه كلُّها نصٌّ حرّ (input type=text) يُحفظ صفًّا واحدًا في جدولِ عرضٍ عبر cmp03_store_insert، وجدولُ عرضٍ بخلايا نصٍّ بلا عمود إجراءات. لا تعديلَ ولا حذفَ </t>
  </si>
  <si>
    <t xml:space="preserve">الشاشةُ ليست نموذجَ CMP-03 صرفًا: تضمّ «المفسِّر الحي» (require perm_explain_live.php ونداء ems_explain_screen_access) الذي يعرض سلسلةَ المصدر بحكمِ كلِّ خطوةٍ ونتيجةَ السماح أو المنع.</t>
  </si>
  <si>
    <t xml:space="preserve">Governance/perm_explain.php:98; :102; :167-200</t>
  </si>
  <si>
    <t xml:space="preserve">REF-054</t>
  </si>
  <si>
    <t xml:space="preserve">أعلام التشغيل الحاكمة</t>
  </si>
  <si>
    <t xml:space="preserve">الأعلامُ الخمسةُ كلُّها موثَّقةٌ حيةً في وضعِ التفعيل؛ القيمةُ في الكود قيمةُ رجوعٍ لا قيمةُ إنتاج. الباقي مطلبُ توثيقٍ (لوحةُ أعلامٍ في بصمة الإصدار) لا عطلٌ في الضوابط. — [مُصحَّح بعد التحقق] الصياغة الأولى: خمسةُ أعلامٍ تحكم سلوكًا حاكمًا وقيمتُها الافتراضية في الكود تُعطّل الضابط: EMS_EVENT_HOOKS='off' (لا نشرَ حدثٍ عند اعتماد الساعات) · EMS_TS_WRITER='legacy' (تخطّي حرّاس الطاقة والوثائق وقفلِ النسخة) </t>
  </si>
  <si>
    <t xml:space="preserve">فخُّ أعلام البيئة بحرفيته: الوثائق تُثبت القيمَ الحية للأعلام الخمسة كلِّها في وضعِ التفعيل — EMS_EVENT_HOOKS=publish (ARCHITECTURE_v7:161) · EMS_TS_WRITER=service (DOCS_COMPLIANCE_AUDIT:47) · EMS_UNIT_DUAL_WRITE=on (SESSION_HANDOFF:9) · EMS_APPROVAL_BOX=on (UPDATE0001_SPRINT_01:43) · EMS_ACTION_GUARD=enforce (PHASE1_CLOSURE_REPORT:81). فالاستنتاجُ «الضوابطُ معطَّلة» ساقط.</t>
  </si>
  <si>
    <t xml:space="preserve">includes/timesheet_event_hook.php:34; app/Services/Unit/TimesheetEntryService.php:770; :695; Approvals/hours_approval_handler.php:98; includes/action_guard.php:143; includes/env.php:76</t>
  </si>
  <si>
    <t xml:space="preserve">REF-055</t>
  </si>
  <si>
    <t xml:space="preserve">السايدبار — العنصر النشط</t>
  </si>
  <si>
    <t xml:space="preserve">الخللُ الحقيقيُّ معاكس: روابطُ الملفِّ الواحد بمراسٍ مختلفةٍ تُضيء كلُّها معًا (كما رصد البند 33)، لا أنها لا تُضيء أبدًا. — [مُصحَّح بعد التحقق] الصياغة الأولى: تحديدُ العنصر النشط يتم في المتصفح بمقارنةِ مسارٍ حرفيةٍ تامة: يُقرأ window.location.pathname ويُقارَن بـhref كلِّ رابط. والروابطُ التي تحمل لاحقةَ مرساةٍ (#n9g13i1 وأخواتها — وهي وسيلةُ التحايل على ا</t>
  </si>
  <si>
    <t xml:space="preserve">المقارنةُ تستعمل a.pathname (خاصية DOM) لا نصَّ href، وهي تُسقط المرساةَ ومعاملاتِ الاستعلام تلقائيًّا — فالروابطُ ذاتُ المراسي تُطابق دائمًا، عكسَ ما يدّعيه البند.</t>
  </si>
  <si>
    <t xml:space="preserve">insidebar.php:507; :523; database/schema/schema.sql:6972; database/schema/seed_reference.sql (روابط بمراسٍ مثل Maintenance/orders.php#n9g13i1)</t>
  </si>
  <si>
    <t xml:space="preserve">REF-056</t>
  </si>
  <si>
    <t xml:space="preserve">ملفات شاشات بلا منفذ تنقل</t>
  </si>
  <si>
    <t xml:space="preserve">الظاهرةُ حقيقيةٌ لكن بحجمٍ أصغرَ بكثير، وسببُها في معظم الشواهد active=0 أو غيابُ المنحة أو بابٌ غيرُ معروف لا انعدامُ الصف. — [مُصحَّح بعد التحقق] الصياغة الأولى: جردُ الشاشات الحيّ يُظهر ٤٩١ ملفَّ شاشةٍ مقابل ٢٧٤ مسارًا مميزًا فقط في السايدبارات التسعة والعشرين مجتمعةً؛ أي أن أكثرَ من ٢٠٠ ملفِّ شاشةٍ بلا أيِّ منفذِ تنقل. في نطاق هذا التدقيق وحدَه: ٨ في Governa</t>
  </si>
  <si>
    <t xml:space="preserve">الأرقامُ لا تصمد: الجردُ الحيُّ يعطي 359 ملفَّ شاشةٍ و337 مسارًا في nav_items (329 فعّالًا) و70 ملفًا بلا صف؛ وأربعةٌ من الشواهد الثمانية لها صفوفُ nav (watchtower · return_to_service · housing_units · شاشات Audit الستَّ عشرةَ كلُّها) وثلاثةٌ مُحالٌ إليها من شاشاتٍ أخرى.</t>
  </si>
  <si>
    <t xml:space="preserve">Governance/gov_reports.php:1; Tickets/watchtower.php:1; Maintenance/return_to_service.php:1; Workforce/housing_units.php:1; Timesheet/view_timesheet.php:1; Oprators/oprators.php:1; Audit/iaf_findings.php:1; Settings/role_permissions.php:1</t>
  </si>
  <si>
    <t xml:space="preserve">REF-057</t>
  </si>
  <si>
    <t xml:space="preserve">شيفرةٌ ميتةٌ (ثلاثُ دوالَّ بلا نداء) تكتب مراجعَ نصيةً في ticket_effects؛ ومسارُ «بلاغ ← أمرُ عمل» الحيُّ قائمٌ في ticket_form.php بفعل issue_mnt_order. — [مُصحَّح بعد التحقق] الصياغة الأولى: الخدمةُ التي تنفّذ هذه السلسلة موجودةٌ بالكامل (TicketEffectService: onFaultReported ← approveTechnicalCause ← approveOperationalImpact) لكن ثلاثتَها بلا أيِّ نداءٍ إنتاجيّ: الملفُّ الوحيد الذي يستعمل</t>
  </si>
  <si>
    <t xml:space="preserve">صحيحٌ أن onFaultReported/approveTechnicalCause/approveOperationalImpact بلا نداءٍ إنتاجي، لكن الأثرَ المدَّعى مردود: Tickets/ticket_form.php:379-404 فيه فعلُ issue_mnt_order الذي يُنشئ صفَّ mnt_order حقيقيًّا بمصدر «بلاغ» ويربط التذكرةَ به ويسجّل حدثًا، وMaintenance/inspections.php:184-224 يحوّل ملاحظةَ الفحص إلى بلاغ — فالوصلُ بين البلاغات والصيانة قائمٌ في الاتجاهين. وأصلًا الخدمةُ غيرُ المستعملة تكتب مراجعَ نصيةً في ticket_effects لا أوامرَ عملٍ حقيقية.</t>
  </si>
  <si>
    <t xml:space="preserve">Tickets/ticket_form.php:379-415; Maintenance/inspections.php:184-224; app/Services/Tickets/TicketEffectService.php:16-46,51-70</t>
  </si>
  <si>
    <t xml:space="preserve">REF-058</t>
  </si>
  <si>
    <t xml:space="preserve">لوحة المسارات المتوازية — اعتماد السبب الفني</t>
  </si>
  <si>
    <t xml:space="preserve">دالةٌ مبنيةٌ بلا مستدعٍ إنتاجي: لا شاشةَ تعتمد السببَ الفنيَّ اليوم، فازدواجُ مصدرِ حقيقةِ أمرِ العمل احتمالٌ مستقبليٌّ لا واقعٌ حي. — [مُصحَّح بعد التحقق] الصياغة الأولى: approveTechnicalCause لا تُنشئ أمرَ عملٍ حقيقيًّا: تكتب صفًّا في ticket_effects بـeffect_type='work_order' وeffect_ref = السلسلة النصية 'WO-TK&lt;رقم البلاغ&gt;'. لا صفَّ في mnt_order، ولا رقمَ أمرٍ من سلطة</t>
  </si>
  <si>
    <t xml:space="preserve">وصفُ الدالة صحيحٌ حرفيًّا (TicketEffectService.php:57-70 تكتب effect_ref='WO-TK…' بلا صفٍّ في mnt_order)، لكن approveTechnicalCause بلا أيِّ مستدعٍ في كودِ الإنتاج: الشاشةُ المذكورة Tickets/ticket_workstreams_board.php لا تنادي إلا TE::recordLightEffect (السطر 48)، والمستدعي الوحيدُ tests/tkt_state_effect_test.php:75 — فالمسارُ غيرُ قابلٍ للبلوغ والأثرُ المزعوم لا يقع.</t>
  </si>
  <si>
    <t xml:space="preserve">app/Services/Tickets/TicketEffectService.php:57-70; Tickets/ticket_workstreams_board.php:48; tests/tkt_state_effect_test.php:75</t>
  </si>
  <si>
    <t xml:space="preserve">REF-059</t>
  </si>
  <si>
    <t xml:space="preserve">إغلاق البلاغ وتأكيده</t>
  </si>
  <si>
    <t xml:space="preserve">الرابطُ الوحيد في مجموعة «خامسًا: الإغلاق» عنوانُه «إغلاق البلاغ وتأكيده» ويقود إلى Tickets/admin_close.php — وهي شاشةُ الإغلاق الإداريِّ التي يعلن رأسُها عن نفسه: «للمكرر أو الملغى فقط · بسببٍ مكتوبٍ ومرجعِ الأصل · ولا يُستعمل لإغلاق ما لم يُنجَز». وهي ترفض صراحةً إغلاقَ البلاغ المنجَز (شرط stage in done/closed يردّ 403) وتضع الحالة 'cancelled' لا 'closed'. شاشةُ الإغلاق بتأكيد المبلِّغ غيرُ موجودةٍ في السايدبار، ومنطقُها مدفونٌ في لوحة المسارات تحت عنوان «التحويل والتفريع».</t>
  </si>
  <si>
    <t xml:space="preserve">الإغلاقُ بتأكيد المبلِّغ موجودٌ في Tickets/ticket_workstreams_board.php (زرُّ «أؤكد الإغلاق (مبلّغًا)» ⇐ TicketStateService::closeWorkstream بوضع reporter_confirm) وهو في سايدبار الدور 24 — فالخللُ تصنيفُ المجموعة الخامسة لا غيابُ الشاشة.</t>
  </si>
  <si>
    <t xml:space="preserve">Tickets/ticket_workstreams_board.php:50; :157; Tickets/admin_close.php:19-37</t>
  </si>
  <si>
    <t xml:space="preserve">REF-060</t>
  </si>
  <si>
    <t xml:space="preserve">بطاقة البلاغ</t>
  </si>
  <si>
    <t xml:space="preserve">الشاشةُ مبلوغةٌ فعلًا من مواضعَ عدة: الشريطُ العلويُّ العامُّ يبني رابطَها لكل صفحة (includes/topbar.php:210)، وOperations/operations_room.php:90 وMaintenance/orders.php:1042 وmain/global_search.php:44 — ولذلك أُعفيت صراحةً من حارس الوحدات (permissions_helper.php:741-743).</t>
  </si>
  <si>
    <t xml:space="preserve">includes/topbar.php:210; Operations/operations_room.php:90; Maintenance/orders.php:1042; main/global_search.php:44; includes/permissions_helper.php:741-743</t>
  </si>
  <si>
    <t xml:space="preserve">REF-061</t>
  </si>
  <si>
    <t xml:space="preserve">خريطة اشتقاق صندوق البلاغات</t>
  </si>
  <si>
    <t xml:space="preserve">`basename($_SERVER['SCRIPT_FILENAME'])===basename(__FILE__)` ⇒ http_response_code(404)+exit؛ والملفُّ بلا أيِّ echo أو HTML. — [مُصحَّح بعد التحقق] الصياغة الأولى: الملفُّ موجودٌ على القرص ويُفتح بالرابط المباشر، ولا صفَّ nav_items يشير إليه في أيٍّ من السايدبارات التسعة والعشرين، ولا رابطَ واردٌ من شاشةٍ أخرى.</t>
  </si>
  <si>
    <t xml:space="preserve">الملفُّ ليس شاشةً بل مكتبةٌ تُضمَّن: يعلن ذلك رأسُه ويردُّ الطلبَ المباشرَ بـ404 (:10-13)، ويُضمَّن من سبعةِ ملفاتٍ حيّة — فادّعاءُ «يُفتح بالرابط المباشر» خاطئ.</t>
  </si>
  <si>
    <t xml:space="preserve">Tickets/dept_inbox_map.php:6-13; Portal/dept_board.php:20; Tickets/dept_inbox.php:36; Finance/budget_dept.php:14</t>
  </si>
  <si>
    <t xml:space="preserve">REF-062</t>
  </si>
  <si>
    <t xml:space="preserve">لوحة مؤشرات البلاغات</t>
  </si>
  <si>
    <t xml:space="preserve">التصديرُ يحترم نطاقَ شجرة الأدوار (exportRowScope) ويعلن المعايير في رأس الملف؛ الباقي أنه لا يحترم تبويبَ القائمة الحالي ولا يكتب صفَّ سجلِّ تصديرٍ كامل. — [مُصحَّح بعد التحقق] الصياغة الأولى: التصديرُ في شاشات المركز يمرّ بالمُصدِّر الموحَّد الذي يقرأ entity وaction فقط ويكتب أعمدةَ التعريف الثابتة (exportColumns) على كلِّ صفوف الكيان — فلا يحترم تبويبَ القائمة الحاليّ (مفتوحة/بلاغاتي/مغلق</t>
  </si>
  <si>
    <t xml:space="preserve">الادعاءُ الجوهريُّ مكذوب: كيانُ البلاغات يعرّف exportRowScope بنفس شرطِ شجرة الأدوار المستعمَل في الشاشة، وExcelService::fetchRows يطبّقه — أي أنَّ الإصلاحَ المقترح منفَّذٌ سلفًا.</t>
  </si>
  <si>
    <t xml:space="preserve">app/Services/Excel/ExcelRegistry.php:718-745; app/Services/Excel/ExcelService.php:101-102; :162-166</t>
  </si>
  <si>
    <t xml:space="preserve">REF-063</t>
  </si>
  <si>
    <t xml:space="preserve">المقامُ معلَنٌ جزئيًّا؛ الناقصُ رابطُ التعمّق فقط. — [مُصحَّح بعد التحقق] الصياغة الأولى: لوحةُ المؤشرات تعرض بطاقاتِ أرقامٍ محسوبةً من جداول البلاغات مباشرةً في الشاشة، وليس فيها إعلانٌ لمقام كل رقمٍ (نافذةُ الزمن · نطاقُ الصفوف · لحظةُ القراءة) ولا رابطٌ يرجع من الرقم إلى صفوفه. والشاشةُ</t>
  </si>
  <si>
    <t xml:space="preserve">الادعاءُ «لا إعلانَ لمقام كل رقم (نافذةُ الزمن · النطاق · لحظةُ القراءة)» باطل: الشاشةُ تحمل فلترَ مدًى زمنيٍّ ظاهرًا (from/to سطر 190-200)، وتستدعي ems_shell_axes (سطر 159) وpage_header الذي يبني سطرَ السياق من محاور CM-00 (وهو الشاهدُ الذي استشهد به الفاحصُ ضدَّ نفسِه)، والقيمُ الغائبةُ تُطبع «—». الباقي الصحيحُ: لا رابطَ تعمّقٍ من البطاقة إلى صفوفها.</t>
  </si>
  <si>
    <t xml:space="preserve">Tickets/ticket_dashboard.php:159; :190-200; :206-225; includes/page_header.php:176-182</t>
  </si>
  <si>
    <t xml:space="preserve">REF-064</t>
  </si>
  <si>
    <t xml:space="preserve">أوامر الصيانة — التكاليف</t>
  </si>
  <si>
    <t xml:space="preserve">أمرُ الصيانة يحمل أربعةَ حقولِ تكلفةٍ (labor_cost · parts_cost · external_cost · total_cost) تُدخَل وتُجمَع في الشاشة نفسِها، ولا تعبر أيَّ بوابةِ استحقاقٍ ولا تُنتج حدثًا ماليًّا: لا نداءَ لـEventPublisher ولا publishFact في مجلد Maintenance/ إطلاقًا. فالتكلفةُ تُدخَل يدويًّا وتبقى رقمًا في جدول الصيانة، أو تُنقَل إلى المالية بمسارٍ آخرَ لا يبدأ من هنا.</t>
  </si>
  <si>
    <t xml:space="preserve">الادعاءُ «صفرُ EventPublisher في Maintenance/» خاطئ: `mnt_publish_order_cost()` (Maintenance/mnt_helpers.php:470-520) ينشر `expense.maintenance.recorded` بفئة financial ومفتاحِ عطالة `mnt:order:&lt;id&gt;`، ويُستدعى عند الإقفال من Maintenance/orders.php:345 وبمصالِحٍ في Finance/import_events_fin.php:119 — ويستهلكه RoutingConsumer المسجَّل في cron_events.php.</t>
  </si>
  <si>
    <t xml:space="preserve">Maintenance/mnt_helpers.php:470; :493; Maintenance/orders.php:345; Finance/import_events_fin.php:119; cron_events.php:131</t>
  </si>
  <si>
    <t xml:space="preserve">REF-065</t>
  </si>
  <si>
    <t xml:space="preserve">سايدبار مشرف الصيانة</t>
  </si>
  <si>
    <t xml:space="preserve">التطابقُ في الروابط قائمٌ، أما «لا فرقَ في المسموح» فغيرُ صحيح: الدورُ 14 قراءةٌ على شاشات الصيانة الكاتبة. — [مُصحَّح بعد التحقق] الصياغة الأولى: سايدبارُ الدور 14 (مشرف صيانة) نسخةٌ حرفيةٌ من سايدبار الدور 13 (إدارة الصيانة) في المجموعات الستِّ الأولى: نفسُ الروابط بنفس الترتيب ونفس العناوين — ست مجموعاتٍ متطابقةٍ عنصرًا عنصرًا (يختلفان فقط في</t>
  </si>
  <si>
    <t xml:space="preserve">منحُ الدور 14 تختلف جوهريًّا عن الدور 13: can_add/can_edit=0 على orders وinspections وpreventive_plans وbreakdowns وworkshop وmaster_data — فالمسموحُ مختلفٌ فعلًا وإن تطابق الظهور.</t>
  </si>
  <si>
    <t xml:space="preserve">database/schema/seed_reference.sql (صفوف nav_items للدورين 13 و14 متطابقة في stage_no 0,1,2,4,5,7); includes/roles.php:46; :47; Maintenance/orders.php:36; :37</t>
  </si>
  <si>
    <t xml:space="preserve">REF-066</t>
  </si>
  <si>
    <t xml:space="preserve">استقبال العطل وتشخيصه</t>
  </si>
  <si>
    <t xml:space="preserve">الحلقةُ الأولى مقطوعةٌ من طرف الصيانة: مجموعةُ «أولًا: استقبال العطل وتشخيصه» تعرض «بلاغات إدارتي» (Tickets/dept_inbox.php) — وهي شاشةُ عرضٍ لا تحوي فعلَ «تحويل بلاغٍ إلى طلب فحص» ولا فعلَ «تشخيص». ولا حقلَ في mnt_order يربط الأمرَ ببلاغٍ بمعرّفٍ (المصدرُ نصٌّ من قائمة: بلاغ · وقائي · تفتيش). فمن يفتح أمرًا من بلاغٍ يكتب «بلاغ» في حقل المصدر ولا يربطه برقم البلاغ.</t>
  </si>
  <si>
    <t xml:space="preserve">الحلقةُ ليست مقطوعة: مجموعةُ «أولًا: استقبال العطل وتشخيصه» للدور 13 تضمّ أيضًا `Maintenance/inspections.php` («الفحص الفني اليومي») و`Equipments/manage_failure_codes.php` («تصنيف الأعطال وأسبابها»)؛ و`mnt_order.breakdown_id` مفتاحٌ صريحٌ إلى البلاغ و`mnt_breakdown.order_id` عكسُه، وorders.php يعرض رابطَ البلاغ المصدر عبر tickets.linked_ref_table/linked_ref_id.</t>
  </si>
  <si>
    <t xml:space="preserve">database/schema/schema.sql:6706; :6579 (mnt_breakdown.order_id); Maintenance/orders.php:977; :986-987; :1042</t>
  </si>
  <si>
    <t xml:space="preserve">REF-067</t>
  </si>
  <si>
    <t xml:space="preserve">سجل المعدات (داخل سايدبار الصيانة)</t>
  </si>
  <si>
    <t xml:space="preserve">الدوران 13 و14 يملكان can_view فقط على موديول سجل المعدات (256)، والشاشةُ تفحص can_add/can_edit/can_delete فلا تعرض لهما أزرارَ الكتابة. — [مُصحَّح بعد التحقق] الصياغة الأولى: «سجل المعدات» (Equipments/equipments.php) مدرجٌ في مجموعة «ثانيًا: أمر العمل والتكليف» للدورين 13 و14 بعنوانٍ فرعيٍّ «المعدة وسجلها». والشاشةُ نفسُها شاشةُ كرتِ المعدة الكاملةِ بأفعال الإضافة والتعديل</t>
  </si>
  <si>
    <t xml:space="preserve">المنحُ الحيُّ عكسُ الادعاء: (1580,13,256,1,0,0,0) و(1581,14,256,1,0,0,0) — أي can_view فقط للدورين، فزاويةُ القراءة مطبَّقةٌ بالفعل والإصلاحُ المقترح هو الحالُ القائم.</t>
  </si>
  <si>
    <t xml:space="preserve">database/schema/seed_reference.sql: role_permissions (1580,13,256,1,0,0,0) و(1581,14,256,1,0,0,0); nav_items 5999 و6032</t>
  </si>
  <si>
    <t xml:space="preserve">REF-068</t>
  </si>
  <si>
    <t xml:space="preserve">اعتماد الوحدات التشغيلية — أثر الأجور</t>
  </si>
  <si>
    <t xml:space="preserve">`EMS_EVENT_HOOKS=publish` في `.env` الحي (والملفُّ خارجُ هذه النسخة عمدًا)؛ يبقى صحيحًا أن لا `.env.example` في المستودع يعلن القيمَ المطلوبة. — [مُصحَّح بعد التحقق] الصياغة الأولى: خطّافُ الحدث لا يعمل افتراضيًّا: يقرأ العلَمَ EMS_EVENT_HOOKS بقيمةٍ افتراضيةٍ 'off' في الكود ويعود فورًا («صفر أثر»). فاكتمالُ الاعتماد الرابع لا ينشر equipment.hour_logged ولا يولّد أيَّ مستحقٍّ أو </t>
  </si>
  <si>
    <t xml:space="preserve">فخُّ ٥ حرفيًّا: القيمةُ الافتراضيةُ في الكود `off` لكنَّ القيمةَ الحيةَ المعتمدةَ `publish` موثَّقةٌ في خمسِ وثائقِ معماريةٍ وتقريرِ إغلاقِ المرحلة — فالخطّافُ نافذٌ لا خامل.</t>
  </si>
  <si>
    <t xml:space="preserve">docs/ARCHITECTURE_CURRENT_SYSTEM_v8_ar.md:221; v7:161; v6:138; v3:818; docs/PHASE1_CLOSURE_REPORT_ar.md:22,81</t>
  </si>
  <si>
    <t xml:space="preserve">REF-069</t>
  </si>
  <si>
    <t xml:space="preserve">تكليف المشغّل على المعدة</t>
  </si>
  <si>
    <t xml:space="preserve">المتبقّي أن الملفَّ الحاملَ للفعل يقع في مجلد Operations/ لا Workforce/، والملكيةُ تُحسم بعمود modules.owner_role_id لا بالمجلَّد. — [مُصحَّح بعد التحقق] الصياغة الأولى: مجموعةُ «ثالثًا: التكليف والتوزيع» في سايدبار الدور 27 تحوي رابطًا واحدًا فقط هو «سجل المعدات» (Equipments/equipments.php) — شاشةُ كرت المعدة المملوكةُ للأسطول. لا شاشةَ تكليفٍ في مجلد Workforce/ ولا </t>
  </si>
  <si>
    <t xml:space="preserve">مرحلةُ «ثالثًا: التكليف والتوزيع» للدور 27 ثلاثُ مجموعاتٍ (3500 · 3501 · 3502) بأربعةِ روابطَ حية، أولُها بالنص المطلوب حرفيًّا «تكليف المشغّل على المعدة» على Operations/distribution_space.php — فادعاءُ «رابطٍ واحدٍ هو سجل المعدات» ساقط.</t>
  </si>
  <si>
    <t xml:space="preserve">database/schema/seed_reference.sql:3137-3139; nav_items للدور 27 في المجموعات 3500-3502</t>
  </si>
  <si>
    <t xml:space="preserve">REF-070</t>
  </si>
  <si>
    <t xml:space="preserve">السكن والإعاشة / تنقلات العاملين / سجل الوردية / خطة الاحتياج</t>
  </si>
  <si>
    <t xml:space="preserve">housing_units.php و worker_movement.php لهما صفّا nav_items فعّالان (active=1) للدور 27 في المجموعة 3507؛ أما worker_worklog.php و workforce_requirement.php فصفوفُهما للدور 4 معطَّلةٌ (active=0). — [مُصحَّح بعد التحقق] الصياغة الأولى: أربعةُ ملفاتٍ في Workforce/ تُصيّر واجهاتٍ ولا صفَّ nav_items لها في أيٍّ من السايدبارات التسعة والعشرين: housing_units.php (السكن والإعاشة — معلنةٌ في الوثيقة) · worker_movement.php (تنقلات العاملين </t>
  </si>
  <si>
    <t xml:space="preserve">الشاشتان المنصوصتان في الوثيقة لهما صفَّا nav_items فعّالان للدور 27 (6272 السكن و6271 التنقلات)؛ والقائمُ فعلًا بلا منفذٍ حيٍّ شاشتان لا أربع.</t>
  </si>
  <si>
    <t xml:space="preserve">database/schema/seed_reference.sql:4448; :4449; :3585; :3584</t>
  </si>
  <si>
    <t xml:space="preserve">REF-071</t>
  </si>
  <si>
    <t xml:space="preserve">توليد المستحق من العمل المعتمد</t>
  </si>
  <si>
    <t xml:space="preserve">لا خلطَ ملكيةٍ في السجل: role_permissions (27,341,1,0,0,0) عرضٌ فقط — وهي «زاويةُ عارض» تجيزها الوثيقة؛ وmodules(156) مالكُه الدور 4. — [مُصحَّح بعد التحقق] الصياغة الأولى: مجموعةُ «خامسًا: الأداء والاستحقاق» في سايدبار الدور 27 تحوي رابطًا إلى Finance/entitlement.php («توليد المستحق من العمل المعتمد») بعنوانٍ فرعيٍّ «أحكام المشغّل» — وهي شاشةٌ مملوكةٌ للمالية والخزينة ت</t>
  </si>
  <si>
    <t xml:space="preserve">الحالةُ القائمةُ هي نفسُها الإصلاحُ المقترح: الدورُ 27 يملك can_view وحدَه على موديول entitlement (341)، والمسيّرُ مسجَّلٌ في modules بمالكٍ 4 (الموارد البشرية) لا بالقوى التشغيلية — فما بقي اسمُ المجلد فقط.</t>
  </si>
  <si>
    <t xml:space="preserve">Finance/entitlement.php:1; Workforce/payroll_runs.php:1; database/schema/seed_reference.sql (nav_items role_id=27 stage_no=5 route='Finance/entitlement.php' subhead='أحكام المشغّل'; nav_items role_id=4 و17 بمسار Workforce/payroll_runs.php)</t>
  </si>
  <si>
    <t xml:space="preserve">REF-072</t>
  </si>
  <si>
    <t xml:space="preserve">اعتماد الوحدات التشغيلية — منع التكرار</t>
  </si>
  <si>
    <t xml:space="preserve">جدولُ timesheet_approvals يحمل قيدًا فريدًا على (timesheet_id, approval_level)؛ والفحصُ المسبق طبقةٌ ثانيةٌ فوقه لا وحدَه — الباقي أنَّ خطأ 1062 يُبتلع في السجل بدل إعادة مرجعِ الصف الأول. — [مُصحَّح بعد التحقق] الصياغة الأولى: منعُ التكرار في مسار الاعتماد فحصٌ مسبقٌ لا قيدٌ: استعلامٌ عن وجود صفِّ موافقةٍ بنفس المستوى، ملفوفٌ في try/catch يجعل النتيجةَ null عند أيِّ خطأٍ فيمضي الإدراج. ولا فهرسَ فريدٍ على (timesheet_id, app</t>
  </si>
  <si>
    <t xml:space="preserve">القيدُ الفريدُ موجودٌ في المخطط: UNIQUE KEY `uq_ts_level` (`timesheet_id`,`approval_level`) — فالطلبان المتزامنان لا يُنتجان صفَّين، والإصلاحُ المقترح منفَّذٌ سلفًا.</t>
  </si>
  <si>
    <t xml:space="preserve">database/schema/schema.sql:12087; Approvals/hours_approval_handler.php:160-168</t>
  </si>
  <si>
    <t xml:space="preserve">REF-073</t>
  </si>
  <si>
    <t xml:space="preserve">الشاشةُ بلا أيِّ فحصِ صلاحيةٍ قبل الكتابة، فالمنعُ المدَّعى على المالية غيرُ واقعٍ عمليًّا. — [مُصحَّح بعد التحقق] الصياغة الأولى: مصفوفةُ الصلاحيات تمنح can_add/can_edit على الموديول ٣٠٩ لدور «إدارة النقل والترحيل» وحدَه؛ وأدوارُ المالية الستةُ لها can_view فقط — فالمعتمِدُ المنصوصُ عليه لا يستطيع الاعتماد، والمنفِّذُ يعتمد نفسَ</t>
  </si>
  <si>
    <t xml:space="preserve">مصفوفةُ الصلاحيات كما وُصفت، لكنَّ النتيجةَ المدَّعاة ساقطة: Transport/transfer_close_cost.php لا يفحص can_add/can_edit إطلاقًا ومعالجُ الإقفال في الأسطر 19-38 يسبق include insidebar (السطر 55) — فأدوارُ المالية (بل أيُّ جلسةٍ) تستطيع الإقفالَ فعلًا، والعيبُ الحقيقيُّ كتابةٌ بلا حارسٍ لا «معتمِدٌ لا يستطيع».</t>
  </si>
  <si>
    <t xml:space="preserve">Transport/transfer_close_cost.php:19-38; :55; database/schema/seed_reference.sql:2048-2054</t>
  </si>
  <si>
    <t xml:space="preserve">REF-074</t>
  </si>
  <si>
    <t xml:space="preserve">دور «إدارة النقل والترحيل» في جدول الأدوار</t>
  </si>
  <si>
    <t xml:space="preserve">شجرةُ التبعيةِ حيةٌ في org_units (سبعُ وحداتٍ تشغيليةٍ تحت `ops` منها النقل)، و`roles.parent_role_id` ليس مصدرَ الهيكل في هذا النظام. — [مُصحَّح بعد التحقق] الصياغة الأولى: الدور ٢٣ «إدارة النقل والترحيل» مُعرَّفٌ بـparent_role_id=NULL و level=1 و role_scope='gloable' — أي بلا تبعيةٍ لمديرِ التشغيل؛ ولا يوجد دورٌ باسم «مدير التشغيل» يكون أبًا للفروع الخمسة، فالهيكلُ التن</t>
  </si>
  <si>
    <t xml:space="preserve">الهيكلُ التنظيميُّ ليس في `roles` بل في `org_units`: هجرةُ ORG-04 تُنشئ وحدةَ `transport` («النقل والترحيل») بـ`parent_unit_id` = وحدةِ `ops` («التشغيل») — أي التبعيةُ المنصوصةُ منفَّذةٌ فعلًا.</t>
  </si>
  <si>
    <t xml:space="preserve">database/migrations/2026_08_02_org01_structure.sql:250-261; Tickets/dept_inbox_map.php:15-40</t>
  </si>
  <si>
    <t xml:space="preserve">REF-075</t>
  </si>
  <si>
    <t xml:space="preserve">الأحداثُ الأربعةُ التي تنشرها وحدةُ المشتريات (payable.purchase.accrued · expense.landed_cost.recorded · expense.parts.issued · expense.purchase.recorded) بلا أيِّ مستهلكٍ مسجَّل؛ والمستهلكان الوحيدان في النظام (finance و finance_routing) يعتمدان على fin_routing_event_map الذي لا تبذره أيُّ هجرة</t>
  </si>
  <si>
    <t xml:space="preserve">RoutingConsumer مسجَّلٌ في cron_events.php ويستهلك كلَّ واقعةٍ منشورة، وrouteFor الفارغُ «يسقط للحكم الجامع» فلا يتوقف الاستهلاكُ على fin_routing_event_map؛ وللجدول هجرةٌ رسميةٌ (2026_12_30_u13_routing_event_map.sql) وبذرةٌ في tools/u13_coverage_seed.php.</t>
  </si>
  <si>
    <t xml:space="preserve">cron_events.php:128-134; app/Services/Finance/RoutingConsumer.php:44-60; :104-118</t>
  </si>
  <si>
    <t xml:space="preserve">REF-076</t>
  </si>
  <si>
    <t xml:space="preserve">الترسية · المطابقة الثلاثية · حسم الفرق</t>
  </si>
  <si>
    <t xml:space="preserve">مجلد tests/ يحوي tests/proc_group_test.php وهو اختبارُ تجميعٍ لا يغطي فعلَ الترسية إطلاقًا (الشاشةُ بلا حارسٍ فلا حالةَ رفضٍ يمكن اختبارُها)، ولا اختبارَ لحالة الترسية المكررة ولا للمعكوسة (لأن فعلَ العكس غيرُ موجود)</t>
  </si>
  <si>
    <t xml:space="preserve">التغطيةُ موجودة: `tests/rfq_cycle_test.php` يغطي الترسيةَ صراحةً — الناجحةَ (ترسيةٌ جزئية 12k+8k) والمرفوضةَ بالحارس (409/423/403) وقيدَ CHECK البنيوي؛ و`tests/procurement_three_way_match_test.php` يغطي المطابقةَ الثلاثيةَ بحرّاسها الستةِ ومنها العطالة «فاتورةٌ تُسجَّل مرتين لا تُقيَّد مرتين»، وثمّة أيضًا اختبارا HTTP proof.</t>
  </si>
  <si>
    <t xml:space="preserve">tests/rfq_cycle_test.php:8-19; tests/procurement_three_way_match_test.php:5-16</t>
  </si>
  <si>
    <t xml:space="preserve">REF-077</t>
  </si>
  <si>
    <t xml:space="preserve">شاشات إدارة المخازن التسع</t>
  </si>
  <si>
    <t xml:space="preserve">خمسٌ من الشاشات مملوكةٌ لدور المستودع في `modules` وأربعٌ للمشتريات (16) — فالمسألةُ ملكيةُ أربعِ شاشاتٍ لا انعدامُ نطاق؛ ومسارُ المجلد ليس آليةَ الملكية في هذا النظام. — [مُصحَّح بعد التحقق] الصياغة الأولى: إدارةُ المخازن بلا نطاقٍ خاصٍّ بها في الكود: تسعُ شاشاتٍ من إحدى عشرةَ منصوصًا عليها تسكن مجلد Procurement/ (items_proc · stock_proc · issue_proc · receipt_custody_proc · wh_count · wh_transfer · wh_r</t>
  </si>
  <si>
    <t xml:space="preserve">الادّعاءُ «بلا نطاقٍ خاصٍّ في الكود» ساقط: الدورُ 25 «أمين المستودع» قائمٌ ويملك المودولات 199 · 297 · 299 · 300 · 301، وهجرةُ ORG-04 تُنشئ وحدةَ `warehouse` («المخازن») تحت `ops`.</t>
  </si>
  <si>
    <t xml:space="preserve">database/schema/seed_reference.sql:45 (role 25); database/migrations/2026_08_02_org01_structure.sql:250-261</t>
  </si>
  <si>
    <t xml:space="preserve">REF-078</t>
  </si>
  <si>
    <t xml:space="preserve">صرف مواد من المخزن</t>
  </si>
  <si>
    <t xml:space="preserve">الصرفُ ينشر حدث expense.parts.issued بمشروعه ومعدته (proc_helpers.php:813) وهو أحسنُ ما في الوحدة — لكن الحدثَ بلا أيِّ مستهلكٍ مسجَّل، وبوابةُ النشر تشترط الحالة 'مصروف' أو 'محمَّل التكلفة' بينما الحالةَ الافتراضيةَ عند الحفظ 'مسودة' (issue_proc.php:70,79) — فالصرفُ المحفوظُ بالحالة الافتراضية لا ينشر أثرًا ماليًّا إطلاقًا</t>
  </si>
  <si>
    <t xml:space="preserve">الشرطُ ليس خللًا بل تصميم: `$state` يُختار من قائمة `$states` في النموذج و«مسودة» قيمةٌ افتراضيةٌ لا نهائية، و`proc_publish_issue_cost` يُستدعى بعد **كلِّ** حفظٍ (issue_proc.php:187) فينشر حين تصير الحالةُ «مصروف»؛ والحدثُ **له مستهلكٌ مسجَّل**: RoutingConsumer المسجَّل في cron_events.php:131 يوجّه كلَّ واقعةٍ ماليةٍ ويلتقط ما لا مسارَ خاصَّ له بالحكم الجامع.</t>
  </si>
  <si>
    <t xml:space="preserve">Procurement/issue_proc.php:70; :79; :187; Procurement/proc_helpers.php:805; cron_events.php:131; app/Services/Finance/RoutingConsumer.php:104</t>
  </si>
  <si>
    <t xml:space="preserve">REF-079</t>
  </si>
  <si>
    <t xml:space="preserve">شاشات إدارة الموقع التسع</t>
  </si>
  <si>
    <t xml:space="preserve">shift_log · production · site_shift_plan · site_work_calendar · site_gate_equip · site_gate_person · timesheet كلُّها مملوكةٌ للدور 6؛ ودورُ 6 بـrole_scope='mine' — فالنطاقُ ممثَّلٌ بنيويًّا رغم موضع المجلد. — [مُصحَّح بعد التحقق] الصياغة الأولى: إدارةُ الموقعِ بلا نطاقٍ خاصٍّ بها في الكود: تسعُ شاشاتٍ من إحدى عشرةَ منصوصًا عليها تسكن مجلد Operations/ المملوكَ لإدارة التشغيل M-01 (daily_plan · shift_log · production · site_shift_plan · site_wo</t>
  </si>
  <si>
    <t xml:space="preserve">الملكيةُ مسجَّلةٌ لا مستنبَطةٌ من المجلد: سبعٌ من الشاشات المذكورة مالكُها `owner_role_id=6` «إدارة الموقع» في `modules`، ووحدةُ «إدارات المواقع» قائمةٌ في org_units وتربطها خريطةُ الدور بالوحدة.</t>
  </si>
  <si>
    <t xml:space="preserve">database/schema/seed_reference.sql (modules 283-289 · 308); database/migrations/2026_11_04_org_v4_restructure.php:42; Tickets/dept_inbox_map.php:15-40</t>
  </si>
  <si>
    <t xml:space="preserve">REF-080</t>
  </si>
  <si>
    <t xml:space="preserve">دور «إدارة الموقع»</t>
  </si>
  <si>
    <t xml:space="preserve">الدور ٦ «إدارة الموقع» بـparent_role_id=NULL و role_scope='mine'؛ ولا دورَ باسم «مدير التشغيل» يكون أبًا له، ولا تمييزَ في نموذج الأدوار بين «الفرع الأول» و«الفرع الثاني الموازي» — فالوحدةُ تظهر دورًا جذريًّا كأخواتها التشغيلية بلا أيِّ تمثيلٍ لكونها فرعًا ثانيًا موازيًا</t>
  </si>
  <si>
    <t xml:space="preserve">نموذجُ التنظيم في جدول org_units بعمود layer('operational','parallel','oversight') وparent_unit_id لا في جدول roles — فالفرعُ الثاني الموازي ممثَّلٌ في موضعه الصحيح، وجدولُ الأدوار طبقةُ صلاحياتٍ لا هيكلٌ تنظيمي.</t>
  </si>
  <si>
    <t xml:space="preserve">database/schema/schema.sql:7219-7235; tools/u9_org_units_dec_ghi.php:24-33</t>
  </si>
  <si>
    <t xml:space="preserve">REF-081</t>
  </si>
  <si>
    <t xml:space="preserve">المتبقّي أن عدّاداتِ الحاويةِ تُحسب قبل سطر الحارس (السطور 22-70) — ترتيبٌ لا انكشافُ صلاحية. — [مُصحَّح بعد التحقق] الصياغة الأولى: `main/my_workspace.php` لا يستدعي `check_page_permissions()` ولا يضمِّن `includes/permissions_helper.php` إطلاقًا: الحراسةُ الوحيدةُ `isset($_SESSION['user'])` في السطر 12. والشاشةُ مسجَّلةٌ مودولًا 2</t>
  </si>
  <si>
    <t xml:space="preserve">الشاشةُ تضمّن '../insidebar.php' (السطر 78) الذي يستدعي enforce_current_page_view_permission، وهي مسجَّلةٌ modules 228 — فسحبُ المنحةِ يوقف العرضَ فعلًا؛ فادعاءُ «لا فاحصَ للمنحة» ساقط.</t>
  </si>
  <si>
    <t xml:space="preserve">main/my_workspace.php:77-78; insidebar.php:12-14; database/schema/seed_reference.sql:276</t>
  </si>
  <si>
    <t xml:space="preserve">REF-082</t>
  </si>
  <si>
    <t xml:space="preserve">صلاحيات المراجع داخل النظام</t>
  </si>
  <si>
    <t xml:space="preserve">للدالة نداءاتٌ في بوابة القبول، وحدُّ «لا كتابة» مفروضٌ عمليًّا بـcan_edit في عُدّة الشاشات وبنموذجِ المنح؛ الناقصُ طبقةُ دفاعٍ ثانيةٌ في مسار الكتابة المشترك لا الحدُّ نفسُه. — [مُصحَّح بعد التحقق] الصياغة الأولى: الدالةُ `InternalAuditService::assertReadOnly()` مبنيةٌ كاملةً بقائمةِ بادئاتٍ محظورةٍ ومنطقِ fail-closed (`InternalAuditService.php:49-67`) — ولها **صفرُ نداءات** في المستودعِ كلِّه: بحثٌ شاملٌ عن ال</t>
  </si>
  <si>
    <t xml:space="preserve">ادعاءُ «صفر نداءات في المستودع كلِّه» خاطئٌ حرفيًّا: assertReadOnly تُنادى أربعَ مراتٍ في tools/u13_gate.php:981-984 (منها فحصٌ سالبٌ للدور 31). والأهمُّ أن حدَّ «لا كتابة» مُنفَّذٌ بآليةٍ أخرى قائمة: includes/u13_screen_kit.php:180 يرفض كلَّ فعلٍ بلا can_edit، والدورُ 33 ممنوحٌ can_edit على موديولاتِ ملفّاته وحدَها (377-383) وقراءةً فقط على الباقي (41 صفَّ منح).</t>
  </si>
  <si>
    <t xml:space="preserve">tools/u13_gate.php:981-984; includes/u13_screen_kit.php:165-181; database/schema/seed_reference.sql:2297-2393</t>
  </si>
  <si>
    <t xml:space="preserve">REF-083</t>
  </si>
  <si>
    <t xml:space="preserve">شاشات المراجعة الداخلية الست عشرة</t>
  </si>
  <si>
    <t xml:space="preserve">صفوفُ nav_items للدور 33 بابُها 'main' خارجَ الأبواب الثمانية فتبقى خاملةً لو نُقل الدورُ إلى المصدر الموحَّد — أمّا اليوم فسايدبارُه يُبنى من `modules` ويصل شاشاتِه. (والأثرُ نفسُه يمسّ 41 صفَّ 'main' و80 صفَّ 'RISK' لأدوارٍ أخرى منها أدوارٌ موحَّدةٌ فعلًا.) — [مُصحَّح بعد التحقق] الصياغة الأولى: صفوفُ التنقُّلِ الستةَ عشرَ للدور 33 (ids 6913-6928) بابُها `'main'` — وهو **ليس** من الأبوابِ الثمانية — و`group_id = NULL` فلا `stage_no` لها؛ فيصنّفها `renderUnifiedNavigationV2` ضمن `$doored` ثم ي</t>
  </si>
  <si>
    <t xml:space="preserve">تحليلُ المصيِّر صحيحٌ لكنَّ النتيجةَ لا تلزم: `renderUnifiedNavigationV2` لا يعمل إلا لدورٍ داخل `EMS_NAV_UNIFIED_ROLES` (insidebar.php:10 و263)، والدورُ 33 يملك صفوفَ door='main' فقط بلا صفِّ HOME الذي يلزمه المصدرُ الموحَّد — فهو على المسار القديم `getDynamicNavLinks` (dynamic_nav.php:97-108) الذي يقرأ من `modules`، وشاشاتُ Audit الستَّ عشرةَ مسجَّلةٌ هناك (ids 377-392) بـowner_role_id=33 وis_link=1 فتُطبع بمسارٍ صحيح.</t>
  </si>
  <si>
    <t xml:space="preserve">insidebar.php:10; :263; :271; includes/dynamic_nav.php:97-108; database/schema/seed_reference.sql (modules 377-392, owner 33, is_link=1)</t>
  </si>
  <si>
    <t xml:space="preserve">REF-084</t>
  </si>
  <si>
    <t xml:space="preserve">ملاحظات المراجعة</t>
  </si>
  <si>
    <t xml:space="preserve">الباقي حقيقيّ لكن أضيق: لا قادحَ قاعدةٍ يمنع UPDATE ولا جدولَ نسخٍ — أي غيابُ حصانةٍ بنيويةٍ لا وجودُ بابِ تعديلٍ في التطبيق. — [مُصحَّح بعد التحقق] الصياغة الأولى: حراسةُ الإغلاقِ مبنيةٌ جيدًا في `InternalAuditService::closeFinding` (منعُ إغلاقِ الإدارةِ نفسِها `:182-184`، وحصرُ الإغلاقِ بالمراجعِ `:186-191`، وشرطُ الدليلِ `:193-195`). لكن **لا حارسَ على التعديل</t>
  </si>
  <si>
    <t xml:space="preserve">Audit/iaf_findings.php ملفٌّ مولَّدٌ لا يملك مسلكَ تعديلٍ أصلًا: عدةُ u13 لا تنفّذ إلا الأفعالَ المعلنةَ (قبولُ الدليل · الإغلاق) عبر خدمتها، بفحص CSRF ورمزٍ مسجَّلٍ في قاموس الأفعال — فمنحةُ can_edit لا تفتح تعديلَ النصِّ ولا الخطورة.</t>
  </si>
  <si>
    <t xml:space="preserve">includes/u13_screen_kit.php:165-200</t>
  </si>
  <si>
    <t xml:space="preserve">REF-085</t>
  </si>
  <si>
    <t xml:space="preserve">الأزرار الأيقونية وربط الحقول بعناوينها</t>
  </si>
  <si>
    <t xml:space="preserve">٤٠٣ أزرارٍ أيقونيةٍ بلا نصّ، منها ٧٨ بلا `aria-label` ولا `title` إطلاقًا، و٣١٦ بـ`title` وحدَه (وهو لا يُقرأ في كلِّ قارئاتِ الشاشة)، و٩ فقط بـ`aria-label`. وربطُ الحقلِ بعنوانِه ~٢٩١ من ٣٨٠٨ (٧٫٦٪) — أي ٩٢٫٤٪ من الحقولِ بلا `for`/`id` ولا `aria-labelledby`. مثالٌ محقَّق: `main/my_workspace.php:92-101` بلاطاتٌ روابطُ بلا نصٍّ بديلٍ للأيقونة، و`Risk/risk_register.php:194-204` حقولٌ داخلَ `&lt;label&gt;` بلا `id`.</t>
  </si>
  <si>
    <t xml:space="preserve">الشاهدان المحقَّقان يسقطان: بلاطاتُ `main/my_workspace.php:92-101` روابطُ تحمل **نصًّا ظاهرًا** (العنوان والوصف) والأيقونةُ زخرفيةٌ مصحوبةٌ به، و`Risk/risk_register.php:194-204` حقولٌ **ملفوفةٌ داخل `&lt;label&gt;`** أي ربطٌ ضمنيٌّ صحيحٌ في HTML/ARIA لا يحتاج for/id — فمنهجُ العدّ (٧٫٦٪) يُسقط الربطَ الضمنيَّ ويضخّم الرقم.</t>
  </si>
  <si>
    <t xml:space="preserve">main/my_workspace.php:92-101; Risk/risk_register.php:195-204</t>
  </si>
  <si>
    <t xml:space="preserve">REF-086</t>
  </si>
  <si>
    <t xml:space="preserve">قرارٌ مفتوح — وحدةُ شؤونِ العاملين بالمشروعات</t>
  </si>
  <si>
    <t xml:space="preserve">صفوفُ org_units بياناتُ شركةٍ تُنشأ بالأداة/الهجرة لا ببذرة seed_reference.sql — فغيابُها عن ملف البذرة ليس دليلَ غياب. — [مُصحَّح بعد التحقق] الصياغة الأولى: لا وحدةَ في `org_units` ولا دورَ في `roles` باسمِ «شؤون العاملين بالمشروعات»، والوسمُ «مشروعيّ» غيرُ منفَّذٍ حقلًا محكومًا — فالحكمُ المؤقتُ نفسُه غيرُ مطبَّقٍ بنيويًّا.</t>
  </si>
  <si>
    <t xml:space="preserve">الوحدةُ منفَّذةٌ فعلًا: `DEC-I` معتمدٌ وموثَّقٌ بإنشاء «شؤون العاملين بالمشروعات» في `org_units` (#21–23) ضمن ١٨ وحدةً نشطة — والحكمُ المؤقتُ المستشهَدُ به تجاوزه قرارُ المالك.</t>
  </si>
  <si>
    <t xml:space="preserve">tools/u9_org_units_dec_ghi.php:30-32; docs/update0009/EXECUTION_CLOSEOUT_ar.md:18; docs/ARCHITECTURE_CURRENT_SYSTEM_v14_ar.md:28</t>
  </si>
  <si>
    <t xml:space="preserve">REF-087</t>
  </si>
  <si>
    <t xml:space="preserve">عيبٌ حاجب — وحدتان مركزيتان ناقصتان من الهيكل</t>
  </si>
  <si>
    <t xml:space="preserve">القراران صادران ومنفَّذان بأداةٍ idempotent؛ المتبقي أن إنشاءَ الوحدتين أداةُ CLI بـ--apply لا صفٌّ في seed_reference.sql، وأن الأداةَ تكتب company_id=1 بينما بذرُ ORG-04 للشركة 4. — [مُصحَّح بعد التحقق] الصياغة الأولى: العيبُ ما زال مفتوحًا: القراران DEC-H وDEC-I لم يصدرا، ولا صفَّ للوحدتين في `org_units` ولا دورَ لهما في `roles` (٣٥ دورًا لا يحوي أيًّا منهما)، ولا شاشاتِ ولا منحَ.</t>
  </si>
  <si>
    <t xml:space="preserve">القولُ بأن «DEC-H وDEC-I لم يصدرا» مردودٌ نصًّا: القراران معتمدان في docs/update0009/DECISIONS_ADOPTED_ar.md:14-15 بتاريخ 2026-08-06، والشقُّ البنيويُّ منفَّذٌ في tools/u9_org_units_dec_ghi.php:24-52 الذي يُنشئ procurement_central وproject_workforce (وrisk_mgmt) في org_units بمرجع قرارها. وغيابُ الشاشاتِ والدوراتِ لهما التزامٌ صريحٌ بـRL-05 («لا تُخترع دورةٌ ولا شاشة») لا إهمال.</t>
  </si>
  <si>
    <t xml:space="preserve">docs/update0009/DECISIONS_ADOPTED_ar.md:14-15; tools/u9_org_units_dec_ghi.php:5-52</t>
  </si>
  <si>
    <t xml:space="preserve">REF-088</t>
  </si>
  <si>
    <t xml:space="preserve">عيبٌ مقياسيٌّ حرج — مقياسٌ واحدٌ بمنهجين تحت اسمٍ واحد</t>
  </si>
  <si>
    <t xml:space="preserve">لا ازدواجَ في السايدبار: «طلباتي» (249) غيرُ مربوطةٍ كرابطٍ أصلًا، و«طلباتي المالية» (115) وحدَها تظهر — والفارقُ في عدد شاشات المخاطر فارقُ تعريفٍ بين «ملف PHP» و«صفٍّ في modules». — [مُصحَّح بعد التحقق] الصياغة الأولى: مثالٌ حيٌّ محقَّق: «عددُ شاشاتِ إدارةِ المخاطر» يُعلَن ٢٠ في FRD ويُقاس ١٤ من جداولِ الوثيقةِ نفسِها ويُوجد ٢٢ ملفًّا في `Risk/`؛ و«طلباتي» تُقاس مرةً من `Portal/my_requests.php` (المودول 249) ومرةً م</t>
  </si>
  <si>
    <t xml:space="preserve">المثالُ «الحيُّ المحقَّق» غيرُ صحيح: الموديولان مختلفا الاسم لا متطابقاه — 115 اسمُه «طلباتي المالية» (FinRequests/my_requests.php) و249 اسمُه «طلباتي» (Portal/my_requests.php) وهو is_link=0 أي لا يظهر في أيِّ سايدبار؛ ومجلد Risk/ يحوي 27 ملفًّا (23 بلا الجزئيات المسبوقةِ بشرطة) لا 22. والباقي ادّعاءاتُ وثائقَ لا شواهدَ كود، والأثرُ منهجيُّ قياسٍ لا عيبٌ تشغيليٌّ حاجب.</t>
  </si>
  <si>
    <t xml:space="preserve">database/schema/seed_reference.sql (modules 115 · 249); Risk/ (27 ملفًّا)</t>
  </si>
  <si>
    <t xml:space="preserve">REF-089</t>
  </si>
  <si>
    <t xml:space="preserve">عيبٌ مقياسيٌّ حرج — بوابةُ القبولِ تقيس وجودَ الرموزِ لا التزامَ الشاشات</t>
  </si>
  <si>
    <t xml:space="preserve">بوابةُ u13 تحوي فحوصَ تصييرٍ حيٍّ إيجابيةً وسالبةً لكلِّ الشاشات؛ الضعفُ محصورٌ في معيارَي m10_ac_gate (AC-05 وAC-06) وفي ⑨-04 وحدَه. — [مُصحَّح بعد التحقق] الصياغة الأولى: البواباتُ الحيةُ تقيس البنيةَ وحدَها: `tools/m10_ac_gate.php:192` يمرّ بوجودِ السلسلةِ `table`، و`:205` يمرّ بعددِ صفوفِ سياساتٍ ≥ ٢٠، و`tools/u13_gate.php:1172` يمرّ بوجودِ صفٍّ في `nav_items`. ولا ف</t>
  </si>
  <si>
    <t xml:space="preserve">ادعاءُ «ولا فحصَ تبنٍّ واحدًا (G5-B) ولا تدقيقَ سلوكيًّا في أيِّ أداة» مردودٌ: tools/u13_gate.php:1185-1209 (⑨-06/⑨-07) يُصيّر كلَّ واحدةٍ من الشاشات الأربعِ والأربعين حيًّا عبر u13_render_one.php ويشترط نجاحَها لمالكها ورفضَها للدور 11 — وهو فحصُ تبنٍّ وسلوكٍ لا بنية. يبقى صحيحًا ضعفُ m10_ac_gate.php:192 و:205، وهو مرصودٌ سلفًا في _idx 645.</t>
  </si>
  <si>
    <t xml:space="preserve">tools/u13_gate.php:1168-1176,1185-1209; tools/m10_ac_gate.php:192,205</t>
  </si>
  <si>
    <t xml:space="preserve">REF-090</t>
  </si>
  <si>
    <t xml:space="preserve">ناقل الأحداث ومستهلكوه</t>
  </si>
  <si>
    <t xml:space="preserve">الناقلُ مبنيٌّ (`ems_event_deliveries` · `ems_event_dead_letter` · `ems_processed_events` — `admin/bus_monitor.php:11,49`)، لكنَّ أهمَّ مستهلكٍ عرضيٍّ غيرُ موجود: لا مستهلكَ يحوّل الأحداثَ إلى عناصرِ عملٍ أو تنبيهاتٍ شخصيةٍ (المستهلكون الحاليون يستدعون `WorkItemService` **نداءً مباشرًا** من داخلِ الخدماتِ لا من الناقل — `RoutingEngine.php:135`, `TicketRouter.php:203`, `RequestService.php:277`). وأحداثُ المخاطرِ تُنشر (`RiskEvents::fire`) ولا مستهلكَ لها خارجَ وحدتِها.</t>
  </si>
  <si>
    <t xml:space="preserve">المستهلكُ العرضيُّ موجود: `RoutingConsumer` مسجَّلٌ على الناقل في cron_events.php:131 ويستدعي `RoutingEngine` الذي يُنشئ عنصرَ عملٍ بـ`WorkItemService::create` (RoutingEngine.php:135) وتنبيهًا شخصيًّا بـ`notifyUser` (:421) — فالنداءُ في RoutingEngine هو **مسارُ المستهلك** لا التفافًا عليه.</t>
  </si>
  <si>
    <t xml:space="preserve">cron_events.php:129-135; app/Services/Finance/RoutingConsumer.php:15; :26; app/Services/Finance/RoutingEngine.php:135; :421</t>
  </si>
  <si>
    <t xml:space="preserve">REF-091</t>
  </si>
  <si>
    <t xml:space="preserve">التخصصات المحاسبية / سقوف سلطة الالتزام والدفع</t>
  </si>
  <si>
    <t xml:space="preserve">صفوفُ door='main' مهملةٌ لا مُفرِغة؛ الباقي الصحيح: منحةٌ واحدةٌ فقط للدور 32 وصفوفُ تنقّلٍ ببابٍ غيرِ معرَّف. — [مُصحَّح بعد التحقق] الصياغة الأولى: الدورُ 31 «رئيس الحسابات» يملك عشرَ شاشاتٍ في `modules` و٢٣ منحةً، والدورُ 32 «المدير المالي» يملك شاشةً واحدةً ومنحةً واحدة. وصفوفُ تنقُّلِهما جميعُها ببابِ `'main'` غيرِ المعروف (١٠ صفوفٍ للدور 31 و</t>
  </si>
  <si>
    <t xml:space="preserve">unifiedNavEnabled يعيد false لكل دورٍ خارج EMS_NAV_UNIFIED_ROLES (والقيمةُ الموثقةُ 23-25 دورًا لا تشمل 31 و32 و33)، فيسقط سايدبارُهم إلى getDynamicNavLinks الذي يقرأ modules.owner_role_id — عشرُ شاشاتٍ للدور 31 وواحدةٌ للدور 32.</t>
  </si>
  <si>
    <t xml:space="preserve">includes/unified_nav.php:50-57; :293-294; insidebar.php:10; :273-279; includes/dynamic_nav.php:97-107</t>
  </si>
  <si>
    <t xml:space="preserve">REF-092</t>
  </si>
  <si>
    <t xml:space="preserve">السايدبار — وضع المراحل</t>
  </si>
  <si>
    <t xml:space="preserve">الملاحظةُ الصحيحةُ الوحيدةُ نظافةُ كود: $openDefault مسنَدٌ في السطر 212 وغيرُ مستعمل، وaria-expanded="false" مكتوبٌ في السطر 219 — تحت قرارِ مالكٍ موثَّقٍ بالطيِّ الكامل. — [مُصحَّح بعد التحقق] الصياغة الأولى: التنفيذُ يخالف الحكمَ صراحةً ويوثّق مخالفتَه: `includes/unified_nav.php:225` يضبط `$openDefault = false;` مع تعليق «قرارُ المالك (2026-08-02) يخصص حكمَ ١٣: البدءُ مطويًّا بالكامل». والمتغيّرُ `$openDe</t>
  </si>
  <si>
    <t xml:space="preserve">النصُّ المنسوبُ للحكم 13 («المراحل ٠ و١ و٢ مفتوحة») لا وجودَ له في أيٍّ من القواميس الخمسة — والحكمُ 13 في UX هو ترتيبُ الإدارات؛ وسطورُ الشاهد خاطئةٌ أيضًا.</t>
  </si>
  <si>
    <t xml:space="preserve">includes/unified_nav.php:212; :219</t>
  </si>
  <si>
    <t xml:space="preserve">REF-093</t>
  </si>
  <si>
    <t xml:space="preserve">مخاطر الميدان</t>
  </si>
  <si>
    <t xml:space="preserve">حالةُ المزامنةِ معروضةٌ فعلًا بشريطٍ محليٍّ فيه عدّادُ المعلَّق وزرُّ المزامنة ورسالةُ انقطاع الاتصال؛ غيرُ المستعمَل هو المكوّنُ الموحَّد EmsUI.syncChip فقط. — [مُصحَّح بعد التحقق] الصياغة الأولى: الشاشةُ تدعم مفتاحَ المزامنةِ (`sync_uuid` مقروءٌ في `Risk/risk_field.php:51` ومقبولٌ في `Risk/risk_actions.php:107`) وفعلَ مزامنةٍ دفعيٍّ (`risk_actions.php:460` — `syncFieldSignals`)، لكن **لا شريحة</t>
  </si>
  <si>
    <t xml:space="preserve">الشاشةُ تعرض حالةَ المزامنة صراحةً: شريطُ fieldSyncBar (السطر 91) بعدّادٍ «⏳ معلَّق في جهازك: N إشارة» (242) وزرِّ «مزامنة المعلَّق» (93) ورسالةِ «⚠ لا اتصال — المعلَّق محفوظٌ في جهازك» (281) — فادعاءُ انعدامِ مؤشرِ الاتصال وعدّادِ الانتظار خاطئ؛ الفارقُ أنها شريحةٌ محليةٌ لا مكوّنُ EmsUI.syncChip.</t>
  </si>
  <si>
    <t xml:space="preserve">Risk/risk_field.php:51; :53; Risk/risk_actions.php:107; :460; assets/js/ems-components.js:102; :103</t>
  </si>
  <si>
    <t xml:space="preserve">REF-094</t>
  </si>
  <si>
    <t xml:space="preserve">إعدادات المخاطر والتصنيف</t>
  </si>
  <si>
    <t xml:space="preserve">risk_settings.php شاشةُ عرضٍ فقط بحق، لكنّ الإطارَ والتصنيفَ والحدودَ والشهيةَ تُعدَّل من النظام عبر risk_actions.php (والتصنيفُ من شاشة وحدات المخاطر). — [مُصحَّح بعد التحقق] الصياغة الأولى: `Risk/risk_settings.php` شاشةُ عرضٍ فقط تقرأ الإطارَ من مصادرَ حية (`:31-52`) بلا أيِّ مسلكِ تعديل؛ ولا فعلَ في `Risk/risk_actions.php` يعدّل نموذجَ القياسِ ولا قواعدَ الفرزِ ولا التصنيف. فما تملكه ال</t>
  </si>
  <si>
    <t xml:space="preserve">فخُّ ⑥: Risk/risk_actions.php يحوي أفعالَ تعديلٍ حيّةً للتصنيف والحدود والشهية — taxonomy_define (:421 → RiskService::defineTaxonomy:890) وkri_threshold (:433 → setKriThreshold:939) وappetite_set (:414 → setAppetite:826)، وtaxonomy_define مربوطٌ بواجهةٍ في Risk/risk_units.php:147؛ فادعاءُ «لا فعلَ يعدّل التصنيف» ساقط.</t>
  </si>
  <si>
    <t xml:space="preserve">Risk/risk_actions.php:414; :421; :433; Risk/risk_units.php:147; app/Services/Risk/RiskService.php:826; :890; :939</t>
  </si>
  <si>
    <t xml:space="preserve">REF-095</t>
  </si>
  <si>
    <t xml:space="preserve">إنجازي / مساحة العمل / بلاغ سياقي جديد</t>
  </si>
  <si>
    <t xml:space="preserve">العرضُ محميٌّ مركزيًّا في الثلاث؛ الملاحظةُ الباقيةُ الوحيدةُ أن معالجَ POST في `ticket_contextual_open.php:35` يسبق التضمين — وهو فعلُ «أبلغ عن مشكلة» المفتوحُ عمدًا لكل مصادَق. — [مُصحَّح بعد التحقق] الصياغة الأولى: ثلاثُ شاشاتٍ من شاشاتِ المساحةِ الشخصيةِ بلا حارسِ صلاحيةٍ إطلاقًا: `Portal/my_achievement.php` (السطور 8-21: جلسةٌ وكيانٌ فقط، ولا `check_page_permissions` ولا تضمينُ `permissions_helper.php`)، و`Por</t>
  </si>
  <si>
    <t xml:space="preserve">فخُّ ١ حرفيًّا: الشاشاتُ الثلاثُ تُضمّن `../insidebar.php` (:57 · :54 · :80) وكلُّها مسجَّلةٌ في `modules` (188 · 191 · 227) — فيفرض `enforce_current_page_view_permission` صلاحيةَ العرض ويعيد التوجيهَ ويُنهي.</t>
  </si>
  <si>
    <t xml:space="preserve">Portal/my_achievement.php:57; Portal/workspace.php:54; Tickets/ticket_contextual_open.php:80; insidebar.php:12-14</t>
  </si>
  <si>
    <t xml:space="preserve">كيف يستعمل فريق البرمجة هذه الحزمة</t>
  </si>
  <si>
    <t xml:space="preserve">ترتيب العمل</t>
  </si>
  <si>
    <t xml:space="preserve">ابدأ من شيت «أول 20 إصلاحًا»، ثم رشّح «السجل الجامع» على Severity = P0 ثم P1، ثم على «يمنع العرض الخارجي = نعم» قبل أي عرض للعميل.</t>
  </si>
  <si>
    <t xml:space="preserve">كيف تُقرأ الملاحظة</t>
  </si>
  <si>
    <t xml:space="preserve">العمودان «المتوقَّع حسب الوثيقة» و«الواقع في النظام» يحدّدان الفجوة، و«الدليل» يعطي الملف والسطر مباشرةً، و«خطوات إعادة الإنتاج» تعيد الخطأ، و«اختبار القبول» يثبت الإصلاح.</t>
  </si>
  <si>
    <t xml:space="preserve">«مؤكَّدة» = محقق مستقل فتح الملف عند السطر وأثبت الادعاء. «مرجَّحة» = الجوهر صحيح وقد عُدِّلت الصياغة أو الخطورة. أما ما سقط فمعزول في شيت «مرفوضة بعد التحقق» ولا يُعمل به.</t>
  </si>
  <si>
    <t xml:space="preserve">عمود يخبرك إن كان الإصلاح المقترح صالحًا كما هو أم يحتاج قرارًا من مالك النظام أولًا (١٩ حالة).</t>
  </si>
  <si>
    <t xml:space="preserve">لماذا حقل لقطة الشاشة فارغ</t>
  </si>
  <si>
    <t xml:space="preserve">لم يكن المتصفح متصلًا بالجلسة، فكل الأدلة من الكود الحي (ملف:سطر) وهي أقوى للمبرمج من اللقطة. اللقطات تُضاف في جولة حية لاحقة، وقد وُسمت عشرُ ملاحظاتٍ فقط بـ Needs Access / Not Testable.</t>
  </si>
  <si>
    <t xml:space="preserve">الملفات الستة الأخرى</t>
  </si>
  <si>
    <t xml:space="preserve">01 الدستور · 02 المتطلبات الوظيفية · 03 الشاشات والسايدبار · 04 إعادة بناء الواجهة · 05 التنفيذ والدليل · 06 الحوكمة M-14 — وكلٌّ منها يحوي شيتًا لكل إدارة بالأعمدة نفسها، وشيت ملخص في أوله.</t>
  </si>
  <si>
    <t xml:space="preserve">لا تُغلق بندًا بلا دليل</t>
  </si>
  <si>
    <t xml:space="preserve">حسب INJAZ-DELIVERY-01 لا يُغلق البند إلا بحالة Evidence Closed؛ فالإصلاح وحده Implementation Closed ولا يكفي.</t>
  </si>
</sst>
</file>

<file path=xl/styles.xml><?xml version="1.0" encoding="utf-8"?>
<styleSheet xmlns="http://schemas.openxmlformats.org/spreadsheetml/2006/main">
  <numFmts count="2">
    <numFmt numFmtId="164" formatCode="General"/>
    <numFmt numFmtId="165" formatCode="General"/>
  </numFmts>
  <fonts count="19">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b val="true"/>
      <sz val="12"/>
      <color rgb="FF1F3864"/>
      <name val="Arial"/>
      <family val="0"/>
      <charset val="1"/>
    </font>
    <font>
      <b val="true"/>
      <sz val="10"/>
      <name val="Arial"/>
      <family val="0"/>
      <charset val="1"/>
    </font>
    <font>
      <b val="true"/>
      <sz val="11"/>
      <name val="Arial"/>
      <family val="0"/>
      <charset val="1"/>
    </font>
    <font>
      <sz val="9"/>
      <color rgb="FF595959"/>
      <name val="Arial"/>
      <family val="0"/>
      <charset val="1"/>
    </font>
    <font>
      <b val="true"/>
      <sz val="11"/>
      <color rgb="FFFFFFFF"/>
      <name val="Arial"/>
      <family val="0"/>
      <charset val="1"/>
    </font>
    <font>
      <sz val="10"/>
      <name val="Arial"/>
      <family val="0"/>
      <charset val="1"/>
    </font>
    <font>
      <b val="true"/>
      <sz val="10"/>
      <color rgb="FFFFFFFF"/>
      <name val="Arial"/>
      <family val="0"/>
      <charset val="1"/>
    </font>
    <font>
      <sz val="9"/>
      <name val="Arial"/>
      <family val="0"/>
      <charset val="1"/>
    </font>
    <font>
      <u val="single"/>
      <sz val="9"/>
      <color rgb="FF0563C1"/>
      <name val="Arial"/>
      <family val="0"/>
      <charset val="1"/>
    </font>
    <font>
      <b val="true"/>
      <sz val="9"/>
      <color rgb="FFFFFFFF"/>
      <name val="Arial"/>
      <family val="0"/>
      <charset val="1"/>
    </font>
    <font>
      <b val="true"/>
      <sz val="9"/>
      <color rgb="FFC00000"/>
      <name val="Arial"/>
      <family val="0"/>
      <charset val="1"/>
    </font>
    <font>
      <b val="true"/>
      <sz val="9"/>
      <color rgb="FF548235"/>
      <name val="Arial"/>
      <family val="0"/>
      <charset val="1"/>
    </font>
    <font>
      <b val="true"/>
      <sz val="9"/>
      <color rgb="FFBF8F00"/>
      <name val="Arial"/>
      <family val="0"/>
      <charset val="1"/>
    </font>
  </fonts>
  <fills count="10">
    <fill>
      <patternFill patternType="none"/>
    </fill>
    <fill>
      <patternFill patternType="gray125"/>
    </fill>
    <fill>
      <patternFill patternType="solid">
        <fgColor rgb="FFC00000"/>
        <bgColor rgb="FF800000"/>
      </patternFill>
    </fill>
    <fill>
      <patternFill patternType="solid">
        <fgColor rgb="FFE36C0A"/>
        <bgColor rgb="FFBF8F00"/>
      </patternFill>
    </fill>
    <fill>
      <patternFill patternType="solid">
        <fgColor rgb="FFBF8F00"/>
        <bgColor rgb="FFE36C0A"/>
      </patternFill>
    </fill>
    <fill>
      <patternFill patternType="solid">
        <fgColor rgb="FF548235"/>
        <bgColor rgb="FF339966"/>
      </patternFill>
    </fill>
    <fill>
      <patternFill patternType="solid">
        <fgColor rgb="FF808080"/>
        <bgColor rgb="FF969696"/>
      </patternFill>
    </fill>
    <fill>
      <patternFill patternType="solid">
        <fgColor rgb="FFFFF2CC"/>
        <bgColor rgb="FFFFFFFF"/>
      </patternFill>
    </fill>
    <fill>
      <patternFill patternType="solid">
        <fgColor rgb="FF1F3864"/>
        <bgColor rgb="FF333333"/>
      </patternFill>
    </fill>
    <fill>
      <patternFill patternType="solid">
        <fgColor rgb="FFD9E1F2"/>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true" indent="0" shrinkToFit="false" readingOrder="2"/>
      <protection locked="true" hidden="false"/>
    </xf>
    <xf numFmtId="164" fontId="5" fillId="0" borderId="0" xfId="0" applyFont="true" applyBorder="true" applyAlignment="true" applyProtection="false">
      <alignment horizontal="center" vertical="center" textRotation="0" wrapText="true" indent="0" shrinkToFit="false" readingOrder="2"/>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right" vertical="top" textRotation="0" wrapText="true" indent="0" shrinkToFit="false" readingOrder="2"/>
      <protection locked="true" hidden="false"/>
    </xf>
    <xf numFmtId="164" fontId="8" fillId="0" borderId="0" xfId="0" applyFont="true" applyBorder="false" applyAlignment="true" applyProtection="false">
      <alignment horizontal="center" vertical="center" textRotation="0" wrapText="true" indent="0" shrinkToFit="false" readingOrder="2"/>
      <protection locked="true" hidden="false"/>
    </xf>
    <xf numFmtId="164" fontId="9" fillId="0" borderId="0" xfId="0" applyFont="true" applyBorder="false" applyAlignment="true" applyProtection="false">
      <alignment horizontal="right" vertical="top" textRotation="0" wrapText="true" indent="0" shrinkToFit="false" readingOrder="2"/>
      <protection locked="true" hidden="false"/>
    </xf>
    <xf numFmtId="165" fontId="10" fillId="2" borderId="0" xfId="0" applyFont="true" applyBorder="false" applyAlignment="true" applyProtection="false">
      <alignment horizontal="center" vertical="center" textRotation="0" wrapText="true" indent="0" shrinkToFit="false" readingOrder="2"/>
      <protection locked="true" hidden="false"/>
    </xf>
    <xf numFmtId="165" fontId="10" fillId="3" borderId="0" xfId="0" applyFont="true" applyBorder="false" applyAlignment="true" applyProtection="false">
      <alignment horizontal="center" vertical="center" textRotation="0" wrapText="true" indent="0" shrinkToFit="false" readingOrder="2"/>
      <protection locked="true" hidden="false"/>
    </xf>
    <xf numFmtId="165" fontId="10" fillId="4" borderId="0" xfId="0" applyFont="true" applyBorder="false" applyAlignment="true" applyProtection="false">
      <alignment horizontal="center" vertical="center" textRotation="0" wrapText="true" indent="0" shrinkToFit="false" readingOrder="2"/>
      <protection locked="true" hidden="false"/>
    </xf>
    <xf numFmtId="165" fontId="10" fillId="5" borderId="0" xfId="0" applyFont="true" applyBorder="false" applyAlignment="true" applyProtection="false">
      <alignment horizontal="center" vertical="center" textRotation="0" wrapText="true" indent="0" shrinkToFit="false" readingOrder="2"/>
      <protection locked="true" hidden="false"/>
    </xf>
    <xf numFmtId="165" fontId="10" fillId="6" borderId="0" xfId="0" applyFont="true" applyBorder="false" applyAlignment="true" applyProtection="false">
      <alignment horizontal="center" vertical="center" textRotation="0" wrapText="true" indent="0" shrinkToFit="false" readingOrder="2"/>
      <protection locked="true" hidden="false"/>
    </xf>
    <xf numFmtId="164" fontId="11" fillId="7" borderId="0" xfId="0" applyFont="true" applyBorder="true" applyAlignment="true" applyProtection="false">
      <alignment horizontal="right" vertical="top" textRotation="0" wrapText="true" indent="0" shrinkToFit="false" readingOrder="2"/>
      <protection locked="true" hidden="false"/>
    </xf>
    <xf numFmtId="164" fontId="12" fillId="8" borderId="1" xfId="0" applyFont="true" applyBorder="true" applyAlignment="true" applyProtection="false">
      <alignment horizontal="center" vertical="center" textRotation="0" wrapText="true" indent="0" shrinkToFit="false" readingOrder="2"/>
      <protection locked="true" hidden="false"/>
    </xf>
    <xf numFmtId="164" fontId="13" fillId="0" borderId="1" xfId="0" applyFont="true" applyBorder="true" applyAlignment="true" applyProtection="false">
      <alignment horizontal="right" vertical="top" textRotation="0" wrapText="true" indent="0" shrinkToFit="false" readingOrder="2"/>
      <protection locked="true" hidden="false"/>
    </xf>
    <xf numFmtId="164" fontId="14" fillId="0" borderId="1" xfId="0" applyFont="true" applyBorder="true" applyAlignment="true" applyProtection="false">
      <alignment horizontal="right" vertical="top" textRotation="0" wrapText="true" indent="0" shrinkToFit="false" readingOrder="2"/>
      <protection locked="true" hidden="false"/>
    </xf>
    <xf numFmtId="164" fontId="15" fillId="2" borderId="1" xfId="0" applyFont="true" applyBorder="true" applyAlignment="true" applyProtection="false">
      <alignment horizontal="center" vertical="center" textRotation="0" wrapText="true" indent="0" shrinkToFit="false" readingOrder="2"/>
      <protection locked="true" hidden="false"/>
    </xf>
    <xf numFmtId="164" fontId="16" fillId="0" borderId="1" xfId="0" applyFont="true" applyBorder="true" applyAlignment="true" applyProtection="false">
      <alignment horizontal="center" vertical="center" textRotation="0" wrapText="true" indent="0" shrinkToFit="false" readingOrder="2"/>
      <protection locked="true" hidden="false"/>
    </xf>
    <xf numFmtId="164" fontId="17" fillId="0" borderId="1" xfId="0" applyFont="true" applyBorder="true" applyAlignment="true" applyProtection="false">
      <alignment horizontal="center" vertical="center" textRotation="0" wrapText="true" indent="0" shrinkToFit="false" readingOrder="2"/>
      <protection locked="true" hidden="false"/>
    </xf>
    <xf numFmtId="164" fontId="15" fillId="3" borderId="1" xfId="0" applyFont="true" applyBorder="true" applyAlignment="true" applyProtection="false">
      <alignment horizontal="center" vertical="center" textRotation="0" wrapText="true" indent="0" shrinkToFit="false" readingOrder="2"/>
      <protection locked="true" hidden="false"/>
    </xf>
    <xf numFmtId="164" fontId="13" fillId="0" borderId="1" xfId="0" applyFont="true" applyBorder="true" applyAlignment="true" applyProtection="false">
      <alignment horizontal="center" vertical="center" textRotation="0" wrapText="true" indent="0" shrinkToFit="false" readingOrder="2"/>
      <protection locked="true" hidden="false"/>
    </xf>
    <xf numFmtId="164" fontId="18" fillId="0" borderId="1" xfId="0" applyFont="true" applyBorder="true" applyAlignment="true" applyProtection="false">
      <alignment horizontal="center" vertical="center" textRotation="0" wrapText="true" indent="0" shrinkToFit="false" readingOrder="2"/>
      <protection locked="true" hidden="false"/>
    </xf>
    <xf numFmtId="164" fontId="15" fillId="4" borderId="1" xfId="0" applyFont="true" applyBorder="true" applyAlignment="true" applyProtection="false">
      <alignment horizontal="center" vertical="center" textRotation="0" wrapText="true" indent="0" shrinkToFit="false" readingOrder="2"/>
      <protection locked="true" hidden="false"/>
    </xf>
    <xf numFmtId="164" fontId="15" fillId="5" borderId="1" xfId="0" applyFont="true" applyBorder="true" applyAlignment="true" applyProtection="false">
      <alignment horizontal="center" vertical="center" textRotation="0" wrapText="true" indent="0" shrinkToFit="false" readingOrder="2"/>
      <protection locked="true" hidden="false"/>
    </xf>
    <xf numFmtId="164" fontId="15" fillId="6" borderId="1" xfId="0" applyFont="true" applyBorder="true" applyAlignment="true" applyProtection="false">
      <alignment horizontal="center" vertical="center" textRotation="0" wrapText="true" indent="0" shrinkToFit="false" readingOrder="2"/>
      <protection locked="true" hidden="false"/>
    </xf>
    <xf numFmtId="164" fontId="11" fillId="0" borderId="1" xfId="0" applyFont="true" applyBorder="true" applyAlignment="true" applyProtection="false">
      <alignment horizontal="right" vertical="top" textRotation="0" wrapText="true" indent="0" shrinkToFit="false" readingOrder="2"/>
      <protection locked="true" hidden="false"/>
    </xf>
    <xf numFmtId="164" fontId="0" fillId="0" borderId="1" xfId="0" applyFont="true" applyBorder="true" applyAlignment="true" applyProtection="false">
      <alignment horizontal="center" vertical="center" textRotation="0" wrapText="true" indent="0" shrinkToFit="false" readingOrder="2"/>
      <protection locked="true" hidden="false"/>
    </xf>
    <xf numFmtId="165" fontId="11" fillId="0" borderId="1" xfId="0" applyFont="true" applyBorder="true" applyAlignment="true" applyProtection="false">
      <alignment horizontal="center" vertical="center" textRotation="0" wrapText="true" indent="0" shrinkToFit="false" readingOrder="2"/>
      <protection locked="true" hidden="false"/>
    </xf>
    <xf numFmtId="165" fontId="7" fillId="0" borderId="1" xfId="0" applyFont="true" applyBorder="true" applyAlignment="true" applyProtection="false">
      <alignment horizontal="center" vertical="center" textRotation="0" wrapText="true" indent="0" shrinkToFit="false" readingOrder="2"/>
      <protection locked="true" hidden="false"/>
    </xf>
    <xf numFmtId="164" fontId="7" fillId="9" borderId="1" xfId="0" applyFont="true" applyBorder="true" applyAlignment="false" applyProtection="false">
      <alignment horizontal="general" vertical="bottom" textRotation="0" wrapText="false" indent="0" shrinkToFit="false"/>
      <protection locked="true" hidden="false"/>
    </xf>
    <xf numFmtId="164" fontId="0" fillId="9" borderId="1" xfId="0" applyFont="false" applyBorder="true" applyAlignment="false" applyProtection="false">
      <alignment horizontal="general" vertical="bottom" textRotation="0" wrapText="false" indent="0" shrinkToFit="false"/>
      <protection locked="true" hidden="false"/>
    </xf>
    <xf numFmtId="165" fontId="7" fillId="9" borderId="1" xfId="0" applyFont="true" applyBorder="true" applyAlignment="true" applyProtection="false">
      <alignment horizontal="center" vertical="center" textRotation="0" wrapText="true" indent="0" shrinkToFit="false" readingOrder="2"/>
      <protection locked="true" hidden="false"/>
    </xf>
    <xf numFmtId="164" fontId="0" fillId="0" borderId="0" xfId="0" applyFont="false" applyBorder="true" applyAlignment="true" applyProtection="false">
      <alignment horizontal="center" vertical="center" textRotation="0" wrapText="true" indent="0" shrinkToFit="false" readingOrder="2"/>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right" vertical="top" textRotation="0" wrapText="true" indent="0" shrinkToFit="false" readingOrder="2"/>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0563C1"/>
          <bgColor rgb="FF000000"/>
        </patternFill>
      </fill>
    </dxf>
    <dxf>
      <fill>
        <patternFill patternType="solid">
          <fgColor rgb="FF548235"/>
          <bgColor rgb="FF000000"/>
        </patternFill>
      </fill>
    </dxf>
    <dxf>
      <fill>
        <patternFill patternType="solid">
          <fgColor rgb="FF808080"/>
          <bgColor rgb="FF000000"/>
        </patternFill>
      </fill>
    </dxf>
    <dxf>
      <fill>
        <patternFill patternType="solid">
          <fgColor rgb="FFBF8F00"/>
          <bgColor rgb="FF000000"/>
        </patternFill>
      </fill>
    </dxf>
    <dxf>
      <fill>
        <patternFill patternType="solid">
          <fgColor rgb="FFC00000"/>
          <bgColor rgb="FF000000"/>
        </patternFill>
      </fill>
    </dxf>
    <dxf>
      <fill>
        <patternFill patternType="solid">
          <fgColor rgb="FFE36C0A"/>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9999FF"/>
      <rgbColor rgb="FF993366"/>
      <rgbColor rgb="FFFFF2CC"/>
      <rgbColor rgb="FFCCFFFF"/>
      <rgbColor rgb="FF660066"/>
      <rgbColor rgb="FFFF8080"/>
      <rgbColor rgb="FF0563C1"/>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BF8F00"/>
      <rgbColor rgb="FFE36C0A"/>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8"/>
  <sheetViews>
    <sheetView showFormulas="false" showGridLines="true" showRowColHeaders="true" showZeros="true" rightToLeft="tru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6"/>
    <col collapsed="false" customWidth="true" hidden="false" outlineLevel="0" max="3" min="3" style="0" width="96"/>
    <col collapsed="false" customWidth="true" hidden="false" outlineLevel="0" max="6" min="4" style="0" width="4"/>
  </cols>
  <sheetData>
    <row r="1" customFormat="false" ht="24" hidden="false" customHeight="true" outlineLevel="0" collapsed="false">
      <c r="A1" s="1" t="s">
        <v>0</v>
      </c>
      <c r="B1" s="1"/>
      <c r="C1" s="1"/>
      <c r="D1" s="1"/>
      <c r="E1" s="1"/>
      <c r="F1" s="1"/>
    </row>
    <row r="2" customFormat="false" ht="15.75" hidden="false" customHeight="true" outlineLevel="0" collapsed="false">
      <c r="A2" s="2" t="s">
        <v>1</v>
      </c>
      <c r="B2" s="2"/>
      <c r="C2" s="2"/>
      <c r="D2" s="2"/>
      <c r="E2" s="2"/>
      <c r="F2" s="2"/>
    </row>
    <row r="4" customFormat="false" ht="15" hidden="false" customHeight="false" outlineLevel="0" collapsed="false">
      <c r="A4" s="3" t="s">
        <v>2</v>
      </c>
    </row>
    <row r="5" customFormat="false" ht="15" hidden="false" customHeight="false" outlineLevel="0" collapsed="false">
      <c r="A5" s="4" t="s">
        <v>3</v>
      </c>
      <c r="B5" s="5" t="n">
        <v>6</v>
      </c>
      <c r="C5" s="6" t="s">
        <v>4</v>
      </c>
    </row>
    <row r="6" customFormat="false" ht="15" hidden="false" customHeight="false" outlineLevel="0" collapsed="false">
      <c r="A6" s="4" t="s">
        <v>5</v>
      </c>
      <c r="B6" s="5" t="n">
        <v>19</v>
      </c>
      <c r="C6" s="6" t="s">
        <v>6</v>
      </c>
    </row>
    <row r="7" customFormat="false" ht="15" hidden="false" customHeight="false" outlineLevel="0" collapsed="false">
      <c r="A7" s="4" t="s">
        <v>7</v>
      </c>
      <c r="B7" s="5" t="n">
        <v>2170</v>
      </c>
      <c r="C7" s="6" t="s">
        <v>8</v>
      </c>
    </row>
    <row r="8" customFormat="false" ht="15" hidden="false" customHeight="false" outlineLevel="0" collapsed="false">
      <c r="A8" s="4" t="s">
        <v>9</v>
      </c>
      <c r="B8" s="5" t="n">
        <v>491</v>
      </c>
      <c r="C8" s="6" t="s">
        <v>10</v>
      </c>
    </row>
    <row r="9" customFormat="false" ht="15" hidden="false" customHeight="false" outlineLevel="0" collapsed="false">
      <c r="A9" s="4" t="s">
        <v>11</v>
      </c>
      <c r="B9" s="5" t="n">
        <v>174</v>
      </c>
      <c r="C9" s="6" t="s">
        <v>12</v>
      </c>
    </row>
    <row r="10" customFormat="false" ht="15" hidden="false" customHeight="false" outlineLevel="0" collapsed="false">
      <c r="A10" s="4" t="s">
        <v>13</v>
      </c>
      <c r="B10" s="5" t="n">
        <v>103</v>
      </c>
      <c r="C10" s="6" t="s">
        <v>14</v>
      </c>
    </row>
    <row r="12" customFormat="false" ht="15" hidden="false" customHeight="false" outlineLevel="0" collapsed="false">
      <c r="A12" s="3" t="s">
        <v>15</v>
      </c>
    </row>
    <row r="13" customFormat="false" ht="15" hidden="false" customHeight="false" outlineLevel="0" collapsed="false">
      <c r="A13" s="4" t="s">
        <v>16</v>
      </c>
      <c r="B13" s="5" t="n">
        <f aca="false">COUNTA('السجل الجامع'!$A$5:$A$599)</f>
        <v>595</v>
      </c>
      <c r="C13" s="6" t="s">
        <v>17</v>
      </c>
    </row>
    <row r="14" customFormat="false" ht="15" hidden="false" customHeight="false" outlineLevel="0" collapsed="false">
      <c r="A14" s="4" t="s">
        <v>18</v>
      </c>
      <c r="B14" s="7" t="n">
        <f aca="false">COUNTIF('السجل الجامع'!$K$5:$K$599,"P0")</f>
        <v>13</v>
      </c>
      <c r="C14" s="6" t="s">
        <v>19</v>
      </c>
    </row>
    <row r="15" customFormat="false" ht="15" hidden="false" customHeight="false" outlineLevel="0" collapsed="false">
      <c r="A15" s="4" t="s">
        <v>20</v>
      </c>
      <c r="B15" s="8" t="n">
        <f aca="false">COUNTIF('السجل الجامع'!$K$5:$K$599,"P1")</f>
        <v>103</v>
      </c>
      <c r="C15" s="6"/>
    </row>
    <row r="16" customFormat="false" ht="15" hidden="false" customHeight="false" outlineLevel="0" collapsed="false">
      <c r="A16" s="4" t="s">
        <v>21</v>
      </c>
      <c r="B16" s="9" t="n">
        <f aca="false">COUNTIF('السجل الجامع'!$K$5:$K$599,"P2")</f>
        <v>294</v>
      </c>
      <c r="C16" s="6"/>
    </row>
    <row r="17" customFormat="false" ht="15" hidden="false" customHeight="false" outlineLevel="0" collapsed="false">
      <c r="A17" s="4" t="s">
        <v>22</v>
      </c>
      <c r="B17" s="10" t="n">
        <f aca="false">COUNTIF('السجل الجامع'!$K$5:$K$599,"P3")</f>
        <v>180</v>
      </c>
      <c r="C17" s="6"/>
    </row>
    <row r="18" customFormat="false" ht="15" hidden="false" customHeight="false" outlineLevel="0" collapsed="false">
      <c r="A18" s="4" t="s">
        <v>23</v>
      </c>
      <c r="B18" s="11" t="n">
        <f aca="false">COUNTIF('السجل الجامع'!$K$5:$K$599,"P4")</f>
        <v>5</v>
      </c>
      <c r="C18" s="6"/>
    </row>
    <row r="19" customFormat="false" ht="15" hidden="false" customHeight="false" outlineLevel="0" collapsed="false">
      <c r="A19" s="4" t="s">
        <v>24</v>
      </c>
      <c r="B19" s="5" t="n">
        <f aca="false">COUNTIF('السجل الجامع'!$S$5:$S$599,"نعم")</f>
        <v>308</v>
      </c>
      <c r="C19" s="6"/>
    </row>
    <row r="20" customFormat="false" ht="15" hidden="false" customHeight="false" outlineLevel="0" collapsed="false">
      <c r="A20" s="4" t="s">
        <v>25</v>
      </c>
      <c r="B20" s="5" t="n">
        <f aca="false">COUNTIF('السجل الجامع'!$T$5:$T$599,"نعم")</f>
        <v>390</v>
      </c>
      <c r="C20" s="6"/>
    </row>
    <row r="21" customFormat="false" ht="15" hidden="false" customHeight="false" outlineLevel="0" collapsed="false">
      <c r="A21" s="4" t="s">
        <v>26</v>
      </c>
      <c r="B21" s="5" t="n">
        <f aca="false">COUNTIF('السجل الجامع'!$W$5:$W$599,"مؤكَّدة")</f>
        <v>447</v>
      </c>
      <c r="C21" s="6" t="s">
        <v>27</v>
      </c>
    </row>
    <row r="22" customFormat="false" ht="15" hidden="false" customHeight="false" outlineLevel="0" collapsed="false">
      <c r="A22" s="4" t="s">
        <v>28</v>
      </c>
      <c r="B22" s="5" t="n">
        <f aca="false">COUNTIF('السجل الجامع'!$W$5:$W$599,"مرجَّحة")</f>
        <v>148</v>
      </c>
      <c r="C22" s="6"/>
    </row>
    <row r="24" customFormat="false" ht="15" hidden="false" customHeight="false" outlineLevel="0" collapsed="false">
      <c r="A24" s="3" t="s">
        <v>29</v>
      </c>
    </row>
    <row r="25" customFormat="false" ht="15" hidden="false" customHeight="false" outlineLevel="0" collapsed="false">
      <c r="A25" s="4" t="s">
        <v>30</v>
      </c>
      <c r="B25" s="5" t="n">
        <v>16</v>
      </c>
      <c r="C25" s="6" t="s">
        <v>31</v>
      </c>
    </row>
    <row r="26" customFormat="false" ht="15" hidden="false" customHeight="false" outlineLevel="0" collapsed="false">
      <c r="A26" s="4" t="s">
        <v>32</v>
      </c>
      <c r="B26" s="5" t="n">
        <v>11</v>
      </c>
      <c r="C26" s="6" t="s">
        <v>33</v>
      </c>
    </row>
    <row r="27" customFormat="false" ht="15" hidden="false" customHeight="false" outlineLevel="0" collapsed="false">
      <c r="A27" s="4" t="s">
        <v>34</v>
      </c>
      <c r="B27" s="5" t="n">
        <v>9</v>
      </c>
      <c r="C27" s="6" t="s">
        <v>35</v>
      </c>
    </row>
    <row r="28" customFormat="false" ht="15" hidden="false" customHeight="false" outlineLevel="0" collapsed="false">
      <c r="A28" s="4" t="s">
        <v>36</v>
      </c>
      <c r="B28" s="5" t="n">
        <v>8</v>
      </c>
      <c r="C28" s="6" t="s">
        <v>37</v>
      </c>
    </row>
    <row r="29" customFormat="false" ht="15" hidden="false" customHeight="false" outlineLevel="0" collapsed="false">
      <c r="A29" s="4" t="s">
        <v>38</v>
      </c>
      <c r="B29" s="5" t="n">
        <v>7</v>
      </c>
      <c r="C29" s="6" t="s">
        <v>39</v>
      </c>
    </row>
    <row r="30" customFormat="false" ht="15" hidden="false" customHeight="false" outlineLevel="0" collapsed="false">
      <c r="A30" s="4" t="s">
        <v>40</v>
      </c>
      <c r="B30" s="5" t="n">
        <v>7</v>
      </c>
      <c r="C30" s="6" t="s">
        <v>41</v>
      </c>
    </row>
    <row r="32" customFormat="false" ht="15" hidden="false" customHeight="false" outlineLevel="0" collapsed="false">
      <c r="A32" s="3" t="s">
        <v>42</v>
      </c>
    </row>
    <row r="33" customFormat="false" ht="15" hidden="false" customHeight="false" outlineLevel="0" collapsed="false">
      <c r="A33" s="4" t="s">
        <v>43</v>
      </c>
      <c r="B33" s="5" t="n">
        <v>174</v>
      </c>
      <c r="C33" s="6"/>
    </row>
    <row r="34" customFormat="false" ht="15" hidden="false" customHeight="false" outlineLevel="0" collapsed="false">
      <c r="A34" s="4" t="s">
        <v>44</v>
      </c>
      <c r="B34" s="5" t="n">
        <v>156</v>
      </c>
      <c r="C34" s="6"/>
    </row>
    <row r="35" customFormat="false" ht="15" hidden="false" customHeight="false" outlineLevel="0" collapsed="false">
      <c r="A35" s="4" t="s">
        <v>45</v>
      </c>
      <c r="B35" s="5" t="n">
        <v>131</v>
      </c>
      <c r="C35" s="6"/>
    </row>
    <row r="36" customFormat="false" ht="15" hidden="false" customHeight="false" outlineLevel="0" collapsed="false">
      <c r="A36" s="4" t="s">
        <v>46</v>
      </c>
      <c r="B36" s="5" t="n">
        <v>59</v>
      </c>
      <c r="C36" s="6"/>
    </row>
    <row r="37" customFormat="false" ht="15" hidden="false" customHeight="false" outlineLevel="0" collapsed="false">
      <c r="A37" s="4" t="s">
        <v>47</v>
      </c>
      <c r="B37" s="5" t="n">
        <v>39</v>
      </c>
      <c r="C37" s="6"/>
    </row>
    <row r="38" customFormat="false" ht="15" hidden="false" customHeight="false" outlineLevel="0" collapsed="false">
      <c r="A38" s="4" t="s">
        <v>48</v>
      </c>
      <c r="B38" s="5" t="n">
        <v>36</v>
      </c>
      <c r="C38" s="6"/>
    </row>
    <row r="40" customFormat="false" ht="15" hidden="false" customHeight="false" outlineLevel="0" collapsed="false">
      <c r="A40" s="3" t="s">
        <v>49</v>
      </c>
    </row>
    <row r="41" customFormat="false" ht="15" hidden="false" customHeight="false" outlineLevel="0" collapsed="false">
      <c r="A41" s="4" t="s">
        <v>50</v>
      </c>
      <c r="B41" s="5" t="n">
        <v>97</v>
      </c>
      <c r="C41" s="6"/>
    </row>
    <row r="42" customFormat="false" ht="15" hidden="false" customHeight="false" outlineLevel="0" collapsed="false">
      <c r="A42" s="4" t="s">
        <v>51</v>
      </c>
      <c r="B42" s="5" t="n">
        <v>68</v>
      </c>
      <c r="C42" s="6"/>
    </row>
    <row r="43" customFormat="false" ht="15" hidden="false" customHeight="false" outlineLevel="0" collapsed="false">
      <c r="A43" s="4" t="s">
        <v>52</v>
      </c>
      <c r="B43" s="5" t="n">
        <v>68</v>
      </c>
      <c r="C43" s="6"/>
    </row>
    <row r="44" customFormat="false" ht="15" hidden="false" customHeight="false" outlineLevel="0" collapsed="false">
      <c r="A44" s="4" t="s">
        <v>53</v>
      </c>
      <c r="B44" s="5" t="n">
        <v>58</v>
      </c>
      <c r="C44" s="6"/>
    </row>
    <row r="45" customFormat="false" ht="15" hidden="false" customHeight="false" outlineLevel="0" collapsed="false">
      <c r="A45" s="4" t="s">
        <v>54</v>
      </c>
      <c r="B45" s="5" t="n">
        <v>48</v>
      </c>
      <c r="C45" s="6"/>
    </row>
    <row r="46" customFormat="false" ht="15" hidden="false" customHeight="false" outlineLevel="0" collapsed="false">
      <c r="A46" s="4" t="s">
        <v>55</v>
      </c>
      <c r="B46" s="5" t="n">
        <v>40</v>
      </c>
      <c r="C46" s="6"/>
    </row>
    <row r="47" customFormat="false" ht="15" hidden="false" customHeight="false" outlineLevel="0" collapsed="false">
      <c r="A47" s="4" t="s">
        <v>56</v>
      </c>
      <c r="B47" s="5" t="n">
        <v>38</v>
      </c>
      <c r="C47" s="6"/>
    </row>
    <row r="48" customFormat="false" ht="15" hidden="false" customHeight="false" outlineLevel="0" collapsed="false">
      <c r="A48" s="4" t="s">
        <v>57</v>
      </c>
      <c r="B48" s="5" t="n">
        <v>34</v>
      </c>
      <c r="C48" s="6"/>
    </row>
    <row r="50" customFormat="false" ht="15" hidden="false" customHeight="false" outlineLevel="0" collapsed="false">
      <c r="A50" s="3" t="s">
        <v>58</v>
      </c>
    </row>
    <row r="51" customFormat="false" ht="30" hidden="false" customHeight="true" outlineLevel="0" collapsed="false">
      <c r="A51" s="12" t="s">
        <v>59</v>
      </c>
      <c r="B51" s="12"/>
      <c r="C51" s="12"/>
    </row>
    <row r="52" customFormat="false" ht="30" hidden="false" customHeight="true" outlineLevel="0" collapsed="false">
      <c r="A52" s="12"/>
      <c r="B52" s="12"/>
      <c r="C52" s="12"/>
    </row>
    <row r="53" customFormat="false" ht="30" hidden="false" customHeight="true" outlineLevel="0" collapsed="false">
      <c r="A53" s="12"/>
      <c r="B53" s="12"/>
      <c r="C53" s="12"/>
    </row>
    <row r="54" customFormat="false" ht="30" hidden="false" customHeight="true" outlineLevel="0" collapsed="false">
      <c r="A54" s="12"/>
      <c r="B54" s="12"/>
      <c r="C54" s="12"/>
    </row>
    <row r="55" customFormat="false" ht="30" hidden="false" customHeight="true" outlineLevel="0" collapsed="false">
      <c r="A55" s="12"/>
      <c r="B55" s="12"/>
      <c r="C55" s="12"/>
    </row>
    <row r="56" customFormat="false" ht="30" hidden="false" customHeight="true" outlineLevel="0" collapsed="false">
      <c r="A56" s="12"/>
      <c r="B56" s="12"/>
      <c r="C56" s="12"/>
    </row>
    <row r="57" customFormat="false" ht="30" hidden="false" customHeight="true" outlineLevel="0" collapsed="false">
      <c r="A57" s="12"/>
      <c r="B57" s="12"/>
      <c r="C57" s="12"/>
    </row>
    <row r="58" customFormat="false" ht="30" hidden="false" customHeight="true" outlineLevel="0" collapsed="false">
      <c r="A58" s="12"/>
      <c r="B58" s="12"/>
      <c r="C58" s="12"/>
    </row>
  </sheetData>
  <mergeCells count="3">
    <mergeCell ref="A1:F1"/>
    <mergeCell ref="A2:F2"/>
    <mergeCell ref="A51:C5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599"/>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 collapsed="false" customWidth="true" hidden="false" outlineLevel="0" max="28" min="28" style="0" width="14"/>
    <col collapsed="false" customWidth="true" hidden="false" outlineLevel="0" max="29" min="29" style="0" width="22"/>
    <col collapsed="false" customWidth="true" hidden="false" outlineLevel="0" max="30" min="30" style="0" width="30"/>
  </cols>
  <sheetData>
    <row r="1" customFormat="false" ht="24" hidden="false" customHeight="true" outlineLevel="0" collapsed="false">
      <c r="A1" s="1" t="s">
        <v>60</v>
      </c>
      <c r="B1" s="1"/>
      <c r="C1" s="1"/>
      <c r="D1" s="1"/>
      <c r="E1" s="1"/>
      <c r="F1" s="1"/>
      <c r="G1" s="1"/>
      <c r="H1" s="1"/>
      <c r="I1" s="1"/>
      <c r="J1" s="1"/>
      <c r="K1" s="1"/>
      <c r="L1" s="1"/>
      <c r="M1" s="1"/>
      <c r="N1" s="1"/>
      <c r="O1" s="1"/>
      <c r="P1" s="1"/>
      <c r="Q1" s="1"/>
      <c r="R1" s="1"/>
      <c r="S1" s="1"/>
      <c r="T1" s="1"/>
      <c r="U1" s="1"/>
      <c r="V1" s="1"/>
      <c r="W1" s="1"/>
      <c r="X1" s="1"/>
      <c r="Y1" s="1"/>
      <c r="Z1" s="1"/>
      <c r="AA1" s="1"/>
      <c r="AB1" s="1"/>
      <c r="AC1" s="1"/>
      <c r="AD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c r="AB2" s="2"/>
      <c r="AC2" s="2"/>
      <c r="AD2" s="2"/>
    </row>
    <row r="4" customFormat="false" ht="30" hidden="false" customHeight="true" outlineLevel="0" collapsed="false">
      <c r="A4" s="13" t="s">
        <v>61</v>
      </c>
      <c r="B4" s="13" t="s">
        <v>62</v>
      </c>
      <c r="C4" s="13" t="s">
        <v>63</v>
      </c>
      <c r="D4" s="13" t="s">
        <v>64</v>
      </c>
      <c r="E4" s="13" t="s">
        <v>65</v>
      </c>
      <c r="F4" s="13" t="s">
        <v>66</v>
      </c>
      <c r="G4" s="13" t="s">
        <v>67</v>
      </c>
      <c r="H4" s="13" t="s">
        <v>68</v>
      </c>
      <c r="I4" s="13" t="s">
        <v>69</v>
      </c>
      <c r="J4" s="13" t="s">
        <v>70</v>
      </c>
      <c r="K4" s="13" t="s">
        <v>71</v>
      </c>
      <c r="L4" s="13" t="s">
        <v>72</v>
      </c>
      <c r="M4" s="13" t="s">
        <v>73</v>
      </c>
      <c r="N4" s="13" t="s">
        <v>74</v>
      </c>
      <c r="O4" s="13" t="s">
        <v>75</v>
      </c>
      <c r="P4" s="13" t="s">
        <v>76</v>
      </c>
      <c r="Q4" s="13" t="s">
        <v>77</v>
      </c>
      <c r="R4" s="13" t="s">
        <v>78</v>
      </c>
      <c r="S4" s="13" t="s">
        <v>79</v>
      </c>
      <c r="T4" s="13" t="s">
        <v>80</v>
      </c>
      <c r="U4" s="13" t="s">
        <v>81</v>
      </c>
      <c r="V4" s="13" t="s">
        <v>82</v>
      </c>
      <c r="W4" s="13" t="s">
        <v>83</v>
      </c>
      <c r="X4" s="13" t="s">
        <v>84</v>
      </c>
      <c r="Y4" s="13" t="s">
        <v>85</v>
      </c>
      <c r="Z4" s="13" t="s">
        <v>86</v>
      </c>
      <c r="AA4" s="13" t="s">
        <v>87</v>
      </c>
      <c r="AB4" s="13" t="s">
        <v>88</v>
      </c>
      <c r="AC4" s="13" t="s">
        <v>89</v>
      </c>
      <c r="AD4" s="13" t="s">
        <v>90</v>
      </c>
    </row>
    <row r="5" customFormat="false" ht="78" hidden="false" customHeight="true" outlineLevel="0" collapsed="false">
      <c r="A5" s="14" t="s">
        <v>91</v>
      </c>
      <c r="B5" s="14" t="s">
        <v>44</v>
      </c>
      <c r="C5" s="14" t="s">
        <v>92</v>
      </c>
      <c r="D5" s="14" t="s">
        <v>93</v>
      </c>
      <c r="E5" s="14" t="s">
        <v>94</v>
      </c>
      <c r="F5" s="15" t="s">
        <v>95</v>
      </c>
      <c r="G5" s="14" t="s">
        <v>96</v>
      </c>
      <c r="H5" s="14" t="s">
        <v>97</v>
      </c>
      <c r="I5" s="14" t="s">
        <v>98</v>
      </c>
      <c r="J5" s="14" t="s">
        <v>99</v>
      </c>
      <c r="K5" s="16" t="s">
        <v>100</v>
      </c>
      <c r="L5" s="14" t="s">
        <v>101</v>
      </c>
      <c r="M5" s="14" t="s">
        <v>102</v>
      </c>
      <c r="N5" s="14" t="s">
        <v>103</v>
      </c>
      <c r="O5" s="14"/>
      <c r="P5" s="14" t="s">
        <v>104</v>
      </c>
      <c r="Q5" s="14" t="s">
        <v>105</v>
      </c>
      <c r="R5" s="14" t="s">
        <v>106</v>
      </c>
      <c r="S5" s="17" t="s">
        <v>107</v>
      </c>
      <c r="T5" s="17" t="s">
        <v>107</v>
      </c>
      <c r="U5" s="14" t="s">
        <v>108</v>
      </c>
      <c r="V5" s="14" t="s">
        <v>109</v>
      </c>
      <c r="W5" s="18" t="s">
        <v>110</v>
      </c>
      <c r="X5" s="14" t="s">
        <v>111</v>
      </c>
      <c r="Y5" s="14" t="s">
        <v>100</v>
      </c>
      <c r="Z5" s="14" t="s">
        <v>107</v>
      </c>
      <c r="AA5" s="14" t="s">
        <v>107</v>
      </c>
      <c r="AB5" s="14" t="s">
        <v>112</v>
      </c>
      <c r="AC5" s="14" t="s">
        <v>113</v>
      </c>
      <c r="AD5" s="14" t="s">
        <v>114</v>
      </c>
    </row>
    <row r="6" customFormat="false" ht="78" hidden="false" customHeight="true" outlineLevel="0" collapsed="false">
      <c r="A6" s="14" t="s">
        <v>115</v>
      </c>
      <c r="B6" s="14" t="s">
        <v>43</v>
      </c>
      <c r="C6" s="14" t="s">
        <v>116</v>
      </c>
      <c r="D6" s="14" t="s">
        <v>117</v>
      </c>
      <c r="E6" s="14" t="s">
        <v>118</v>
      </c>
      <c r="F6" s="15" t="s">
        <v>119</v>
      </c>
      <c r="G6" s="14" t="s">
        <v>120</v>
      </c>
      <c r="H6" s="14" t="s">
        <v>121</v>
      </c>
      <c r="I6" s="14" t="s">
        <v>122</v>
      </c>
      <c r="J6" s="14" t="s">
        <v>50</v>
      </c>
      <c r="K6" s="16" t="s">
        <v>100</v>
      </c>
      <c r="L6" s="14" t="s">
        <v>123</v>
      </c>
      <c r="M6" s="14" t="s">
        <v>124</v>
      </c>
      <c r="N6" s="14" t="s">
        <v>125</v>
      </c>
      <c r="O6" s="14"/>
      <c r="P6" s="14" t="s">
        <v>126</v>
      </c>
      <c r="Q6" s="14" t="s">
        <v>127</v>
      </c>
      <c r="R6" s="14" t="s">
        <v>128</v>
      </c>
      <c r="S6" s="17" t="s">
        <v>107</v>
      </c>
      <c r="T6" s="17" t="s">
        <v>107</v>
      </c>
      <c r="U6" s="14" t="s">
        <v>129</v>
      </c>
      <c r="V6" s="14" t="s">
        <v>109</v>
      </c>
      <c r="W6" s="18" t="s">
        <v>110</v>
      </c>
      <c r="X6" s="14" t="s">
        <v>130</v>
      </c>
      <c r="Y6" s="14" t="s">
        <v>100</v>
      </c>
      <c r="Z6" s="14" t="s">
        <v>107</v>
      </c>
      <c r="AA6" s="14" t="s">
        <v>107</v>
      </c>
      <c r="AB6" s="14" t="s">
        <v>131</v>
      </c>
      <c r="AC6" s="14" t="s">
        <v>113</v>
      </c>
      <c r="AD6" s="14" t="s">
        <v>114</v>
      </c>
    </row>
    <row r="7" customFormat="false" ht="78" hidden="false" customHeight="true" outlineLevel="0" collapsed="false">
      <c r="A7" s="14" t="s">
        <v>132</v>
      </c>
      <c r="B7" s="14" t="s">
        <v>46</v>
      </c>
      <c r="C7" s="14" t="s">
        <v>133</v>
      </c>
      <c r="D7" s="14" t="s">
        <v>32</v>
      </c>
      <c r="E7" s="14" t="s">
        <v>134</v>
      </c>
      <c r="F7" s="15" t="s">
        <v>135</v>
      </c>
      <c r="G7" s="14" t="s">
        <v>136</v>
      </c>
      <c r="H7" s="14" t="s">
        <v>137</v>
      </c>
      <c r="I7" s="14" t="s">
        <v>138</v>
      </c>
      <c r="J7" s="14" t="s">
        <v>55</v>
      </c>
      <c r="K7" s="16" t="s">
        <v>100</v>
      </c>
      <c r="L7" s="14" t="s">
        <v>139</v>
      </c>
      <c r="M7" s="14" t="s">
        <v>140</v>
      </c>
      <c r="N7" s="14" t="s">
        <v>141</v>
      </c>
      <c r="O7" s="14"/>
      <c r="P7" s="14" t="s">
        <v>142</v>
      </c>
      <c r="Q7" s="14" t="s">
        <v>143</v>
      </c>
      <c r="R7" s="14" t="s">
        <v>144</v>
      </c>
      <c r="S7" s="17" t="s">
        <v>107</v>
      </c>
      <c r="T7" s="17" t="s">
        <v>107</v>
      </c>
      <c r="U7" s="14" t="s">
        <v>145</v>
      </c>
      <c r="V7" s="14" t="s">
        <v>109</v>
      </c>
      <c r="W7" s="18" t="s">
        <v>110</v>
      </c>
      <c r="X7" s="14" t="s">
        <v>146</v>
      </c>
      <c r="Y7" s="14" t="s">
        <v>100</v>
      </c>
      <c r="Z7" s="14" t="s">
        <v>107</v>
      </c>
      <c r="AA7" s="14" t="s">
        <v>107</v>
      </c>
      <c r="AB7" s="14" t="s">
        <v>147</v>
      </c>
      <c r="AC7" s="14" t="s">
        <v>113</v>
      </c>
      <c r="AD7" s="14" t="s">
        <v>114</v>
      </c>
    </row>
    <row r="8" customFormat="false" ht="78" hidden="false" customHeight="true" outlineLevel="0" collapsed="false">
      <c r="A8" s="14" t="s">
        <v>148</v>
      </c>
      <c r="B8" s="14" t="s">
        <v>43</v>
      </c>
      <c r="C8" s="14" t="s">
        <v>149</v>
      </c>
      <c r="D8" s="14" t="s">
        <v>150</v>
      </c>
      <c r="E8" s="14" t="s">
        <v>151</v>
      </c>
      <c r="F8" s="15" t="s">
        <v>152</v>
      </c>
      <c r="G8" s="14" t="s">
        <v>153</v>
      </c>
      <c r="H8" s="14" t="s">
        <v>154</v>
      </c>
      <c r="I8" s="14" t="s">
        <v>155</v>
      </c>
      <c r="J8" s="14" t="s">
        <v>50</v>
      </c>
      <c r="K8" s="16" t="s">
        <v>100</v>
      </c>
      <c r="L8" s="14" t="s">
        <v>156</v>
      </c>
      <c r="M8" s="14" t="s">
        <v>157</v>
      </c>
      <c r="N8" s="14" t="s">
        <v>158</v>
      </c>
      <c r="O8" s="14"/>
      <c r="P8" s="14" t="s">
        <v>159</v>
      </c>
      <c r="Q8" s="14" t="s">
        <v>160</v>
      </c>
      <c r="R8" s="14" t="s">
        <v>161</v>
      </c>
      <c r="S8" s="17" t="s">
        <v>107</v>
      </c>
      <c r="T8" s="17" t="s">
        <v>107</v>
      </c>
      <c r="U8" s="14" t="s">
        <v>162</v>
      </c>
      <c r="V8" s="14" t="s">
        <v>109</v>
      </c>
      <c r="W8" s="18" t="s">
        <v>110</v>
      </c>
      <c r="X8" s="14" t="s">
        <v>163</v>
      </c>
      <c r="Y8" s="14" t="s">
        <v>100</v>
      </c>
      <c r="Z8" s="14" t="s">
        <v>107</v>
      </c>
      <c r="AA8" s="14" t="s">
        <v>107</v>
      </c>
      <c r="AB8" s="14" t="s">
        <v>131</v>
      </c>
      <c r="AC8" s="14" t="s">
        <v>113</v>
      </c>
      <c r="AD8" s="14" t="s">
        <v>114</v>
      </c>
    </row>
    <row r="9" customFormat="false" ht="78" hidden="false" customHeight="true" outlineLevel="0" collapsed="false">
      <c r="A9" s="14" t="s">
        <v>164</v>
      </c>
      <c r="B9" s="14" t="s">
        <v>46</v>
      </c>
      <c r="C9" s="14" t="s">
        <v>165</v>
      </c>
      <c r="D9" s="14" t="s">
        <v>30</v>
      </c>
      <c r="E9" s="14" t="s">
        <v>166</v>
      </c>
      <c r="F9" s="15" t="s">
        <v>167</v>
      </c>
      <c r="G9" s="14" t="s">
        <v>168</v>
      </c>
      <c r="H9" s="14" t="s">
        <v>169</v>
      </c>
      <c r="I9" s="14" t="s">
        <v>170</v>
      </c>
      <c r="J9" s="14" t="s">
        <v>50</v>
      </c>
      <c r="K9" s="16" t="s">
        <v>100</v>
      </c>
      <c r="L9" s="14" t="s">
        <v>171</v>
      </c>
      <c r="M9" s="14" t="s">
        <v>172</v>
      </c>
      <c r="N9" s="14" t="s">
        <v>173</v>
      </c>
      <c r="O9" s="14"/>
      <c r="P9" s="14" t="s">
        <v>174</v>
      </c>
      <c r="Q9" s="14" t="s">
        <v>175</v>
      </c>
      <c r="R9" s="14" t="s">
        <v>176</v>
      </c>
      <c r="S9" s="17" t="s">
        <v>107</v>
      </c>
      <c r="T9" s="17" t="s">
        <v>107</v>
      </c>
      <c r="U9" s="14" t="s">
        <v>177</v>
      </c>
      <c r="V9" s="14" t="s">
        <v>109</v>
      </c>
      <c r="W9" s="18" t="s">
        <v>110</v>
      </c>
      <c r="X9" s="14" t="s">
        <v>178</v>
      </c>
      <c r="Y9" s="14" t="s">
        <v>100</v>
      </c>
      <c r="Z9" s="14" t="s">
        <v>107</v>
      </c>
      <c r="AA9" s="14" t="s">
        <v>107</v>
      </c>
      <c r="AB9" s="14" t="s">
        <v>147</v>
      </c>
      <c r="AC9" s="14" t="s">
        <v>113</v>
      </c>
      <c r="AD9" s="14" t="s">
        <v>114</v>
      </c>
    </row>
    <row r="10" customFormat="false" ht="78" hidden="false" customHeight="true" outlineLevel="0" collapsed="false">
      <c r="A10" s="14" t="s">
        <v>179</v>
      </c>
      <c r="B10" s="14" t="s">
        <v>43</v>
      </c>
      <c r="C10" s="14" t="s">
        <v>180</v>
      </c>
      <c r="D10" s="14" t="s">
        <v>30</v>
      </c>
      <c r="E10" s="14" t="s">
        <v>181</v>
      </c>
      <c r="F10" s="15" t="s">
        <v>182</v>
      </c>
      <c r="G10" s="14" t="s">
        <v>183</v>
      </c>
      <c r="H10" s="14" t="s">
        <v>184</v>
      </c>
      <c r="I10" s="14" t="s">
        <v>185</v>
      </c>
      <c r="J10" s="14" t="s">
        <v>50</v>
      </c>
      <c r="K10" s="16" t="s">
        <v>100</v>
      </c>
      <c r="L10" s="14" t="s">
        <v>186</v>
      </c>
      <c r="M10" s="14" t="s">
        <v>187</v>
      </c>
      <c r="N10" s="14" t="s">
        <v>188</v>
      </c>
      <c r="O10" s="14"/>
      <c r="P10" s="14" t="s">
        <v>189</v>
      </c>
      <c r="Q10" s="14" t="s">
        <v>190</v>
      </c>
      <c r="R10" s="14" t="s">
        <v>191</v>
      </c>
      <c r="S10" s="17" t="s">
        <v>107</v>
      </c>
      <c r="T10" s="17" t="s">
        <v>107</v>
      </c>
      <c r="U10" s="14" t="s">
        <v>192</v>
      </c>
      <c r="V10" s="14" t="s">
        <v>109</v>
      </c>
      <c r="W10" s="18" t="s">
        <v>110</v>
      </c>
      <c r="X10" s="14" t="s">
        <v>193</v>
      </c>
      <c r="Y10" s="14" t="s">
        <v>194</v>
      </c>
      <c r="Z10" s="14" t="s">
        <v>107</v>
      </c>
      <c r="AA10" s="14" t="s">
        <v>107</v>
      </c>
      <c r="AB10" s="14" t="s">
        <v>131</v>
      </c>
      <c r="AC10" s="14" t="s">
        <v>113</v>
      </c>
      <c r="AD10" s="14" t="s">
        <v>114</v>
      </c>
    </row>
    <row r="11" customFormat="false" ht="78" hidden="false" customHeight="true" outlineLevel="0" collapsed="false">
      <c r="A11" s="14" t="s">
        <v>195</v>
      </c>
      <c r="B11" s="14" t="s">
        <v>43</v>
      </c>
      <c r="C11" s="14" t="s">
        <v>196</v>
      </c>
      <c r="D11" s="14" t="s">
        <v>30</v>
      </c>
      <c r="E11" s="14" t="s">
        <v>197</v>
      </c>
      <c r="F11" s="15" t="s">
        <v>198</v>
      </c>
      <c r="G11" s="14" t="s">
        <v>199</v>
      </c>
      <c r="H11" s="14" t="s">
        <v>200</v>
      </c>
      <c r="I11" s="14" t="s">
        <v>201</v>
      </c>
      <c r="J11" s="14" t="s">
        <v>202</v>
      </c>
      <c r="K11" s="16" t="s">
        <v>100</v>
      </c>
      <c r="L11" s="14" t="s">
        <v>203</v>
      </c>
      <c r="M11" s="14" t="s">
        <v>204</v>
      </c>
      <c r="N11" s="14" t="s">
        <v>205</v>
      </c>
      <c r="O11" s="14"/>
      <c r="P11" s="14" t="s">
        <v>206</v>
      </c>
      <c r="Q11" s="14" t="s">
        <v>207</v>
      </c>
      <c r="R11" s="14" t="s">
        <v>191</v>
      </c>
      <c r="S11" s="17" t="s">
        <v>107</v>
      </c>
      <c r="T11" s="17" t="s">
        <v>107</v>
      </c>
      <c r="U11" s="14" t="s">
        <v>208</v>
      </c>
      <c r="V11" s="14" t="s">
        <v>109</v>
      </c>
      <c r="W11" s="18" t="s">
        <v>110</v>
      </c>
      <c r="X11" s="14" t="s">
        <v>209</v>
      </c>
      <c r="Y11" s="14" t="s">
        <v>100</v>
      </c>
      <c r="Z11" s="14" t="s">
        <v>107</v>
      </c>
      <c r="AA11" s="14" t="s">
        <v>107</v>
      </c>
      <c r="AB11" s="14" t="s">
        <v>131</v>
      </c>
      <c r="AC11" s="14" t="s">
        <v>113</v>
      </c>
      <c r="AD11" s="14" t="s">
        <v>114</v>
      </c>
    </row>
    <row r="12" customFormat="false" ht="78" hidden="false" customHeight="true" outlineLevel="0" collapsed="false">
      <c r="A12" s="14" t="s">
        <v>210</v>
      </c>
      <c r="B12" s="14" t="s">
        <v>43</v>
      </c>
      <c r="C12" s="14" t="s">
        <v>211</v>
      </c>
      <c r="D12" s="14" t="s">
        <v>30</v>
      </c>
      <c r="E12" s="14" t="s">
        <v>212</v>
      </c>
      <c r="F12" s="14"/>
      <c r="G12" s="14" t="s">
        <v>168</v>
      </c>
      <c r="H12" s="14" t="s">
        <v>213</v>
      </c>
      <c r="I12" s="14" t="s">
        <v>214</v>
      </c>
      <c r="J12" s="14" t="s">
        <v>50</v>
      </c>
      <c r="K12" s="16" t="s">
        <v>100</v>
      </c>
      <c r="L12" s="14" t="s">
        <v>215</v>
      </c>
      <c r="M12" s="14" t="s">
        <v>216</v>
      </c>
      <c r="N12" s="14" t="s">
        <v>217</v>
      </c>
      <c r="O12" s="14"/>
      <c r="P12" s="14" t="s">
        <v>218</v>
      </c>
      <c r="Q12" s="14" t="s">
        <v>219</v>
      </c>
      <c r="R12" s="14" t="s">
        <v>220</v>
      </c>
      <c r="S12" s="17" t="s">
        <v>107</v>
      </c>
      <c r="T12" s="17" t="s">
        <v>107</v>
      </c>
      <c r="U12" s="14" t="s">
        <v>221</v>
      </c>
      <c r="V12" s="14" t="s">
        <v>109</v>
      </c>
      <c r="W12" s="18" t="s">
        <v>110</v>
      </c>
      <c r="X12" s="14" t="s">
        <v>222</v>
      </c>
      <c r="Y12" s="14" t="s">
        <v>100</v>
      </c>
      <c r="Z12" s="14" t="s">
        <v>107</v>
      </c>
      <c r="AA12" s="14" t="s">
        <v>107</v>
      </c>
      <c r="AB12" s="14" t="s">
        <v>131</v>
      </c>
      <c r="AC12" s="14" t="s">
        <v>113</v>
      </c>
      <c r="AD12" s="14" t="s">
        <v>114</v>
      </c>
    </row>
    <row r="13" customFormat="false" ht="78" hidden="false" customHeight="true" outlineLevel="0" collapsed="false">
      <c r="A13" s="14" t="s">
        <v>223</v>
      </c>
      <c r="B13" s="14" t="s">
        <v>43</v>
      </c>
      <c r="C13" s="14" t="s">
        <v>224</v>
      </c>
      <c r="D13" s="14" t="s">
        <v>40</v>
      </c>
      <c r="E13" s="14" t="s">
        <v>225</v>
      </c>
      <c r="F13" s="15" t="s">
        <v>226</v>
      </c>
      <c r="G13" s="14" t="s">
        <v>227</v>
      </c>
      <c r="H13" s="14" t="s">
        <v>228</v>
      </c>
      <c r="I13" s="14" t="s">
        <v>229</v>
      </c>
      <c r="J13" s="14" t="s">
        <v>50</v>
      </c>
      <c r="K13" s="16" t="s">
        <v>100</v>
      </c>
      <c r="L13" s="14" t="s">
        <v>230</v>
      </c>
      <c r="M13" s="14" t="s">
        <v>231</v>
      </c>
      <c r="N13" s="14" t="s">
        <v>232</v>
      </c>
      <c r="O13" s="14"/>
      <c r="P13" s="14" t="s">
        <v>233</v>
      </c>
      <c r="Q13" s="14" t="s">
        <v>234</v>
      </c>
      <c r="R13" s="14" t="s">
        <v>235</v>
      </c>
      <c r="S13" s="17" t="s">
        <v>107</v>
      </c>
      <c r="T13" s="17" t="s">
        <v>107</v>
      </c>
      <c r="U13" s="14" t="s">
        <v>236</v>
      </c>
      <c r="V13" s="14" t="s">
        <v>109</v>
      </c>
      <c r="W13" s="18" t="s">
        <v>110</v>
      </c>
      <c r="X13" s="14" t="s">
        <v>237</v>
      </c>
      <c r="Y13" s="14" t="s">
        <v>100</v>
      </c>
      <c r="Z13" s="14" t="s">
        <v>107</v>
      </c>
      <c r="AA13" s="14" t="s">
        <v>107</v>
      </c>
      <c r="AB13" s="14" t="s">
        <v>131</v>
      </c>
      <c r="AC13" s="14" t="s">
        <v>113</v>
      </c>
      <c r="AD13" s="14" t="s">
        <v>114</v>
      </c>
    </row>
    <row r="14" customFormat="false" ht="78" hidden="false" customHeight="true" outlineLevel="0" collapsed="false">
      <c r="A14" s="14" t="s">
        <v>238</v>
      </c>
      <c r="B14" s="14" t="s">
        <v>43</v>
      </c>
      <c r="C14" s="14" t="s">
        <v>239</v>
      </c>
      <c r="D14" s="14" t="s">
        <v>36</v>
      </c>
      <c r="E14" s="14" t="s">
        <v>118</v>
      </c>
      <c r="F14" s="15" t="s">
        <v>119</v>
      </c>
      <c r="G14" s="14" t="s">
        <v>240</v>
      </c>
      <c r="H14" s="14" t="s">
        <v>241</v>
      </c>
      <c r="I14" s="14" t="s">
        <v>242</v>
      </c>
      <c r="J14" s="14" t="s">
        <v>50</v>
      </c>
      <c r="K14" s="16" t="s">
        <v>100</v>
      </c>
      <c r="L14" s="14" t="s">
        <v>243</v>
      </c>
      <c r="M14" s="14" t="s">
        <v>244</v>
      </c>
      <c r="N14" s="14" t="s">
        <v>245</v>
      </c>
      <c r="O14" s="14"/>
      <c r="P14" s="14" t="s">
        <v>246</v>
      </c>
      <c r="Q14" s="14" t="s">
        <v>247</v>
      </c>
      <c r="R14" s="14" t="s">
        <v>248</v>
      </c>
      <c r="S14" s="17" t="s">
        <v>107</v>
      </c>
      <c r="T14" s="17" t="s">
        <v>107</v>
      </c>
      <c r="U14" s="14" t="s">
        <v>249</v>
      </c>
      <c r="V14" s="14" t="s">
        <v>109</v>
      </c>
      <c r="W14" s="18" t="s">
        <v>110</v>
      </c>
      <c r="X14" s="14" t="s">
        <v>250</v>
      </c>
      <c r="Y14" s="14" t="s">
        <v>100</v>
      </c>
      <c r="Z14" s="14" t="s">
        <v>107</v>
      </c>
      <c r="AA14" s="14" t="s">
        <v>107</v>
      </c>
      <c r="AB14" s="14" t="s">
        <v>131</v>
      </c>
      <c r="AC14" s="14" t="s">
        <v>113</v>
      </c>
      <c r="AD14" s="14" t="s">
        <v>114</v>
      </c>
    </row>
    <row r="15" customFormat="false" ht="78" hidden="false" customHeight="true" outlineLevel="0" collapsed="false">
      <c r="A15" s="14" t="s">
        <v>251</v>
      </c>
      <c r="B15" s="14" t="s">
        <v>43</v>
      </c>
      <c r="C15" s="14" t="s">
        <v>239</v>
      </c>
      <c r="D15" s="14" t="s">
        <v>252</v>
      </c>
      <c r="E15" s="14" t="s">
        <v>253</v>
      </c>
      <c r="F15" s="15" t="s">
        <v>254</v>
      </c>
      <c r="G15" s="14" t="s">
        <v>255</v>
      </c>
      <c r="H15" s="14" t="s">
        <v>256</v>
      </c>
      <c r="I15" s="14" t="s">
        <v>257</v>
      </c>
      <c r="J15" s="14" t="s">
        <v>50</v>
      </c>
      <c r="K15" s="16" t="s">
        <v>100</v>
      </c>
      <c r="L15" s="14" t="s">
        <v>258</v>
      </c>
      <c r="M15" s="14" t="s">
        <v>259</v>
      </c>
      <c r="N15" s="14" t="s">
        <v>260</v>
      </c>
      <c r="O15" s="14"/>
      <c r="P15" s="14" t="s">
        <v>261</v>
      </c>
      <c r="Q15" s="14" t="s">
        <v>262</v>
      </c>
      <c r="R15" s="14" t="s">
        <v>263</v>
      </c>
      <c r="S15" s="17" t="s">
        <v>107</v>
      </c>
      <c r="T15" s="17" t="s">
        <v>107</v>
      </c>
      <c r="U15" s="14" t="s">
        <v>264</v>
      </c>
      <c r="V15" s="14" t="s">
        <v>109</v>
      </c>
      <c r="W15" s="18" t="s">
        <v>110</v>
      </c>
      <c r="X15" s="14" t="s">
        <v>265</v>
      </c>
      <c r="Y15" s="14" t="s">
        <v>100</v>
      </c>
      <c r="Z15" s="14" t="s">
        <v>107</v>
      </c>
      <c r="AA15" s="14" t="s">
        <v>107</v>
      </c>
      <c r="AB15" s="14" t="s">
        <v>131</v>
      </c>
      <c r="AC15" s="14" t="s">
        <v>113</v>
      </c>
      <c r="AD15" s="14" t="s">
        <v>114</v>
      </c>
    </row>
    <row r="16" customFormat="false" ht="78" hidden="false" customHeight="true" outlineLevel="0" collapsed="false">
      <c r="A16" s="14" t="s">
        <v>266</v>
      </c>
      <c r="B16" s="14" t="s">
        <v>43</v>
      </c>
      <c r="C16" s="14" t="s">
        <v>267</v>
      </c>
      <c r="D16" s="14" t="s">
        <v>252</v>
      </c>
      <c r="E16" s="14" t="s">
        <v>268</v>
      </c>
      <c r="F16" s="15" t="s">
        <v>269</v>
      </c>
      <c r="G16" s="14" t="s">
        <v>270</v>
      </c>
      <c r="H16" s="14" t="s">
        <v>271</v>
      </c>
      <c r="I16" s="14" t="s">
        <v>272</v>
      </c>
      <c r="J16" s="14" t="s">
        <v>50</v>
      </c>
      <c r="K16" s="16" t="s">
        <v>100</v>
      </c>
      <c r="L16" s="14" t="s">
        <v>273</v>
      </c>
      <c r="M16" s="14" t="s">
        <v>274</v>
      </c>
      <c r="N16" s="14" t="s">
        <v>275</v>
      </c>
      <c r="O16" s="14"/>
      <c r="P16" s="14" t="s">
        <v>276</v>
      </c>
      <c r="Q16" s="14" t="s">
        <v>277</v>
      </c>
      <c r="R16" s="14" t="s">
        <v>263</v>
      </c>
      <c r="S16" s="17" t="s">
        <v>107</v>
      </c>
      <c r="T16" s="17" t="s">
        <v>107</v>
      </c>
      <c r="U16" s="14" t="s">
        <v>278</v>
      </c>
      <c r="V16" s="14" t="s">
        <v>109</v>
      </c>
      <c r="W16" s="18" t="s">
        <v>110</v>
      </c>
      <c r="X16" s="14" t="s">
        <v>279</v>
      </c>
      <c r="Y16" s="14" t="s">
        <v>100</v>
      </c>
      <c r="Z16" s="14" t="s">
        <v>107</v>
      </c>
      <c r="AA16" s="14" t="s">
        <v>107</v>
      </c>
      <c r="AB16" s="14" t="s">
        <v>131</v>
      </c>
      <c r="AC16" s="14" t="s">
        <v>113</v>
      </c>
      <c r="AD16" s="14" t="s">
        <v>114</v>
      </c>
    </row>
    <row r="17" customFormat="false" ht="78" hidden="false" customHeight="true" outlineLevel="0" collapsed="false">
      <c r="A17" s="14" t="s">
        <v>280</v>
      </c>
      <c r="B17" s="14" t="s">
        <v>44</v>
      </c>
      <c r="C17" s="14" t="s">
        <v>281</v>
      </c>
      <c r="D17" s="14" t="s">
        <v>282</v>
      </c>
      <c r="E17" s="14" t="s">
        <v>283</v>
      </c>
      <c r="F17" s="15" t="s">
        <v>284</v>
      </c>
      <c r="G17" s="14" t="s">
        <v>285</v>
      </c>
      <c r="H17" s="14" t="s">
        <v>286</v>
      </c>
      <c r="I17" s="14" t="s">
        <v>287</v>
      </c>
      <c r="J17" s="14" t="s">
        <v>53</v>
      </c>
      <c r="K17" s="16" t="s">
        <v>100</v>
      </c>
      <c r="L17" s="14" t="s">
        <v>288</v>
      </c>
      <c r="M17" s="14" t="s">
        <v>289</v>
      </c>
      <c r="N17" s="14" t="s">
        <v>290</v>
      </c>
      <c r="O17" s="14"/>
      <c r="P17" s="14" t="s">
        <v>291</v>
      </c>
      <c r="Q17" s="14" t="s">
        <v>292</v>
      </c>
      <c r="R17" s="14" t="s">
        <v>293</v>
      </c>
      <c r="S17" s="17" t="s">
        <v>107</v>
      </c>
      <c r="T17" s="17" t="s">
        <v>107</v>
      </c>
      <c r="U17" s="14" t="s">
        <v>294</v>
      </c>
      <c r="V17" s="14" t="s">
        <v>109</v>
      </c>
      <c r="W17" s="18" t="s">
        <v>110</v>
      </c>
      <c r="X17" s="14" t="s">
        <v>295</v>
      </c>
      <c r="Y17" s="14" t="s">
        <v>100</v>
      </c>
      <c r="Z17" s="14" t="s">
        <v>107</v>
      </c>
      <c r="AA17" s="14" t="s">
        <v>107</v>
      </c>
      <c r="AB17" s="14" t="s">
        <v>112</v>
      </c>
      <c r="AC17" s="14" t="s">
        <v>113</v>
      </c>
      <c r="AD17" s="14" t="s">
        <v>114</v>
      </c>
    </row>
    <row r="18" customFormat="false" ht="78" hidden="false" customHeight="true" outlineLevel="0" collapsed="false">
      <c r="A18" s="14" t="s">
        <v>296</v>
      </c>
      <c r="B18" s="14" t="s">
        <v>44</v>
      </c>
      <c r="C18" s="14" t="s">
        <v>297</v>
      </c>
      <c r="D18" s="14" t="s">
        <v>298</v>
      </c>
      <c r="E18" s="14" t="s">
        <v>299</v>
      </c>
      <c r="F18" s="15" t="s">
        <v>300</v>
      </c>
      <c r="G18" s="14" t="s">
        <v>301</v>
      </c>
      <c r="H18" s="14" t="s">
        <v>302</v>
      </c>
      <c r="I18" s="14" t="s">
        <v>303</v>
      </c>
      <c r="J18" s="14" t="s">
        <v>51</v>
      </c>
      <c r="K18" s="19" t="s">
        <v>194</v>
      </c>
      <c r="L18" s="14" t="s">
        <v>304</v>
      </c>
      <c r="M18" s="14" t="s">
        <v>305</v>
      </c>
      <c r="N18" s="14" t="s">
        <v>306</v>
      </c>
      <c r="O18" s="14"/>
      <c r="P18" s="14" t="s">
        <v>307</v>
      </c>
      <c r="Q18" s="14" t="s">
        <v>308</v>
      </c>
      <c r="R18" s="14" t="s">
        <v>191</v>
      </c>
      <c r="S18" s="17" t="s">
        <v>107</v>
      </c>
      <c r="T18" s="17" t="s">
        <v>107</v>
      </c>
      <c r="U18" s="14" t="s">
        <v>309</v>
      </c>
      <c r="V18" s="14" t="s">
        <v>109</v>
      </c>
      <c r="W18" s="18" t="s">
        <v>110</v>
      </c>
      <c r="X18" s="14" t="s">
        <v>310</v>
      </c>
      <c r="Y18" s="14" t="s">
        <v>194</v>
      </c>
      <c r="Z18" s="14" t="s">
        <v>107</v>
      </c>
      <c r="AA18" s="14" t="s">
        <v>107</v>
      </c>
      <c r="AB18" s="14" t="s">
        <v>147</v>
      </c>
      <c r="AC18" s="14" t="s">
        <v>113</v>
      </c>
      <c r="AD18" s="14" t="s">
        <v>114</v>
      </c>
    </row>
    <row r="19" customFormat="false" ht="78" hidden="false" customHeight="true" outlineLevel="0" collapsed="false">
      <c r="A19" s="14" t="s">
        <v>311</v>
      </c>
      <c r="B19" s="14" t="s">
        <v>44</v>
      </c>
      <c r="C19" s="14" t="s">
        <v>312</v>
      </c>
      <c r="D19" s="14" t="s">
        <v>298</v>
      </c>
      <c r="E19" s="14" t="s">
        <v>313</v>
      </c>
      <c r="F19" s="15" t="s">
        <v>314</v>
      </c>
      <c r="G19" s="14" t="s">
        <v>315</v>
      </c>
      <c r="H19" s="14" t="s">
        <v>316</v>
      </c>
      <c r="I19" s="14" t="s">
        <v>317</v>
      </c>
      <c r="J19" s="14" t="s">
        <v>57</v>
      </c>
      <c r="K19" s="19" t="s">
        <v>194</v>
      </c>
      <c r="L19" s="14" t="s">
        <v>318</v>
      </c>
      <c r="M19" s="14" t="s">
        <v>319</v>
      </c>
      <c r="N19" s="14" t="s">
        <v>320</v>
      </c>
      <c r="O19" s="14"/>
      <c r="P19" s="14" t="s">
        <v>321</v>
      </c>
      <c r="Q19" s="14" t="s">
        <v>322</v>
      </c>
      <c r="R19" s="14" t="s">
        <v>323</v>
      </c>
      <c r="S19" s="17" t="s">
        <v>107</v>
      </c>
      <c r="T19" s="20" t="s">
        <v>324</v>
      </c>
      <c r="U19" s="14" t="s">
        <v>325</v>
      </c>
      <c r="V19" s="14" t="s">
        <v>109</v>
      </c>
      <c r="W19" s="18" t="s">
        <v>110</v>
      </c>
      <c r="X19" s="14" t="s">
        <v>326</v>
      </c>
      <c r="Y19" s="14" t="s">
        <v>194</v>
      </c>
      <c r="Z19" s="14" t="s">
        <v>107</v>
      </c>
      <c r="AA19" s="14" t="s">
        <v>107</v>
      </c>
      <c r="AB19" s="14" t="s">
        <v>112</v>
      </c>
      <c r="AC19" s="14" t="s">
        <v>113</v>
      </c>
      <c r="AD19" s="14" t="s">
        <v>114</v>
      </c>
    </row>
    <row r="20" customFormat="false" ht="78" hidden="false" customHeight="true" outlineLevel="0" collapsed="false">
      <c r="A20" s="14" t="s">
        <v>327</v>
      </c>
      <c r="B20" s="14" t="s">
        <v>43</v>
      </c>
      <c r="C20" s="14" t="s">
        <v>328</v>
      </c>
      <c r="D20" s="14" t="s">
        <v>298</v>
      </c>
      <c r="E20" s="14" t="s">
        <v>313</v>
      </c>
      <c r="F20" s="15" t="s">
        <v>314</v>
      </c>
      <c r="G20" s="14" t="s">
        <v>315</v>
      </c>
      <c r="H20" s="14" t="s">
        <v>329</v>
      </c>
      <c r="I20" s="14" t="s">
        <v>330</v>
      </c>
      <c r="J20" s="14" t="s">
        <v>50</v>
      </c>
      <c r="K20" s="19" t="s">
        <v>194</v>
      </c>
      <c r="L20" s="14" t="s">
        <v>331</v>
      </c>
      <c r="M20" s="14" t="s">
        <v>332</v>
      </c>
      <c r="N20" s="14" t="s">
        <v>333</v>
      </c>
      <c r="O20" s="14"/>
      <c r="P20" s="14" t="s">
        <v>334</v>
      </c>
      <c r="Q20" s="14" t="s">
        <v>335</v>
      </c>
      <c r="R20" s="14" t="s">
        <v>336</v>
      </c>
      <c r="S20" s="17" t="s">
        <v>107</v>
      </c>
      <c r="T20" s="17" t="s">
        <v>107</v>
      </c>
      <c r="U20" s="14" t="s">
        <v>337</v>
      </c>
      <c r="V20" s="14" t="s">
        <v>109</v>
      </c>
      <c r="W20" s="18" t="s">
        <v>110</v>
      </c>
      <c r="X20" s="14" t="s">
        <v>338</v>
      </c>
      <c r="Y20" s="14" t="s">
        <v>194</v>
      </c>
      <c r="Z20" s="14" t="s">
        <v>107</v>
      </c>
      <c r="AA20" s="14" t="s">
        <v>107</v>
      </c>
      <c r="AB20" s="14" t="s">
        <v>131</v>
      </c>
      <c r="AC20" s="14" t="s">
        <v>113</v>
      </c>
      <c r="AD20" s="14" t="s">
        <v>114</v>
      </c>
    </row>
    <row r="21" customFormat="false" ht="78" hidden="false" customHeight="true" outlineLevel="0" collapsed="false">
      <c r="A21" s="14" t="s">
        <v>339</v>
      </c>
      <c r="B21" s="14" t="s">
        <v>43</v>
      </c>
      <c r="C21" s="14" t="s">
        <v>340</v>
      </c>
      <c r="D21" s="14" t="s">
        <v>298</v>
      </c>
      <c r="E21" s="14" t="s">
        <v>313</v>
      </c>
      <c r="F21" s="15" t="s">
        <v>314</v>
      </c>
      <c r="G21" s="14" t="s">
        <v>315</v>
      </c>
      <c r="H21" s="14" t="s">
        <v>341</v>
      </c>
      <c r="I21" s="14" t="s">
        <v>342</v>
      </c>
      <c r="J21" s="14" t="s">
        <v>50</v>
      </c>
      <c r="K21" s="19" t="s">
        <v>194</v>
      </c>
      <c r="L21" s="14" t="s">
        <v>343</v>
      </c>
      <c r="M21" s="14" t="s">
        <v>344</v>
      </c>
      <c r="N21" s="14" t="s">
        <v>345</v>
      </c>
      <c r="O21" s="14"/>
      <c r="P21" s="14" t="s">
        <v>346</v>
      </c>
      <c r="Q21" s="14" t="s">
        <v>347</v>
      </c>
      <c r="R21" s="14" t="s">
        <v>336</v>
      </c>
      <c r="S21" s="17" t="s">
        <v>107</v>
      </c>
      <c r="T21" s="20" t="s">
        <v>324</v>
      </c>
      <c r="U21" s="14" t="s">
        <v>348</v>
      </c>
      <c r="V21" s="14" t="s">
        <v>109</v>
      </c>
      <c r="W21" s="18" t="s">
        <v>110</v>
      </c>
      <c r="X21" s="14" t="s">
        <v>349</v>
      </c>
      <c r="Y21" s="14" t="s">
        <v>194</v>
      </c>
      <c r="Z21" s="14" t="s">
        <v>107</v>
      </c>
      <c r="AA21" s="14" t="s">
        <v>107</v>
      </c>
      <c r="AB21" s="14" t="s">
        <v>131</v>
      </c>
      <c r="AC21" s="14" t="s">
        <v>113</v>
      </c>
      <c r="AD21" s="14" t="s">
        <v>114</v>
      </c>
    </row>
    <row r="22" customFormat="false" ht="78" hidden="false" customHeight="true" outlineLevel="0" collapsed="false">
      <c r="A22" s="14" t="s">
        <v>350</v>
      </c>
      <c r="B22" s="14" t="s">
        <v>44</v>
      </c>
      <c r="C22" s="14" t="s">
        <v>351</v>
      </c>
      <c r="D22" s="14" t="s">
        <v>298</v>
      </c>
      <c r="E22" s="14" t="s">
        <v>352</v>
      </c>
      <c r="F22" s="15" t="s">
        <v>353</v>
      </c>
      <c r="G22" s="14" t="s">
        <v>354</v>
      </c>
      <c r="H22" s="14" t="s">
        <v>355</v>
      </c>
      <c r="I22" s="14" t="s">
        <v>356</v>
      </c>
      <c r="J22" s="14" t="s">
        <v>51</v>
      </c>
      <c r="K22" s="19" t="s">
        <v>194</v>
      </c>
      <c r="L22" s="14" t="s">
        <v>357</v>
      </c>
      <c r="M22" s="14" t="s">
        <v>358</v>
      </c>
      <c r="N22" s="14" t="s">
        <v>359</v>
      </c>
      <c r="O22" s="14"/>
      <c r="P22" s="14" t="s">
        <v>360</v>
      </c>
      <c r="Q22" s="14" t="s">
        <v>361</v>
      </c>
      <c r="R22" s="14" t="s">
        <v>336</v>
      </c>
      <c r="S22" s="17" t="s">
        <v>107</v>
      </c>
      <c r="T22" s="17" t="s">
        <v>107</v>
      </c>
      <c r="U22" s="14" t="s">
        <v>362</v>
      </c>
      <c r="V22" s="14" t="s">
        <v>109</v>
      </c>
      <c r="W22" s="18" t="s">
        <v>110</v>
      </c>
      <c r="X22" s="14" t="s">
        <v>363</v>
      </c>
      <c r="Y22" s="14" t="s">
        <v>194</v>
      </c>
      <c r="Z22" s="14" t="s">
        <v>107</v>
      </c>
      <c r="AA22" s="14" t="s">
        <v>107</v>
      </c>
      <c r="AB22" s="14" t="s">
        <v>131</v>
      </c>
      <c r="AC22" s="14" t="s">
        <v>113</v>
      </c>
      <c r="AD22" s="14" t="s">
        <v>114</v>
      </c>
    </row>
    <row r="23" customFormat="false" ht="78" hidden="false" customHeight="true" outlineLevel="0" collapsed="false">
      <c r="A23" s="14" t="s">
        <v>364</v>
      </c>
      <c r="B23" s="14" t="s">
        <v>44</v>
      </c>
      <c r="C23" s="14" t="s">
        <v>365</v>
      </c>
      <c r="D23" s="14" t="s">
        <v>38</v>
      </c>
      <c r="E23" s="14" t="s">
        <v>366</v>
      </c>
      <c r="F23" s="15" t="s">
        <v>367</v>
      </c>
      <c r="G23" s="14" t="s">
        <v>368</v>
      </c>
      <c r="H23" s="14" t="s">
        <v>369</v>
      </c>
      <c r="I23" s="14" t="s">
        <v>370</v>
      </c>
      <c r="J23" s="14" t="s">
        <v>57</v>
      </c>
      <c r="K23" s="19" t="s">
        <v>194</v>
      </c>
      <c r="L23" s="14" t="s">
        <v>371</v>
      </c>
      <c r="M23" s="14" t="s">
        <v>372</v>
      </c>
      <c r="N23" s="14" t="s">
        <v>373</v>
      </c>
      <c r="O23" s="14"/>
      <c r="P23" s="14" t="s">
        <v>374</v>
      </c>
      <c r="Q23" s="14" t="s">
        <v>375</v>
      </c>
      <c r="R23" s="14" t="s">
        <v>376</v>
      </c>
      <c r="S23" s="17" t="s">
        <v>107</v>
      </c>
      <c r="T23" s="20" t="s">
        <v>324</v>
      </c>
      <c r="U23" s="14" t="s">
        <v>377</v>
      </c>
      <c r="V23" s="14" t="s">
        <v>109</v>
      </c>
      <c r="W23" s="18" t="s">
        <v>110</v>
      </c>
      <c r="X23" s="14" t="s">
        <v>378</v>
      </c>
      <c r="Y23" s="14" t="s">
        <v>194</v>
      </c>
      <c r="Z23" s="14" t="s">
        <v>107</v>
      </c>
      <c r="AA23" s="14" t="s">
        <v>107</v>
      </c>
      <c r="AB23" s="14" t="s">
        <v>112</v>
      </c>
      <c r="AC23" s="14" t="s">
        <v>113</v>
      </c>
      <c r="AD23" s="14" t="s">
        <v>114</v>
      </c>
    </row>
    <row r="24" customFormat="false" ht="78" hidden="false" customHeight="true" outlineLevel="0" collapsed="false">
      <c r="A24" s="14" t="s">
        <v>379</v>
      </c>
      <c r="B24" s="14" t="s">
        <v>44</v>
      </c>
      <c r="C24" s="14" t="s">
        <v>380</v>
      </c>
      <c r="D24" s="14" t="s">
        <v>38</v>
      </c>
      <c r="E24" s="14" t="s">
        <v>381</v>
      </c>
      <c r="F24" s="15" t="s">
        <v>382</v>
      </c>
      <c r="G24" s="14" t="s">
        <v>383</v>
      </c>
      <c r="H24" s="14" t="s">
        <v>384</v>
      </c>
      <c r="I24" s="14" t="s">
        <v>385</v>
      </c>
      <c r="J24" s="14" t="s">
        <v>99</v>
      </c>
      <c r="K24" s="19" t="s">
        <v>194</v>
      </c>
      <c r="L24" s="14" t="s">
        <v>386</v>
      </c>
      <c r="M24" s="14" t="s">
        <v>387</v>
      </c>
      <c r="N24" s="14" t="s">
        <v>388</v>
      </c>
      <c r="O24" s="14"/>
      <c r="P24" s="14" t="s">
        <v>389</v>
      </c>
      <c r="Q24" s="14" t="s">
        <v>390</v>
      </c>
      <c r="R24" s="14" t="s">
        <v>376</v>
      </c>
      <c r="S24" s="17" t="s">
        <v>107</v>
      </c>
      <c r="T24" s="17" t="s">
        <v>107</v>
      </c>
      <c r="U24" s="14" t="s">
        <v>391</v>
      </c>
      <c r="V24" s="14" t="s">
        <v>109</v>
      </c>
      <c r="W24" s="18" t="s">
        <v>110</v>
      </c>
      <c r="X24" s="14" t="s">
        <v>392</v>
      </c>
      <c r="Y24" s="14" t="s">
        <v>194</v>
      </c>
      <c r="Z24" s="14" t="s">
        <v>107</v>
      </c>
      <c r="AA24" s="14" t="s">
        <v>107</v>
      </c>
      <c r="AB24" s="14" t="s">
        <v>112</v>
      </c>
      <c r="AC24" s="14" t="s">
        <v>113</v>
      </c>
      <c r="AD24" s="14" t="s">
        <v>114</v>
      </c>
    </row>
    <row r="25" customFormat="false" ht="78" hidden="false" customHeight="true" outlineLevel="0" collapsed="false">
      <c r="A25" s="14" t="s">
        <v>393</v>
      </c>
      <c r="B25" s="14" t="s">
        <v>48</v>
      </c>
      <c r="C25" s="14" t="s">
        <v>394</v>
      </c>
      <c r="D25" s="14" t="s">
        <v>38</v>
      </c>
      <c r="E25" s="14" t="s">
        <v>395</v>
      </c>
      <c r="F25" s="15" t="s">
        <v>396</v>
      </c>
      <c r="G25" s="14" t="s">
        <v>397</v>
      </c>
      <c r="H25" s="14" t="s">
        <v>398</v>
      </c>
      <c r="I25" s="14" t="s">
        <v>399</v>
      </c>
      <c r="J25" s="14" t="s">
        <v>400</v>
      </c>
      <c r="K25" s="19" t="s">
        <v>194</v>
      </c>
      <c r="L25" s="14" t="s">
        <v>401</v>
      </c>
      <c r="M25" s="14" t="s">
        <v>402</v>
      </c>
      <c r="N25" s="14" t="s">
        <v>403</v>
      </c>
      <c r="O25" s="14"/>
      <c r="P25" s="14" t="s">
        <v>404</v>
      </c>
      <c r="Q25" s="14" t="s">
        <v>405</v>
      </c>
      <c r="R25" s="14" t="s">
        <v>376</v>
      </c>
      <c r="S25" s="17" t="s">
        <v>107</v>
      </c>
      <c r="T25" s="17" t="s">
        <v>107</v>
      </c>
      <c r="U25" s="14" t="s">
        <v>406</v>
      </c>
      <c r="V25" s="14" t="s">
        <v>109</v>
      </c>
      <c r="W25" s="18" t="s">
        <v>110</v>
      </c>
      <c r="X25" s="14" t="s">
        <v>407</v>
      </c>
      <c r="Y25" s="14" t="s">
        <v>194</v>
      </c>
      <c r="Z25" s="14" t="s">
        <v>107</v>
      </c>
      <c r="AA25" s="14" t="s">
        <v>107</v>
      </c>
      <c r="AB25" s="14" t="s">
        <v>112</v>
      </c>
      <c r="AC25" s="14" t="s">
        <v>113</v>
      </c>
      <c r="AD25" s="14" t="s">
        <v>114</v>
      </c>
    </row>
    <row r="26" customFormat="false" ht="78" hidden="false" customHeight="true" outlineLevel="0" collapsed="false">
      <c r="A26" s="14" t="s">
        <v>408</v>
      </c>
      <c r="B26" s="14" t="s">
        <v>43</v>
      </c>
      <c r="C26" s="14" t="s">
        <v>116</v>
      </c>
      <c r="D26" s="14" t="s">
        <v>38</v>
      </c>
      <c r="E26" s="14" t="s">
        <v>366</v>
      </c>
      <c r="F26" s="15" t="s">
        <v>367</v>
      </c>
      <c r="G26" s="14" t="s">
        <v>368</v>
      </c>
      <c r="H26" s="14" t="s">
        <v>409</v>
      </c>
      <c r="I26" s="14" t="s">
        <v>410</v>
      </c>
      <c r="J26" s="14" t="s">
        <v>50</v>
      </c>
      <c r="K26" s="19" t="s">
        <v>194</v>
      </c>
      <c r="L26" s="14" t="s">
        <v>411</v>
      </c>
      <c r="M26" s="14" t="s">
        <v>412</v>
      </c>
      <c r="N26" s="14" t="s">
        <v>413</v>
      </c>
      <c r="O26" s="14"/>
      <c r="P26" s="14" t="s">
        <v>414</v>
      </c>
      <c r="Q26" s="14" t="s">
        <v>415</v>
      </c>
      <c r="R26" s="14" t="s">
        <v>376</v>
      </c>
      <c r="S26" s="17" t="s">
        <v>107</v>
      </c>
      <c r="T26" s="17" t="s">
        <v>107</v>
      </c>
      <c r="U26" s="14" t="s">
        <v>416</v>
      </c>
      <c r="V26" s="14" t="s">
        <v>109</v>
      </c>
      <c r="W26" s="18" t="s">
        <v>110</v>
      </c>
      <c r="X26" s="14" t="s">
        <v>417</v>
      </c>
      <c r="Y26" s="14" t="s">
        <v>194</v>
      </c>
      <c r="Z26" s="14" t="s">
        <v>107</v>
      </c>
      <c r="AA26" s="14" t="s">
        <v>107</v>
      </c>
      <c r="AB26" s="14" t="s">
        <v>131</v>
      </c>
      <c r="AC26" s="14" t="s">
        <v>113</v>
      </c>
      <c r="AD26" s="14" t="s">
        <v>114</v>
      </c>
    </row>
    <row r="27" customFormat="false" ht="78" hidden="false" customHeight="true" outlineLevel="0" collapsed="false">
      <c r="A27" s="14" t="s">
        <v>418</v>
      </c>
      <c r="B27" s="14" t="s">
        <v>43</v>
      </c>
      <c r="C27" s="14" t="s">
        <v>419</v>
      </c>
      <c r="D27" s="14" t="s">
        <v>38</v>
      </c>
      <c r="E27" s="14" t="s">
        <v>395</v>
      </c>
      <c r="F27" s="15" t="s">
        <v>420</v>
      </c>
      <c r="G27" s="14" t="s">
        <v>368</v>
      </c>
      <c r="H27" s="14" t="s">
        <v>421</v>
      </c>
      <c r="I27" s="14" t="s">
        <v>422</v>
      </c>
      <c r="J27" s="14" t="s">
        <v>50</v>
      </c>
      <c r="K27" s="19" t="s">
        <v>194</v>
      </c>
      <c r="L27" s="14" t="s">
        <v>423</v>
      </c>
      <c r="M27" s="14" t="s">
        <v>424</v>
      </c>
      <c r="N27" s="14" t="s">
        <v>425</v>
      </c>
      <c r="O27" s="14"/>
      <c r="P27" s="14" t="s">
        <v>426</v>
      </c>
      <c r="Q27" s="14" t="s">
        <v>427</v>
      </c>
      <c r="R27" s="14" t="s">
        <v>376</v>
      </c>
      <c r="S27" s="17" t="s">
        <v>107</v>
      </c>
      <c r="T27" s="17" t="s">
        <v>107</v>
      </c>
      <c r="U27" s="14" t="s">
        <v>428</v>
      </c>
      <c r="V27" s="14" t="s">
        <v>109</v>
      </c>
      <c r="W27" s="21" t="s">
        <v>429</v>
      </c>
      <c r="X27" s="14" t="s">
        <v>430</v>
      </c>
      <c r="Y27" s="14" t="s">
        <v>100</v>
      </c>
      <c r="Z27" s="14" t="s">
        <v>107</v>
      </c>
      <c r="AA27" s="14" t="s">
        <v>107</v>
      </c>
      <c r="AB27" s="14" t="s">
        <v>131</v>
      </c>
      <c r="AC27" s="14" t="s">
        <v>113</v>
      </c>
      <c r="AD27" s="14" t="s">
        <v>114</v>
      </c>
    </row>
    <row r="28" customFormat="false" ht="78" hidden="false" customHeight="true" outlineLevel="0" collapsed="false">
      <c r="A28" s="14" t="s">
        <v>431</v>
      </c>
      <c r="B28" s="14" t="s">
        <v>43</v>
      </c>
      <c r="C28" s="14" t="s">
        <v>432</v>
      </c>
      <c r="D28" s="14" t="s">
        <v>38</v>
      </c>
      <c r="E28" s="14" t="s">
        <v>433</v>
      </c>
      <c r="F28" s="15" t="s">
        <v>434</v>
      </c>
      <c r="G28" s="14" t="s">
        <v>368</v>
      </c>
      <c r="H28" s="14" t="s">
        <v>435</v>
      </c>
      <c r="I28" s="14" t="s">
        <v>436</v>
      </c>
      <c r="J28" s="14" t="s">
        <v>50</v>
      </c>
      <c r="K28" s="19" t="s">
        <v>194</v>
      </c>
      <c r="L28" s="14" t="s">
        <v>437</v>
      </c>
      <c r="M28" s="14" t="s">
        <v>438</v>
      </c>
      <c r="N28" s="14" t="s">
        <v>439</v>
      </c>
      <c r="O28" s="14"/>
      <c r="P28" s="14" t="s">
        <v>440</v>
      </c>
      <c r="Q28" s="14" t="s">
        <v>441</v>
      </c>
      <c r="R28" s="14" t="s">
        <v>442</v>
      </c>
      <c r="S28" s="17" t="s">
        <v>107</v>
      </c>
      <c r="T28" s="17" t="s">
        <v>107</v>
      </c>
      <c r="U28" s="14" t="s">
        <v>443</v>
      </c>
      <c r="V28" s="14" t="s">
        <v>109</v>
      </c>
      <c r="W28" s="18" t="s">
        <v>110</v>
      </c>
      <c r="X28" s="14" t="s">
        <v>444</v>
      </c>
      <c r="Y28" s="14" t="s">
        <v>194</v>
      </c>
      <c r="Z28" s="14" t="s">
        <v>107</v>
      </c>
      <c r="AA28" s="14" t="s">
        <v>107</v>
      </c>
      <c r="AB28" s="14" t="s">
        <v>131</v>
      </c>
      <c r="AC28" s="14" t="s">
        <v>113</v>
      </c>
      <c r="AD28" s="14" t="s">
        <v>114</v>
      </c>
    </row>
    <row r="29" customFormat="false" ht="78" hidden="false" customHeight="true" outlineLevel="0" collapsed="false">
      <c r="A29" s="14" t="s">
        <v>445</v>
      </c>
      <c r="B29" s="14" t="s">
        <v>43</v>
      </c>
      <c r="C29" s="14" t="s">
        <v>446</v>
      </c>
      <c r="D29" s="14" t="s">
        <v>38</v>
      </c>
      <c r="E29" s="14" t="s">
        <v>447</v>
      </c>
      <c r="F29" s="15" t="s">
        <v>448</v>
      </c>
      <c r="G29" s="14" t="s">
        <v>168</v>
      </c>
      <c r="H29" s="14" t="s">
        <v>449</v>
      </c>
      <c r="I29" s="14" t="s">
        <v>450</v>
      </c>
      <c r="J29" s="14" t="s">
        <v>50</v>
      </c>
      <c r="K29" s="19" t="s">
        <v>194</v>
      </c>
      <c r="L29" s="14" t="s">
        <v>451</v>
      </c>
      <c r="M29" s="14" t="s">
        <v>452</v>
      </c>
      <c r="N29" s="14" t="s">
        <v>453</v>
      </c>
      <c r="O29" s="14"/>
      <c r="P29" s="14" t="s">
        <v>454</v>
      </c>
      <c r="Q29" s="14" t="s">
        <v>455</v>
      </c>
      <c r="R29" s="14" t="s">
        <v>456</v>
      </c>
      <c r="S29" s="17" t="s">
        <v>107</v>
      </c>
      <c r="T29" s="17" t="s">
        <v>107</v>
      </c>
      <c r="U29" s="14" t="s">
        <v>457</v>
      </c>
      <c r="V29" s="14" t="s">
        <v>109</v>
      </c>
      <c r="W29" s="21" t="s">
        <v>429</v>
      </c>
      <c r="X29" s="14" t="s">
        <v>458</v>
      </c>
      <c r="Y29" s="14" t="s">
        <v>194</v>
      </c>
      <c r="Z29" s="14" t="s">
        <v>107</v>
      </c>
      <c r="AA29" s="14" t="s">
        <v>107</v>
      </c>
      <c r="AB29" s="14" t="s">
        <v>131</v>
      </c>
      <c r="AC29" s="14" t="s">
        <v>113</v>
      </c>
      <c r="AD29" s="14" t="s">
        <v>114</v>
      </c>
    </row>
    <row r="30" customFormat="false" ht="78" hidden="false" customHeight="true" outlineLevel="0" collapsed="false">
      <c r="A30" s="14" t="s">
        <v>459</v>
      </c>
      <c r="B30" s="14" t="s">
        <v>46</v>
      </c>
      <c r="C30" s="14" t="s">
        <v>460</v>
      </c>
      <c r="D30" s="14" t="s">
        <v>93</v>
      </c>
      <c r="E30" s="14" t="s">
        <v>461</v>
      </c>
      <c r="F30" s="15" t="s">
        <v>95</v>
      </c>
      <c r="G30" s="14" t="s">
        <v>96</v>
      </c>
      <c r="H30" s="14" t="s">
        <v>462</v>
      </c>
      <c r="I30" s="14" t="s">
        <v>463</v>
      </c>
      <c r="J30" s="14" t="s">
        <v>99</v>
      </c>
      <c r="K30" s="19" t="s">
        <v>194</v>
      </c>
      <c r="L30" s="14" t="s">
        <v>464</v>
      </c>
      <c r="M30" s="14" t="s">
        <v>465</v>
      </c>
      <c r="N30" s="14" t="s">
        <v>466</v>
      </c>
      <c r="O30" s="14"/>
      <c r="P30" s="14" t="s">
        <v>467</v>
      </c>
      <c r="Q30" s="14" t="s">
        <v>468</v>
      </c>
      <c r="R30" s="14" t="s">
        <v>106</v>
      </c>
      <c r="S30" s="17" t="s">
        <v>107</v>
      </c>
      <c r="T30" s="17" t="s">
        <v>107</v>
      </c>
      <c r="U30" s="14" t="s">
        <v>469</v>
      </c>
      <c r="V30" s="14" t="s">
        <v>109</v>
      </c>
      <c r="W30" s="18" t="s">
        <v>110</v>
      </c>
      <c r="X30" s="14" t="s">
        <v>470</v>
      </c>
      <c r="Y30" s="14" t="s">
        <v>194</v>
      </c>
      <c r="Z30" s="14" t="s">
        <v>107</v>
      </c>
      <c r="AA30" s="14" t="s">
        <v>107</v>
      </c>
      <c r="AB30" s="14" t="s">
        <v>147</v>
      </c>
      <c r="AC30" s="14" t="s">
        <v>113</v>
      </c>
      <c r="AD30" s="14" t="s">
        <v>114</v>
      </c>
    </row>
    <row r="31" customFormat="false" ht="78" hidden="false" customHeight="true" outlineLevel="0" collapsed="false">
      <c r="A31" s="14" t="s">
        <v>471</v>
      </c>
      <c r="B31" s="14" t="s">
        <v>43</v>
      </c>
      <c r="C31" s="14" t="s">
        <v>472</v>
      </c>
      <c r="D31" s="14" t="s">
        <v>93</v>
      </c>
      <c r="E31" s="14" t="s">
        <v>473</v>
      </c>
      <c r="F31" s="15" t="s">
        <v>474</v>
      </c>
      <c r="G31" s="14" t="s">
        <v>475</v>
      </c>
      <c r="H31" s="14" t="s">
        <v>476</v>
      </c>
      <c r="I31" s="14" t="s">
        <v>477</v>
      </c>
      <c r="J31" s="14" t="s">
        <v>50</v>
      </c>
      <c r="K31" s="19" t="s">
        <v>194</v>
      </c>
      <c r="L31" s="14" t="s">
        <v>478</v>
      </c>
      <c r="M31" s="14" t="s">
        <v>479</v>
      </c>
      <c r="N31" s="14" t="s">
        <v>480</v>
      </c>
      <c r="O31" s="14"/>
      <c r="P31" s="14" t="s">
        <v>481</v>
      </c>
      <c r="Q31" s="14" t="s">
        <v>482</v>
      </c>
      <c r="R31" s="14" t="s">
        <v>106</v>
      </c>
      <c r="S31" s="17" t="s">
        <v>107</v>
      </c>
      <c r="T31" s="17" t="s">
        <v>107</v>
      </c>
      <c r="U31" s="14" t="s">
        <v>483</v>
      </c>
      <c r="V31" s="14" t="s">
        <v>109</v>
      </c>
      <c r="W31" s="18" t="s">
        <v>110</v>
      </c>
      <c r="X31" s="14" t="s">
        <v>484</v>
      </c>
      <c r="Y31" s="14" t="s">
        <v>194</v>
      </c>
      <c r="Z31" s="14" t="s">
        <v>107</v>
      </c>
      <c r="AA31" s="14" t="s">
        <v>107</v>
      </c>
      <c r="AB31" s="14" t="s">
        <v>131</v>
      </c>
      <c r="AC31" s="14" t="s">
        <v>113</v>
      </c>
      <c r="AD31" s="14" t="s">
        <v>114</v>
      </c>
    </row>
    <row r="32" customFormat="false" ht="78" hidden="false" customHeight="true" outlineLevel="0" collapsed="false">
      <c r="A32" s="14" t="s">
        <v>485</v>
      </c>
      <c r="B32" s="14" t="s">
        <v>43</v>
      </c>
      <c r="C32" s="14" t="s">
        <v>486</v>
      </c>
      <c r="D32" s="14" t="s">
        <v>93</v>
      </c>
      <c r="E32" s="14" t="s">
        <v>487</v>
      </c>
      <c r="F32" s="15" t="s">
        <v>488</v>
      </c>
      <c r="G32" s="14" t="s">
        <v>475</v>
      </c>
      <c r="H32" s="14" t="s">
        <v>489</v>
      </c>
      <c r="I32" s="14" t="s">
        <v>490</v>
      </c>
      <c r="J32" s="14" t="s">
        <v>50</v>
      </c>
      <c r="K32" s="19" t="s">
        <v>194</v>
      </c>
      <c r="L32" s="14" t="s">
        <v>491</v>
      </c>
      <c r="M32" s="14" t="s">
        <v>492</v>
      </c>
      <c r="N32" s="14" t="s">
        <v>493</v>
      </c>
      <c r="O32" s="14"/>
      <c r="P32" s="14" t="s">
        <v>494</v>
      </c>
      <c r="Q32" s="14" t="s">
        <v>495</v>
      </c>
      <c r="R32" s="14" t="s">
        <v>106</v>
      </c>
      <c r="S32" s="17" t="s">
        <v>107</v>
      </c>
      <c r="T32" s="17" t="s">
        <v>107</v>
      </c>
      <c r="U32" s="14" t="s">
        <v>496</v>
      </c>
      <c r="V32" s="14" t="s">
        <v>109</v>
      </c>
      <c r="W32" s="18" t="s">
        <v>110</v>
      </c>
      <c r="X32" s="14" t="s">
        <v>497</v>
      </c>
      <c r="Y32" s="14" t="s">
        <v>194</v>
      </c>
      <c r="Z32" s="14" t="s">
        <v>107</v>
      </c>
      <c r="AA32" s="14" t="s">
        <v>107</v>
      </c>
      <c r="AB32" s="14" t="s">
        <v>131</v>
      </c>
      <c r="AC32" s="14" t="s">
        <v>113</v>
      </c>
      <c r="AD32" s="14" t="s">
        <v>114</v>
      </c>
    </row>
    <row r="33" customFormat="false" ht="78" hidden="false" customHeight="true" outlineLevel="0" collapsed="false">
      <c r="A33" s="14" t="s">
        <v>498</v>
      </c>
      <c r="B33" s="14" t="s">
        <v>43</v>
      </c>
      <c r="C33" s="14" t="s">
        <v>499</v>
      </c>
      <c r="D33" s="14" t="s">
        <v>93</v>
      </c>
      <c r="E33" s="14" t="s">
        <v>500</v>
      </c>
      <c r="F33" s="15" t="s">
        <v>501</v>
      </c>
      <c r="G33" s="14" t="s">
        <v>502</v>
      </c>
      <c r="H33" s="14" t="s">
        <v>503</v>
      </c>
      <c r="I33" s="14" t="s">
        <v>504</v>
      </c>
      <c r="J33" s="14" t="s">
        <v>505</v>
      </c>
      <c r="K33" s="19" t="s">
        <v>194</v>
      </c>
      <c r="L33" s="14" t="s">
        <v>506</v>
      </c>
      <c r="M33" s="14" t="s">
        <v>507</v>
      </c>
      <c r="N33" s="14" t="s">
        <v>508</v>
      </c>
      <c r="O33" s="14"/>
      <c r="P33" s="14" t="s">
        <v>509</v>
      </c>
      <c r="Q33" s="14" t="s">
        <v>510</v>
      </c>
      <c r="R33" s="14" t="s">
        <v>511</v>
      </c>
      <c r="S33" s="17" t="s">
        <v>107</v>
      </c>
      <c r="T33" s="17" t="s">
        <v>107</v>
      </c>
      <c r="U33" s="14" t="s">
        <v>512</v>
      </c>
      <c r="V33" s="14" t="s">
        <v>109</v>
      </c>
      <c r="W33" s="18" t="s">
        <v>110</v>
      </c>
      <c r="X33" s="14" t="s">
        <v>513</v>
      </c>
      <c r="Y33" s="14" t="s">
        <v>194</v>
      </c>
      <c r="Z33" s="14" t="s">
        <v>107</v>
      </c>
      <c r="AA33" s="14" t="s">
        <v>107</v>
      </c>
      <c r="AB33" s="14" t="s">
        <v>131</v>
      </c>
      <c r="AC33" s="14" t="s">
        <v>113</v>
      </c>
      <c r="AD33" s="14" t="s">
        <v>114</v>
      </c>
    </row>
    <row r="34" customFormat="false" ht="78" hidden="false" customHeight="true" outlineLevel="0" collapsed="false">
      <c r="A34" s="14" t="s">
        <v>514</v>
      </c>
      <c r="B34" s="14" t="s">
        <v>43</v>
      </c>
      <c r="C34" s="14" t="s">
        <v>515</v>
      </c>
      <c r="D34" s="14" t="s">
        <v>93</v>
      </c>
      <c r="E34" s="14" t="s">
        <v>516</v>
      </c>
      <c r="F34" s="15" t="s">
        <v>517</v>
      </c>
      <c r="G34" s="14" t="s">
        <v>518</v>
      </c>
      <c r="H34" s="14" t="s">
        <v>519</v>
      </c>
      <c r="I34" s="14" t="s">
        <v>520</v>
      </c>
      <c r="J34" s="14" t="s">
        <v>50</v>
      </c>
      <c r="K34" s="19" t="s">
        <v>194</v>
      </c>
      <c r="L34" s="14" t="s">
        <v>521</v>
      </c>
      <c r="M34" s="14" t="s">
        <v>522</v>
      </c>
      <c r="N34" s="14" t="s">
        <v>523</v>
      </c>
      <c r="O34" s="14"/>
      <c r="P34" s="14" t="s">
        <v>524</v>
      </c>
      <c r="Q34" s="14" t="s">
        <v>525</v>
      </c>
      <c r="R34" s="14" t="s">
        <v>526</v>
      </c>
      <c r="S34" s="17" t="s">
        <v>107</v>
      </c>
      <c r="T34" s="17" t="s">
        <v>107</v>
      </c>
      <c r="U34" s="14" t="s">
        <v>527</v>
      </c>
      <c r="V34" s="14" t="s">
        <v>109</v>
      </c>
      <c r="W34" s="18" t="s">
        <v>110</v>
      </c>
      <c r="X34" s="14" t="s">
        <v>528</v>
      </c>
      <c r="Y34" s="14" t="s">
        <v>194</v>
      </c>
      <c r="Z34" s="14" t="s">
        <v>107</v>
      </c>
      <c r="AA34" s="14" t="s">
        <v>107</v>
      </c>
      <c r="AB34" s="14" t="s">
        <v>131</v>
      </c>
      <c r="AC34" s="14" t="s">
        <v>113</v>
      </c>
      <c r="AD34" s="14" t="s">
        <v>114</v>
      </c>
    </row>
    <row r="35" customFormat="false" ht="78" hidden="false" customHeight="true" outlineLevel="0" collapsed="false">
      <c r="A35" s="14" t="s">
        <v>529</v>
      </c>
      <c r="B35" s="14" t="s">
        <v>44</v>
      </c>
      <c r="C35" s="14" t="s">
        <v>530</v>
      </c>
      <c r="D35" s="14" t="s">
        <v>117</v>
      </c>
      <c r="E35" s="14" t="s">
        <v>531</v>
      </c>
      <c r="F35" s="15" t="s">
        <v>532</v>
      </c>
      <c r="G35" s="14" t="s">
        <v>533</v>
      </c>
      <c r="H35" s="14" t="s">
        <v>534</v>
      </c>
      <c r="I35" s="14" t="s">
        <v>535</v>
      </c>
      <c r="J35" s="14" t="s">
        <v>536</v>
      </c>
      <c r="K35" s="19" t="s">
        <v>194</v>
      </c>
      <c r="L35" s="14" t="s">
        <v>537</v>
      </c>
      <c r="M35" s="14" t="s">
        <v>538</v>
      </c>
      <c r="N35" s="14" t="s">
        <v>539</v>
      </c>
      <c r="O35" s="14"/>
      <c r="P35" s="14" t="s">
        <v>540</v>
      </c>
      <c r="Q35" s="14" t="s">
        <v>541</v>
      </c>
      <c r="R35" s="14" t="s">
        <v>542</v>
      </c>
      <c r="S35" s="17" t="s">
        <v>107</v>
      </c>
      <c r="T35" s="17" t="s">
        <v>107</v>
      </c>
      <c r="U35" s="14" t="s">
        <v>543</v>
      </c>
      <c r="V35" s="14" t="s">
        <v>109</v>
      </c>
      <c r="W35" s="18" t="s">
        <v>110</v>
      </c>
      <c r="X35" s="14" t="s">
        <v>544</v>
      </c>
      <c r="Y35" s="14" t="s">
        <v>194</v>
      </c>
      <c r="Z35" s="14" t="s">
        <v>107</v>
      </c>
      <c r="AA35" s="14" t="s">
        <v>107</v>
      </c>
      <c r="AB35" s="14" t="s">
        <v>112</v>
      </c>
      <c r="AC35" s="14" t="s">
        <v>113</v>
      </c>
      <c r="AD35" s="14" t="s">
        <v>114</v>
      </c>
    </row>
    <row r="36" customFormat="false" ht="78" hidden="false" customHeight="true" outlineLevel="0" collapsed="false">
      <c r="A36" s="14" t="s">
        <v>545</v>
      </c>
      <c r="B36" s="14" t="s">
        <v>48</v>
      </c>
      <c r="C36" s="14" t="s">
        <v>546</v>
      </c>
      <c r="D36" s="14" t="s">
        <v>117</v>
      </c>
      <c r="E36" s="14" t="s">
        <v>547</v>
      </c>
      <c r="F36" s="15" t="s">
        <v>548</v>
      </c>
      <c r="G36" s="14" t="s">
        <v>168</v>
      </c>
      <c r="H36" s="14" t="s">
        <v>549</v>
      </c>
      <c r="I36" s="14" t="s">
        <v>550</v>
      </c>
      <c r="J36" s="14" t="s">
        <v>551</v>
      </c>
      <c r="K36" s="19" t="s">
        <v>194</v>
      </c>
      <c r="L36" s="14" t="s">
        <v>552</v>
      </c>
      <c r="M36" s="14" t="s">
        <v>553</v>
      </c>
      <c r="N36" s="14" t="s">
        <v>554</v>
      </c>
      <c r="O36" s="14"/>
      <c r="P36" s="14" t="s">
        <v>555</v>
      </c>
      <c r="Q36" s="14" t="s">
        <v>556</v>
      </c>
      <c r="R36" s="14" t="s">
        <v>456</v>
      </c>
      <c r="S36" s="17" t="s">
        <v>107</v>
      </c>
      <c r="T36" s="17" t="s">
        <v>107</v>
      </c>
      <c r="U36" s="14" t="s">
        <v>557</v>
      </c>
      <c r="V36" s="14" t="s">
        <v>109</v>
      </c>
      <c r="W36" s="18" t="s">
        <v>110</v>
      </c>
      <c r="X36" s="14" t="s">
        <v>558</v>
      </c>
      <c r="Y36" s="14" t="s">
        <v>194</v>
      </c>
      <c r="Z36" s="14" t="s">
        <v>107</v>
      </c>
      <c r="AA36" s="14" t="s">
        <v>107</v>
      </c>
      <c r="AB36" s="14" t="s">
        <v>559</v>
      </c>
      <c r="AC36" s="14" t="s">
        <v>560</v>
      </c>
      <c r="AD36" s="14" t="s">
        <v>561</v>
      </c>
    </row>
    <row r="37" customFormat="false" ht="78" hidden="false" customHeight="true" outlineLevel="0" collapsed="false">
      <c r="A37" s="14" t="s">
        <v>562</v>
      </c>
      <c r="B37" s="14" t="s">
        <v>46</v>
      </c>
      <c r="C37" s="14" t="s">
        <v>563</v>
      </c>
      <c r="D37" s="14" t="s">
        <v>564</v>
      </c>
      <c r="E37" s="14" t="s">
        <v>565</v>
      </c>
      <c r="F37" s="15" t="s">
        <v>566</v>
      </c>
      <c r="G37" s="14" t="s">
        <v>567</v>
      </c>
      <c r="H37" s="14" t="s">
        <v>568</v>
      </c>
      <c r="I37" s="14" t="s">
        <v>569</v>
      </c>
      <c r="J37" s="14" t="s">
        <v>55</v>
      </c>
      <c r="K37" s="19" t="s">
        <v>194</v>
      </c>
      <c r="L37" s="14" t="s">
        <v>570</v>
      </c>
      <c r="M37" s="14" t="s">
        <v>571</v>
      </c>
      <c r="N37" s="14" t="s">
        <v>572</v>
      </c>
      <c r="O37" s="14"/>
      <c r="P37" s="14" t="s">
        <v>573</v>
      </c>
      <c r="Q37" s="14" t="s">
        <v>574</v>
      </c>
      <c r="R37" s="14" t="s">
        <v>575</v>
      </c>
      <c r="S37" s="17" t="s">
        <v>107</v>
      </c>
      <c r="T37" s="20" t="s">
        <v>324</v>
      </c>
      <c r="U37" s="14" t="s">
        <v>576</v>
      </c>
      <c r="V37" s="14" t="s">
        <v>109</v>
      </c>
      <c r="W37" s="18" t="s">
        <v>110</v>
      </c>
      <c r="X37" s="14" t="s">
        <v>577</v>
      </c>
      <c r="Y37" s="14" t="s">
        <v>194</v>
      </c>
      <c r="Z37" s="14" t="s">
        <v>107</v>
      </c>
      <c r="AA37" s="14" t="s">
        <v>107</v>
      </c>
      <c r="AB37" s="14" t="s">
        <v>147</v>
      </c>
      <c r="AC37" s="14" t="s">
        <v>113</v>
      </c>
      <c r="AD37" s="14" t="s">
        <v>114</v>
      </c>
    </row>
    <row r="38" customFormat="false" ht="78" hidden="false" customHeight="true" outlineLevel="0" collapsed="false">
      <c r="A38" s="14" t="s">
        <v>578</v>
      </c>
      <c r="B38" s="14" t="s">
        <v>44</v>
      </c>
      <c r="C38" s="14" t="s">
        <v>579</v>
      </c>
      <c r="D38" s="14" t="s">
        <v>564</v>
      </c>
      <c r="E38" s="14" t="s">
        <v>580</v>
      </c>
      <c r="F38" s="15" t="s">
        <v>581</v>
      </c>
      <c r="G38" s="14" t="s">
        <v>580</v>
      </c>
      <c r="H38" s="14" t="s">
        <v>582</v>
      </c>
      <c r="I38" s="14" t="s">
        <v>583</v>
      </c>
      <c r="J38" s="14" t="s">
        <v>53</v>
      </c>
      <c r="K38" s="19" t="s">
        <v>194</v>
      </c>
      <c r="L38" s="14" t="s">
        <v>584</v>
      </c>
      <c r="M38" s="14" t="s">
        <v>585</v>
      </c>
      <c r="N38" s="14" t="s">
        <v>586</v>
      </c>
      <c r="O38" s="14"/>
      <c r="P38" s="14" t="s">
        <v>587</v>
      </c>
      <c r="Q38" s="14" t="s">
        <v>588</v>
      </c>
      <c r="R38" s="14" t="s">
        <v>589</v>
      </c>
      <c r="S38" s="17" t="s">
        <v>107</v>
      </c>
      <c r="T38" s="17" t="s">
        <v>107</v>
      </c>
      <c r="U38" s="14" t="s">
        <v>590</v>
      </c>
      <c r="V38" s="14" t="s">
        <v>109</v>
      </c>
      <c r="W38" s="18" t="s">
        <v>110</v>
      </c>
      <c r="X38" s="14" t="s">
        <v>591</v>
      </c>
      <c r="Y38" s="14" t="s">
        <v>194</v>
      </c>
      <c r="Z38" s="14" t="s">
        <v>107</v>
      </c>
      <c r="AA38" s="14" t="s">
        <v>107</v>
      </c>
      <c r="AB38" s="14" t="s">
        <v>112</v>
      </c>
      <c r="AC38" s="14" t="s">
        <v>113</v>
      </c>
      <c r="AD38" s="14" t="s">
        <v>114</v>
      </c>
    </row>
    <row r="39" customFormat="false" ht="78" hidden="false" customHeight="true" outlineLevel="0" collapsed="false">
      <c r="A39" s="14" t="s">
        <v>592</v>
      </c>
      <c r="B39" s="14" t="s">
        <v>46</v>
      </c>
      <c r="C39" s="14" t="s">
        <v>593</v>
      </c>
      <c r="D39" s="14" t="s">
        <v>34</v>
      </c>
      <c r="E39" s="14" t="s">
        <v>594</v>
      </c>
      <c r="F39" s="15" t="s">
        <v>595</v>
      </c>
      <c r="G39" s="14" t="s">
        <v>596</v>
      </c>
      <c r="H39" s="14" t="s">
        <v>597</v>
      </c>
      <c r="I39" s="14" t="s">
        <v>598</v>
      </c>
      <c r="J39" s="14" t="s">
        <v>51</v>
      </c>
      <c r="K39" s="19" t="s">
        <v>194</v>
      </c>
      <c r="L39" s="14" t="s">
        <v>599</v>
      </c>
      <c r="M39" s="14" t="s">
        <v>600</v>
      </c>
      <c r="N39" s="14" t="s">
        <v>601</v>
      </c>
      <c r="O39" s="14"/>
      <c r="P39" s="14" t="s">
        <v>602</v>
      </c>
      <c r="Q39" s="14" t="s">
        <v>603</v>
      </c>
      <c r="R39" s="14" t="s">
        <v>575</v>
      </c>
      <c r="S39" s="17" t="s">
        <v>107</v>
      </c>
      <c r="T39" s="17" t="s">
        <v>107</v>
      </c>
      <c r="U39" s="14" t="s">
        <v>604</v>
      </c>
      <c r="V39" s="14" t="s">
        <v>109</v>
      </c>
      <c r="W39" s="21" t="s">
        <v>429</v>
      </c>
      <c r="X39" s="14" t="s">
        <v>605</v>
      </c>
      <c r="Y39" s="14" t="s">
        <v>100</v>
      </c>
      <c r="Z39" s="14" t="s">
        <v>107</v>
      </c>
      <c r="AA39" s="14" t="s">
        <v>107</v>
      </c>
      <c r="AB39" s="14" t="s">
        <v>147</v>
      </c>
      <c r="AC39" s="14" t="s">
        <v>113</v>
      </c>
      <c r="AD39" s="14" t="s">
        <v>114</v>
      </c>
    </row>
    <row r="40" customFormat="false" ht="78" hidden="false" customHeight="true" outlineLevel="0" collapsed="false">
      <c r="A40" s="14" t="s">
        <v>606</v>
      </c>
      <c r="B40" s="14" t="s">
        <v>46</v>
      </c>
      <c r="C40" s="14" t="s">
        <v>607</v>
      </c>
      <c r="D40" s="14" t="s">
        <v>34</v>
      </c>
      <c r="E40" s="14" t="s">
        <v>608</v>
      </c>
      <c r="F40" s="15" t="s">
        <v>609</v>
      </c>
      <c r="G40" s="14" t="s">
        <v>596</v>
      </c>
      <c r="H40" s="14" t="s">
        <v>610</v>
      </c>
      <c r="I40" s="14" t="s">
        <v>611</v>
      </c>
      <c r="J40" s="14" t="s">
        <v>51</v>
      </c>
      <c r="K40" s="19" t="s">
        <v>194</v>
      </c>
      <c r="L40" s="14" t="s">
        <v>612</v>
      </c>
      <c r="M40" s="14" t="s">
        <v>613</v>
      </c>
      <c r="N40" s="14" t="s">
        <v>614</v>
      </c>
      <c r="O40" s="14"/>
      <c r="P40" s="14" t="s">
        <v>615</v>
      </c>
      <c r="Q40" s="14" t="s">
        <v>616</v>
      </c>
      <c r="R40" s="14" t="s">
        <v>575</v>
      </c>
      <c r="S40" s="17" t="s">
        <v>107</v>
      </c>
      <c r="T40" s="17" t="s">
        <v>107</v>
      </c>
      <c r="U40" s="14" t="s">
        <v>617</v>
      </c>
      <c r="V40" s="14" t="s">
        <v>109</v>
      </c>
      <c r="W40" s="18" t="s">
        <v>110</v>
      </c>
      <c r="X40" s="14" t="s">
        <v>618</v>
      </c>
      <c r="Y40" s="14" t="s">
        <v>194</v>
      </c>
      <c r="Z40" s="14" t="s">
        <v>107</v>
      </c>
      <c r="AA40" s="14" t="s">
        <v>107</v>
      </c>
      <c r="AB40" s="14" t="s">
        <v>147</v>
      </c>
      <c r="AC40" s="14" t="s">
        <v>113</v>
      </c>
      <c r="AD40" s="14" t="s">
        <v>114</v>
      </c>
    </row>
    <row r="41" customFormat="false" ht="78" hidden="false" customHeight="true" outlineLevel="0" collapsed="false">
      <c r="A41" s="14" t="s">
        <v>619</v>
      </c>
      <c r="B41" s="14" t="s">
        <v>44</v>
      </c>
      <c r="C41" s="14" t="s">
        <v>620</v>
      </c>
      <c r="D41" s="14" t="s">
        <v>34</v>
      </c>
      <c r="E41" s="14" t="s">
        <v>621</v>
      </c>
      <c r="F41" s="15" t="s">
        <v>622</v>
      </c>
      <c r="G41" s="14" t="s">
        <v>623</v>
      </c>
      <c r="H41" s="14" t="s">
        <v>624</v>
      </c>
      <c r="I41" s="14" t="s">
        <v>625</v>
      </c>
      <c r="J41" s="14" t="s">
        <v>55</v>
      </c>
      <c r="K41" s="19" t="s">
        <v>194</v>
      </c>
      <c r="L41" s="14" t="s">
        <v>626</v>
      </c>
      <c r="M41" s="14" t="s">
        <v>627</v>
      </c>
      <c r="N41" s="14" t="s">
        <v>628</v>
      </c>
      <c r="O41" s="14"/>
      <c r="P41" s="14" t="s">
        <v>629</v>
      </c>
      <c r="Q41" s="14" t="s">
        <v>630</v>
      </c>
      <c r="R41" s="14" t="s">
        <v>575</v>
      </c>
      <c r="S41" s="17" t="s">
        <v>107</v>
      </c>
      <c r="T41" s="17" t="s">
        <v>107</v>
      </c>
      <c r="U41" s="14" t="s">
        <v>631</v>
      </c>
      <c r="V41" s="14" t="s">
        <v>109</v>
      </c>
      <c r="W41" s="21" t="s">
        <v>429</v>
      </c>
      <c r="X41" s="14" t="s">
        <v>632</v>
      </c>
      <c r="Y41" s="14" t="s">
        <v>100</v>
      </c>
      <c r="Z41" s="14" t="s">
        <v>107</v>
      </c>
      <c r="AA41" s="14" t="s">
        <v>107</v>
      </c>
      <c r="AB41" s="14" t="s">
        <v>112</v>
      </c>
      <c r="AC41" s="14" t="s">
        <v>113</v>
      </c>
      <c r="AD41" s="14" t="s">
        <v>114</v>
      </c>
    </row>
    <row r="42" customFormat="false" ht="78" hidden="false" customHeight="true" outlineLevel="0" collapsed="false">
      <c r="A42" s="14" t="s">
        <v>633</v>
      </c>
      <c r="B42" s="14" t="s">
        <v>44</v>
      </c>
      <c r="C42" s="14" t="s">
        <v>634</v>
      </c>
      <c r="D42" s="14" t="s">
        <v>34</v>
      </c>
      <c r="E42" s="14" t="s">
        <v>635</v>
      </c>
      <c r="F42" s="15" t="s">
        <v>622</v>
      </c>
      <c r="G42" s="14" t="s">
        <v>623</v>
      </c>
      <c r="H42" s="14" t="s">
        <v>636</v>
      </c>
      <c r="I42" s="14" t="s">
        <v>637</v>
      </c>
      <c r="J42" s="14" t="s">
        <v>400</v>
      </c>
      <c r="K42" s="19" t="s">
        <v>194</v>
      </c>
      <c r="L42" s="14" t="s">
        <v>638</v>
      </c>
      <c r="M42" s="14" t="s">
        <v>639</v>
      </c>
      <c r="N42" s="14" t="s">
        <v>640</v>
      </c>
      <c r="O42" s="14"/>
      <c r="P42" s="14" t="s">
        <v>641</v>
      </c>
      <c r="Q42" s="14" t="s">
        <v>642</v>
      </c>
      <c r="R42" s="14" t="s">
        <v>575</v>
      </c>
      <c r="S42" s="17" t="s">
        <v>107</v>
      </c>
      <c r="T42" s="17" t="s">
        <v>107</v>
      </c>
      <c r="U42" s="14" t="s">
        <v>643</v>
      </c>
      <c r="V42" s="14" t="s">
        <v>109</v>
      </c>
      <c r="W42" s="18" t="s">
        <v>110</v>
      </c>
      <c r="X42" s="14" t="s">
        <v>644</v>
      </c>
      <c r="Y42" s="14" t="s">
        <v>194</v>
      </c>
      <c r="Z42" s="14" t="s">
        <v>107</v>
      </c>
      <c r="AA42" s="14" t="s">
        <v>107</v>
      </c>
      <c r="AB42" s="14" t="s">
        <v>112</v>
      </c>
      <c r="AC42" s="14" t="s">
        <v>113</v>
      </c>
      <c r="AD42" s="14" t="s">
        <v>114</v>
      </c>
    </row>
    <row r="43" customFormat="false" ht="78" hidden="false" customHeight="true" outlineLevel="0" collapsed="false">
      <c r="A43" s="14" t="s">
        <v>645</v>
      </c>
      <c r="B43" s="14" t="s">
        <v>43</v>
      </c>
      <c r="C43" s="14" t="s">
        <v>646</v>
      </c>
      <c r="D43" s="14" t="s">
        <v>34</v>
      </c>
      <c r="E43" s="14" t="s">
        <v>647</v>
      </c>
      <c r="F43" s="15" t="s">
        <v>648</v>
      </c>
      <c r="G43" s="14" t="s">
        <v>533</v>
      </c>
      <c r="H43" s="14" t="s">
        <v>649</v>
      </c>
      <c r="I43" s="14" t="s">
        <v>650</v>
      </c>
      <c r="J43" s="14" t="s">
        <v>50</v>
      </c>
      <c r="K43" s="19" t="s">
        <v>194</v>
      </c>
      <c r="L43" s="14" t="s">
        <v>651</v>
      </c>
      <c r="M43" s="14" t="s">
        <v>652</v>
      </c>
      <c r="N43" s="14" t="s">
        <v>653</v>
      </c>
      <c r="O43" s="14"/>
      <c r="P43" s="14" t="s">
        <v>654</v>
      </c>
      <c r="Q43" s="14" t="s">
        <v>655</v>
      </c>
      <c r="R43" s="14" t="s">
        <v>161</v>
      </c>
      <c r="S43" s="17" t="s">
        <v>107</v>
      </c>
      <c r="T43" s="17" t="s">
        <v>107</v>
      </c>
      <c r="U43" s="14" t="s">
        <v>656</v>
      </c>
      <c r="V43" s="14" t="s">
        <v>109</v>
      </c>
      <c r="W43" s="21" t="s">
        <v>429</v>
      </c>
      <c r="X43" s="14" t="s">
        <v>657</v>
      </c>
      <c r="Y43" s="14" t="s">
        <v>100</v>
      </c>
      <c r="Z43" s="14" t="s">
        <v>107</v>
      </c>
      <c r="AA43" s="14" t="s">
        <v>107</v>
      </c>
      <c r="AB43" s="14" t="s">
        <v>131</v>
      </c>
      <c r="AC43" s="14" t="s">
        <v>113</v>
      </c>
      <c r="AD43" s="14" t="s">
        <v>114</v>
      </c>
    </row>
    <row r="44" customFormat="false" ht="78" hidden="false" customHeight="true" outlineLevel="0" collapsed="false">
      <c r="A44" s="14" t="s">
        <v>658</v>
      </c>
      <c r="B44" s="14" t="s">
        <v>43</v>
      </c>
      <c r="C44" s="14" t="s">
        <v>659</v>
      </c>
      <c r="D44" s="14" t="s">
        <v>34</v>
      </c>
      <c r="E44" s="14" t="s">
        <v>660</v>
      </c>
      <c r="F44" s="15" t="s">
        <v>661</v>
      </c>
      <c r="G44" s="14" t="s">
        <v>662</v>
      </c>
      <c r="H44" s="14" t="s">
        <v>663</v>
      </c>
      <c r="I44" s="14" t="s">
        <v>664</v>
      </c>
      <c r="J44" s="14" t="s">
        <v>50</v>
      </c>
      <c r="K44" s="19" t="s">
        <v>194</v>
      </c>
      <c r="L44" s="14" t="s">
        <v>665</v>
      </c>
      <c r="M44" s="14" t="s">
        <v>666</v>
      </c>
      <c r="N44" s="14" t="s">
        <v>667</v>
      </c>
      <c r="O44" s="14"/>
      <c r="P44" s="14" t="s">
        <v>668</v>
      </c>
      <c r="Q44" s="14" t="s">
        <v>669</v>
      </c>
      <c r="R44" s="14" t="s">
        <v>161</v>
      </c>
      <c r="S44" s="17" t="s">
        <v>107</v>
      </c>
      <c r="T44" s="20" t="s">
        <v>324</v>
      </c>
      <c r="U44" s="14" t="s">
        <v>670</v>
      </c>
      <c r="V44" s="14" t="s">
        <v>109</v>
      </c>
      <c r="W44" s="18" t="s">
        <v>110</v>
      </c>
      <c r="X44" s="14" t="s">
        <v>671</v>
      </c>
      <c r="Y44" s="14" t="s">
        <v>194</v>
      </c>
      <c r="Z44" s="14" t="s">
        <v>107</v>
      </c>
      <c r="AA44" s="14" t="s">
        <v>107</v>
      </c>
      <c r="AB44" s="14" t="s">
        <v>131</v>
      </c>
      <c r="AC44" s="14" t="s">
        <v>113</v>
      </c>
      <c r="AD44" s="14" t="s">
        <v>114</v>
      </c>
    </row>
    <row r="45" customFormat="false" ht="78" hidden="false" customHeight="true" outlineLevel="0" collapsed="false">
      <c r="A45" s="14" t="s">
        <v>672</v>
      </c>
      <c r="B45" s="14" t="s">
        <v>43</v>
      </c>
      <c r="C45" s="14" t="s">
        <v>673</v>
      </c>
      <c r="D45" s="14" t="s">
        <v>34</v>
      </c>
      <c r="E45" s="14" t="s">
        <v>594</v>
      </c>
      <c r="F45" s="15" t="s">
        <v>595</v>
      </c>
      <c r="G45" s="14" t="s">
        <v>596</v>
      </c>
      <c r="H45" s="14" t="s">
        <v>674</v>
      </c>
      <c r="I45" s="14" t="s">
        <v>675</v>
      </c>
      <c r="J45" s="14" t="s">
        <v>50</v>
      </c>
      <c r="K45" s="19" t="s">
        <v>194</v>
      </c>
      <c r="L45" s="14" t="s">
        <v>676</v>
      </c>
      <c r="M45" s="14" t="s">
        <v>677</v>
      </c>
      <c r="N45" s="14" t="s">
        <v>678</v>
      </c>
      <c r="O45" s="14"/>
      <c r="P45" s="14" t="s">
        <v>679</v>
      </c>
      <c r="Q45" s="14" t="s">
        <v>680</v>
      </c>
      <c r="R45" s="14" t="s">
        <v>161</v>
      </c>
      <c r="S45" s="17" t="s">
        <v>107</v>
      </c>
      <c r="T45" s="20" t="s">
        <v>324</v>
      </c>
      <c r="U45" s="14" t="s">
        <v>681</v>
      </c>
      <c r="V45" s="14" t="s">
        <v>109</v>
      </c>
      <c r="W45" s="18" t="s">
        <v>110</v>
      </c>
      <c r="X45" s="14" t="s">
        <v>682</v>
      </c>
      <c r="Y45" s="14" t="s">
        <v>194</v>
      </c>
      <c r="Z45" s="14" t="s">
        <v>107</v>
      </c>
      <c r="AA45" s="14" t="s">
        <v>107</v>
      </c>
      <c r="AB45" s="14" t="s">
        <v>131</v>
      </c>
      <c r="AC45" s="14" t="s">
        <v>113</v>
      </c>
      <c r="AD45" s="14" t="s">
        <v>114</v>
      </c>
    </row>
    <row r="46" customFormat="false" ht="78" hidden="false" customHeight="true" outlineLevel="0" collapsed="false">
      <c r="A46" s="14" t="s">
        <v>683</v>
      </c>
      <c r="B46" s="14" t="s">
        <v>43</v>
      </c>
      <c r="C46" s="14" t="s">
        <v>684</v>
      </c>
      <c r="D46" s="14" t="s">
        <v>34</v>
      </c>
      <c r="E46" s="14" t="s">
        <v>685</v>
      </c>
      <c r="F46" s="15" t="s">
        <v>686</v>
      </c>
      <c r="G46" s="14" t="s">
        <v>687</v>
      </c>
      <c r="H46" s="14" t="s">
        <v>688</v>
      </c>
      <c r="I46" s="14" t="s">
        <v>689</v>
      </c>
      <c r="J46" s="14" t="s">
        <v>50</v>
      </c>
      <c r="K46" s="19" t="s">
        <v>194</v>
      </c>
      <c r="L46" s="14" t="s">
        <v>690</v>
      </c>
      <c r="M46" s="14" t="s">
        <v>691</v>
      </c>
      <c r="N46" s="14" t="s">
        <v>692</v>
      </c>
      <c r="O46" s="14"/>
      <c r="P46" s="14" t="s">
        <v>693</v>
      </c>
      <c r="Q46" s="14" t="s">
        <v>694</v>
      </c>
      <c r="R46" s="14" t="s">
        <v>161</v>
      </c>
      <c r="S46" s="17" t="s">
        <v>107</v>
      </c>
      <c r="T46" s="17" t="s">
        <v>107</v>
      </c>
      <c r="U46" s="14" t="s">
        <v>695</v>
      </c>
      <c r="V46" s="14" t="s">
        <v>109</v>
      </c>
      <c r="W46" s="21" t="s">
        <v>429</v>
      </c>
      <c r="X46" s="14" t="s">
        <v>696</v>
      </c>
      <c r="Y46" s="14" t="s">
        <v>100</v>
      </c>
      <c r="Z46" s="14" t="s">
        <v>107</v>
      </c>
      <c r="AA46" s="14" t="s">
        <v>107</v>
      </c>
      <c r="AB46" s="14" t="s">
        <v>131</v>
      </c>
      <c r="AC46" s="14" t="s">
        <v>113</v>
      </c>
      <c r="AD46" s="14" t="s">
        <v>114</v>
      </c>
    </row>
    <row r="47" customFormat="false" ht="78" hidden="false" customHeight="true" outlineLevel="0" collapsed="false">
      <c r="A47" s="14" t="s">
        <v>697</v>
      </c>
      <c r="B47" s="14" t="s">
        <v>43</v>
      </c>
      <c r="C47" s="14" t="s">
        <v>698</v>
      </c>
      <c r="D47" s="14" t="s">
        <v>34</v>
      </c>
      <c r="E47" s="14" t="s">
        <v>699</v>
      </c>
      <c r="F47" s="15" t="s">
        <v>182</v>
      </c>
      <c r="G47" s="14" t="s">
        <v>168</v>
      </c>
      <c r="H47" s="14" t="s">
        <v>700</v>
      </c>
      <c r="I47" s="14" t="s">
        <v>701</v>
      </c>
      <c r="J47" s="14" t="s">
        <v>505</v>
      </c>
      <c r="K47" s="19" t="s">
        <v>194</v>
      </c>
      <c r="L47" s="14" t="s">
        <v>702</v>
      </c>
      <c r="M47" s="14" t="s">
        <v>703</v>
      </c>
      <c r="N47" s="14" t="s">
        <v>704</v>
      </c>
      <c r="O47" s="14"/>
      <c r="P47" s="14" t="s">
        <v>705</v>
      </c>
      <c r="Q47" s="14" t="s">
        <v>706</v>
      </c>
      <c r="R47" s="14" t="s">
        <v>161</v>
      </c>
      <c r="S47" s="17" t="s">
        <v>107</v>
      </c>
      <c r="T47" s="17" t="s">
        <v>107</v>
      </c>
      <c r="U47" s="14" t="s">
        <v>707</v>
      </c>
      <c r="V47" s="14" t="s">
        <v>109</v>
      </c>
      <c r="W47" s="18" t="s">
        <v>110</v>
      </c>
      <c r="X47" s="14" t="s">
        <v>708</v>
      </c>
      <c r="Y47" s="14" t="s">
        <v>194</v>
      </c>
      <c r="Z47" s="14" t="s">
        <v>107</v>
      </c>
      <c r="AA47" s="14" t="s">
        <v>107</v>
      </c>
      <c r="AB47" s="14" t="s">
        <v>131</v>
      </c>
      <c r="AC47" s="14" t="s">
        <v>113</v>
      </c>
      <c r="AD47" s="14" t="s">
        <v>114</v>
      </c>
    </row>
    <row r="48" customFormat="false" ht="78" hidden="false" customHeight="true" outlineLevel="0" collapsed="false">
      <c r="A48" s="14" t="s">
        <v>709</v>
      </c>
      <c r="B48" s="14" t="s">
        <v>46</v>
      </c>
      <c r="C48" s="14" t="s">
        <v>710</v>
      </c>
      <c r="D48" s="14" t="s">
        <v>32</v>
      </c>
      <c r="E48" s="14" t="s">
        <v>711</v>
      </c>
      <c r="F48" s="15" t="s">
        <v>712</v>
      </c>
      <c r="G48" s="14" t="s">
        <v>713</v>
      </c>
      <c r="H48" s="14" t="s">
        <v>714</v>
      </c>
      <c r="I48" s="14" t="s">
        <v>715</v>
      </c>
      <c r="J48" s="14" t="s">
        <v>51</v>
      </c>
      <c r="K48" s="19" t="s">
        <v>194</v>
      </c>
      <c r="L48" s="14" t="s">
        <v>716</v>
      </c>
      <c r="M48" s="14" t="s">
        <v>717</v>
      </c>
      <c r="N48" s="14" t="s">
        <v>718</v>
      </c>
      <c r="O48" s="14"/>
      <c r="P48" s="14" t="s">
        <v>719</v>
      </c>
      <c r="Q48" s="14" t="s">
        <v>720</v>
      </c>
      <c r="R48" s="14" t="s">
        <v>144</v>
      </c>
      <c r="S48" s="17" t="s">
        <v>107</v>
      </c>
      <c r="T48" s="17" t="s">
        <v>107</v>
      </c>
      <c r="U48" s="14" t="s">
        <v>721</v>
      </c>
      <c r="V48" s="14" t="s">
        <v>109</v>
      </c>
      <c r="W48" s="21" t="s">
        <v>429</v>
      </c>
      <c r="X48" s="14" t="s">
        <v>722</v>
      </c>
      <c r="Y48" s="14" t="s">
        <v>100</v>
      </c>
      <c r="Z48" s="14" t="s">
        <v>107</v>
      </c>
      <c r="AA48" s="14" t="s">
        <v>107</v>
      </c>
      <c r="AB48" s="14" t="s">
        <v>147</v>
      </c>
      <c r="AC48" s="14" t="s">
        <v>113</v>
      </c>
      <c r="AD48" s="14" t="s">
        <v>114</v>
      </c>
    </row>
    <row r="49" customFormat="false" ht="78" hidden="false" customHeight="true" outlineLevel="0" collapsed="false">
      <c r="A49" s="14" t="s">
        <v>723</v>
      </c>
      <c r="B49" s="14" t="s">
        <v>46</v>
      </c>
      <c r="C49" s="14" t="s">
        <v>724</v>
      </c>
      <c r="D49" s="14" t="s">
        <v>32</v>
      </c>
      <c r="E49" s="14" t="s">
        <v>725</v>
      </c>
      <c r="F49" s="15" t="s">
        <v>726</v>
      </c>
      <c r="G49" s="14" t="s">
        <v>285</v>
      </c>
      <c r="H49" s="14" t="s">
        <v>727</v>
      </c>
      <c r="I49" s="14" t="s">
        <v>728</v>
      </c>
      <c r="J49" s="14" t="s">
        <v>55</v>
      </c>
      <c r="K49" s="19" t="s">
        <v>194</v>
      </c>
      <c r="L49" s="14" t="s">
        <v>729</v>
      </c>
      <c r="M49" s="14" t="s">
        <v>730</v>
      </c>
      <c r="N49" s="14" t="s">
        <v>731</v>
      </c>
      <c r="O49" s="14"/>
      <c r="P49" s="14" t="s">
        <v>732</v>
      </c>
      <c r="Q49" s="14" t="s">
        <v>733</v>
      </c>
      <c r="R49" s="14" t="s">
        <v>144</v>
      </c>
      <c r="S49" s="17" t="s">
        <v>107</v>
      </c>
      <c r="T49" s="17" t="s">
        <v>107</v>
      </c>
      <c r="U49" s="14" t="s">
        <v>734</v>
      </c>
      <c r="V49" s="14" t="s">
        <v>109</v>
      </c>
      <c r="W49" s="18" t="s">
        <v>110</v>
      </c>
      <c r="X49" s="14" t="s">
        <v>735</v>
      </c>
      <c r="Y49" s="14" t="s">
        <v>194</v>
      </c>
      <c r="Z49" s="14" t="s">
        <v>107</v>
      </c>
      <c r="AA49" s="14" t="s">
        <v>107</v>
      </c>
      <c r="AB49" s="14" t="s">
        <v>147</v>
      </c>
      <c r="AC49" s="14" t="s">
        <v>113</v>
      </c>
      <c r="AD49" s="14" t="s">
        <v>114</v>
      </c>
    </row>
    <row r="50" customFormat="false" ht="78" hidden="false" customHeight="true" outlineLevel="0" collapsed="false">
      <c r="A50" s="14" t="s">
        <v>736</v>
      </c>
      <c r="B50" s="14" t="s">
        <v>46</v>
      </c>
      <c r="C50" s="14" t="s">
        <v>737</v>
      </c>
      <c r="D50" s="14" t="s">
        <v>32</v>
      </c>
      <c r="E50" s="14" t="s">
        <v>738</v>
      </c>
      <c r="F50" s="15" t="s">
        <v>739</v>
      </c>
      <c r="G50" s="14" t="s">
        <v>740</v>
      </c>
      <c r="H50" s="14" t="s">
        <v>741</v>
      </c>
      <c r="I50" s="14" t="s">
        <v>742</v>
      </c>
      <c r="J50" s="14" t="s">
        <v>55</v>
      </c>
      <c r="K50" s="19" t="s">
        <v>194</v>
      </c>
      <c r="L50" s="14" t="s">
        <v>743</v>
      </c>
      <c r="M50" s="14" t="s">
        <v>744</v>
      </c>
      <c r="N50" s="14" t="s">
        <v>745</v>
      </c>
      <c r="O50" s="14"/>
      <c r="P50" s="14" t="s">
        <v>746</v>
      </c>
      <c r="Q50" s="14" t="s">
        <v>747</v>
      </c>
      <c r="R50" s="14" t="s">
        <v>144</v>
      </c>
      <c r="S50" s="17" t="s">
        <v>107</v>
      </c>
      <c r="T50" s="20" t="s">
        <v>324</v>
      </c>
      <c r="U50" s="14" t="s">
        <v>748</v>
      </c>
      <c r="V50" s="14" t="s">
        <v>109</v>
      </c>
      <c r="W50" s="18" t="s">
        <v>110</v>
      </c>
      <c r="X50" s="14" t="s">
        <v>749</v>
      </c>
      <c r="Y50" s="14" t="s">
        <v>194</v>
      </c>
      <c r="Z50" s="14" t="s">
        <v>107</v>
      </c>
      <c r="AA50" s="14" t="s">
        <v>107</v>
      </c>
      <c r="AB50" s="14" t="s">
        <v>147</v>
      </c>
      <c r="AC50" s="14" t="s">
        <v>113</v>
      </c>
      <c r="AD50" s="14" t="s">
        <v>114</v>
      </c>
    </row>
    <row r="51" customFormat="false" ht="78" hidden="false" customHeight="true" outlineLevel="0" collapsed="false">
      <c r="A51" s="14" t="s">
        <v>750</v>
      </c>
      <c r="B51" s="14" t="s">
        <v>46</v>
      </c>
      <c r="C51" s="14" t="s">
        <v>751</v>
      </c>
      <c r="D51" s="14" t="s">
        <v>32</v>
      </c>
      <c r="E51" s="14" t="s">
        <v>752</v>
      </c>
      <c r="F51" s="15" t="s">
        <v>753</v>
      </c>
      <c r="G51" s="14" t="s">
        <v>754</v>
      </c>
      <c r="H51" s="14" t="s">
        <v>755</v>
      </c>
      <c r="I51" s="14" t="s">
        <v>756</v>
      </c>
      <c r="J51" s="14" t="s">
        <v>57</v>
      </c>
      <c r="K51" s="19" t="s">
        <v>194</v>
      </c>
      <c r="L51" s="14" t="s">
        <v>757</v>
      </c>
      <c r="M51" s="14" t="s">
        <v>758</v>
      </c>
      <c r="N51" s="14" t="s">
        <v>759</v>
      </c>
      <c r="O51" s="14"/>
      <c r="P51" s="14" t="s">
        <v>760</v>
      </c>
      <c r="Q51" s="14" t="s">
        <v>761</v>
      </c>
      <c r="R51" s="14" t="s">
        <v>144</v>
      </c>
      <c r="S51" s="17" t="s">
        <v>107</v>
      </c>
      <c r="T51" s="17" t="s">
        <v>107</v>
      </c>
      <c r="U51" s="14" t="s">
        <v>762</v>
      </c>
      <c r="V51" s="14" t="s">
        <v>109</v>
      </c>
      <c r="W51" s="18" t="s">
        <v>110</v>
      </c>
      <c r="X51" s="14" t="s">
        <v>763</v>
      </c>
      <c r="Y51" s="14" t="s">
        <v>194</v>
      </c>
      <c r="Z51" s="14" t="s">
        <v>107</v>
      </c>
      <c r="AA51" s="14" t="s">
        <v>107</v>
      </c>
      <c r="AB51" s="14" t="s">
        <v>147</v>
      </c>
      <c r="AC51" s="14" t="s">
        <v>113</v>
      </c>
      <c r="AD51" s="14" t="s">
        <v>114</v>
      </c>
    </row>
    <row r="52" customFormat="false" ht="78" hidden="false" customHeight="true" outlineLevel="0" collapsed="false">
      <c r="A52" s="14" t="s">
        <v>764</v>
      </c>
      <c r="B52" s="14" t="s">
        <v>44</v>
      </c>
      <c r="C52" s="14" t="s">
        <v>765</v>
      </c>
      <c r="D52" s="14" t="s">
        <v>32</v>
      </c>
      <c r="E52" s="14" t="s">
        <v>766</v>
      </c>
      <c r="F52" s="15" t="s">
        <v>767</v>
      </c>
      <c r="G52" s="14" t="s">
        <v>768</v>
      </c>
      <c r="H52" s="14" t="s">
        <v>769</v>
      </c>
      <c r="I52" s="14" t="s">
        <v>770</v>
      </c>
      <c r="J52" s="14" t="s">
        <v>53</v>
      </c>
      <c r="K52" s="19" t="s">
        <v>194</v>
      </c>
      <c r="L52" s="14" t="s">
        <v>771</v>
      </c>
      <c r="M52" s="14" t="s">
        <v>772</v>
      </c>
      <c r="N52" s="14" t="s">
        <v>773</v>
      </c>
      <c r="O52" s="14"/>
      <c r="P52" s="14" t="s">
        <v>774</v>
      </c>
      <c r="Q52" s="14" t="s">
        <v>775</v>
      </c>
      <c r="R52" s="14" t="s">
        <v>144</v>
      </c>
      <c r="S52" s="17" t="s">
        <v>107</v>
      </c>
      <c r="T52" s="17" t="s">
        <v>107</v>
      </c>
      <c r="U52" s="14" t="s">
        <v>776</v>
      </c>
      <c r="V52" s="14" t="s">
        <v>109</v>
      </c>
      <c r="W52" s="18" t="s">
        <v>110</v>
      </c>
      <c r="X52" s="14" t="s">
        <v>777</v>
      </c>
      <c r="Y52" s="14" t="s">
        <v>194</v>
      </c>
      <c r="Z52" s="14" t="s">
        <v>107</v>
      </c>
      <c r="AA52" s="14" t="s">
        <v>107</v>
      </c>
      <c r="AB52" s="14" t="s">
        <v>112</v>
      </c>
      <c r="AC52" s="14" t="s">
        <v>113</v>
      </c>
      <c r="AD52" s="14" t="s">
        <v>114</v>
      </c>
    </row>
    <row r="53" customFormat="false" ht="78" hidden="false" customHeight="true" outlineLevel="0" collapsed="false">
      <c r="A53" s="14" t="s">
        <v>778</v>
      </c>
      <c r="B53" s="14" t="s">
        <v>44</v>
      </c>
      <c r="C53" s="14" t="s">
        <v>779</v>
      </c>
      <c r="D53" s="14" t="s">
        <v>32</v>
      </c>
      <c r="E53" s="14" t="s">
        <v>780</v>
      </c>
      <c r="F53" s="15" t="s">
        <v>781</v>
      </c>
      <c r="G53" s="14" t="s">
        <v>740</v>
      </c>
      <c r="H53" s="14" t="s">
        <v>782</v>
      </c>
      <c r="I53" s="14" t="s">
        <v>783</v>
      </c>
      <c r="J53" s="14" t="s">
        <v>53</v>
      </c>
      <c r="K53" s="19" t="s">
        <v>194</v>
      </c>
      <c r="L53" s="14" t="s">
        <v>784</v>
      </c>
      <c r="M53" s="14" t="s">
        <v>785</v>
      </c>
      <c r="N53" s="14" t="s">
        <v>786</v>
      </c>
      <c r="O53" s="14"/>
      <c r="P53" s="14" t="s">
        <v>787</v>
      </c>
      <c r="Q53" s="14" t="s">
        <v>788</v>
      </c>
      <c r="R53" s="14" t="s">
        <v>144</v>
      </c>
      <c r="S53" s="17" t="s">
        <v>107</v>
      </c>
      <c r="T53" s="17" t="s">
        <v>107</v>
      </c>
      <c r="U53" s="14" t="s">
        <v>789</v>
      </c>
      <c r="V53" s="14" t="s">
        <v>109</v>
      </c>
      <c r="W53" s="18" t="s">
        <v>110</v>
      </c>
      <c r="X53" s="14" t="s">
        <v>790</v>
      </c>
      <c r="Y53" s="14" t="s">
        <v>194</v>
      </c>
      <c r="Z53" s="14" t="s">
        <v>107</v>
      </c>
      <c r="AA53" s="14" t="s">
        <v>107</v>
      </c>
      <c r="AB53" s="14" t="s">
        <v>112</v>
      </c>
      <c r="AC53" s="14" t="s">
        <v>113</v>
      </c>
      <c r="AD53" s="14" t="s">
        <v>114</v>
      </c>
    </row>
    <row r="54" customFormat="false" ht="78" hidden="false" customHeight="true" outlineLevel="0" collapsed="false">
      <c r="A54" s="14" t="s">
        <v>791</v>
      </c>
      <c r="B54" s="14" t="s">
        <v>43</v>
      </c>
      <c r="C54" s="14" t="s">
        <v>792</v>
      </c>
      <c r="D54" s="14" t="s">
        <v>32</v>
      </c>
      <c r="E54" s="14" t="s">
        <v>793</v>
      </c>
      <c r="F54" s="15" t="s">
        <v>712</v>
      </c>
      <c r="G54" s="14" t="s">
        <v>136</v>
      </c>
      <c r="H54" s="14" t="s">
        <v>794</v>
      </c>
      <c r="I54" s="14" t="s">
        <v>795</v>
      </c>
      <c r="J54" s="14" t="s">
        <v>50</v>
      </c>
      <c r="K54" s="19" t="s">
        <v>194</v>
      </c>
      <c r="L54" s="14" t="s">
        <v>796</v>
      </c>
      <c r="M54" s="14" t="s">
        <v>797</v>
      </c>
      <c r="N54" s="14" t="s">
        <v>798</v>
      </c>
      <c r="O54" s="14"/>
      <c r="P54" s="14" t="s">
        <v>799</v>
      </c>
      <c r="Q54" s="14" t="s">
        <v>800</v>
      </c>
      <c r="R54" s="14" t="s">
        <v>161</v>
      </c>
      <c r="S54" s="17" t="s">
        <v>107</v>
      </c>
      <c r="T54" s="17" t="s">
        <v>107</v>
      </c>
      <c r="U54" s="14" t="s">
        <v>801</v>
      </c>
      <c r="V54" s="14" t="s">
        <v>109</v>
      </c>
      <c r="W54" s="21" t="s">
        <v>429</v>
      </c>
      <c r="X54" s="14" t="s">
        <v>802</v>
      </c>
      <c r="Y54" s="14" t="s">
        <v>100</v>
      </c>
      <c r="Z54" s="14" t="s">
        <v>107</v>
      </c>
      <c r="AA54" s="14" t="s">
        <v>107</v>
      </c>
      <c r="AB54" s="14" t="s">
        <v>131</v>
      </c>
      <c r="AC54" s="14" t="s">
        <v>113</v>
      </c>
      <c r="AD54" s="14" t="s">
        <v>114</v>
      </c>
    </row>
    <row r="55" customFormat="false" ht="78" hidden="false" customHeight="true" outlineLevel="0" collapsed="false">
      <c r="A55" s="14" t="s">
        <v>803</v>
      </c>
      <c r="B55" s="14" t="s">
        <v>43</v>
      </c>
      <c r="C55" s="14" t="s">
        <v>804</v>
      </c>
      <c r="D55" s="14" t="s">
        <v>32</v>
      </c>
      <c r="E55" s="14" t="s">
        <v>805</v>
      </c>
      <c r="F55" s="15" t="s">
        <v>712</v>
      </c>
      <c r="G55" s="14" t="s">
        <v>136</v>
      </c>
      <c r="H55" s="14" t="s">
        <v>806</v>
      </c>
      <c r="I55" s="14" t="s">
        <v>807</v>
      </c>
      <c r="J55" s="14" t="s">
        <v>50</v>
      </c>
      <c r="K55" s="19" t="s">
        <v>194</v>
      </c>
      <c r="L55" s="14" t="s">
        <v>808</v>
      </c>
      <c r="M55" s="14" t="s">
        <v>809</v>
      </c>
      <c r="N55" s="14" t="s">
        <v>810</v>
      </c>
      <c r="O55" s="14"/>
      <c r="P55" s="14" t="s">
        <v>811</v>
      </c>
      <c r="Q55" s="14" t="s">
        <v>812</v>
      </c>
      <c r="R55" s="14" t="s">
        <v>161</v>
      </c>
      <c r="S55" s="17" t="s">
        <v>107</v>
      </c>
      <c r="T55" s="17" t="s">
        <v>107</v>
      </c>
      <c r="U55" s="14" t="s">
        <v>813</v>
      </c>
      <c r="V55" s="14" t="s">
        <v>109</v>
      </c>
      <c r="W55" s="21" t="s">
        <v>429</v>
      </c>
      <c r="X55" s="14" t="s">
        <v>814</v>
      </c>
      <c r="Y55" s="14" t="s">
        <v>100</v>
      </c>
      <c r="Z55" s="14" t="s">
        <v>107</v>
      </c>
      <c r="AA55" s="14" t="s">
        <v>107</v>
      </c>
      <c r="AB55" s="14" t="s">
        <v>131</v>
      </c>
      <c r="AC55" s="14" t="s">
        <v>113</v>
      </c>
      <c r="AD55" s="14" t="s">
        <v>114</v>
      </c>
    </row>
    <row r="56" customFormat="false" ht="78" hidden="false" customHeight="true" outlineLevel="0" collapsed="false">
      <c r="A56" s="14" t="s">
        <v>815</v>
      </c>
      <c r="B56" s="14" t="s">
        <v>43</v>
      </c>
      <c r="C56" s="14" t="s">
        <v>816</v>
      </c>
      <c r="D56" s="14" t="s">
        <v>32</v>
      </c>
      <c r="E56" s="14" t="s">
        <v>738</v>
      </c>
      <c r="F56" s="15" t="s">
        <v>739</v>
      </c>
      <c r="G56" s="14" t="s">
        <v>740</v>
      </c>
      <c r="H56" s="14" t="s">
        <v>817</v>
      </c>
      <c r="I56" s="14" t="s">
        <v>818</v>
      </c>
      <c r="J56" s="14" t="s">
        <v>51</v>
      </c>
      <c r="K56" s="19" t="s">
        <v>194</v>
      </c>
      <c r="L56" s="14" t="s">
        <v>819</v>
      </c>
      <c r="M56" s="14" t="s">
        <v>820</v>
      </c>
      <c r="N56" s="14" t="s">
        <v>821</v>
      </c>
      <c r="O56" s="14"/>
      <c r="P56" s="14" t="s">
        <v>822</v>
      </c>
      <c r="Q56" s="14" t="s">
        <v>823</v>
      </c>
      <c r="R56" s="14" t="s">
        <v>161</v>
      </c>
      <c r="S56" s="17" t="s">
        <v>107</v>
      </c>
      <c r="T56" s="20" t="s">
        <v>324</v>
      </c>
      <c r="U56" s="14" t="s">
        <v>824</v>
      </c>
      <c r="V56" s="14" t="s">
        <v>109</v>
      </c>
      <c r="W56" s="18" t="s">
        <v>110</v>
      </c>
      <c r="X56" s="14" t="s">
        <v>825</v>
      </c>
      <c r="Y56" s="14" t="s">
        <v>194</v>
      </c>
      <c r="Z56" s="14" t="s">
        <v>107</v>
      </c>
      <c r="AA56" s="14" t="s">
        <v>107</v>
      </c>
      <c r="AB56" s="14" t="s">
        <v>131</v>
      </c>
      <c r="AC56" s="14" t="s">
        <v>113</v>
      </c>
      <c r="AD56" s="14" t="s">
        <v>114</v>
      </c>
    </row>
    <row r="57" customFormat="false" ht="78" hidden="false" customHeight="true" outlineLevel="0" collapsed="false">
      <c r="A57" s="14" t="s">
        <v>826</v>
      </c>
      <c r="B57" s="14" t="s">
        <v>43</v>
      </c>
      <c r="C57" s="14" t="s">
        <v>827</v>
      </c>
      <c r="D57" s="14" t="s">
        <v>32</v>
      </c>
      <c r="E57" s="14" t="s">
        <v>828</v>
      </c>
      <c r="F57" s="15" t="s">
        <v>829</v>
      </c>
      <c r="G57" s="14" t="s">
        <v>754</v>
      </c>
      <c r="H57" s="14" t="s">
        <v>830</v>
      </c>
      <c r="I57" s="14" t="s">
        <v>831</v>
      </c>
      <c r="J57" s="14" t="s">
        <v>50</v>
      </c>
      <c r="K57" s="19" t="s">
        <v>194</v>
      </c>
      <c r="L57" s="14" t="s">
        <v>832</v>
      </c>
      <c r="M57" s="14" t="s">
        <v>833</v>
      </c>
      <c r="N57" s="14" t="s">
        <v>834</v>
      </c>
      <c r="O57" s="14"/>
      <c r="P57" s="14" t="s">
        <v>835</v>
      </c>
      <c r="Q57" s="14" t="s">
        <v>836</v>
      </c>
      <c r="R57" s="14" t="s">
        <v>161</v>
      </c>
      <c r="S57" s="17" t="s">
        <v>107</v>
      </c>
      <c r="T57" s="17" t="s">
        <v>107</v>
      </c>
      <c r="U57" s="14" t="s">
        <v>837</v>
      </c>
      <c r="V57" s="14" t="s">
        <v>109</v>
      </c>
      <c r="W57" s="18" t="s">
        <v>110</v>
      </c>
      <c r="X57" s="14" t="s">
        <v>838</v>
      </c>
      <c r="Y57" s="14" t="s">
        <v>194</v>
      </c>
      <c r="Z57" s="14" t="s">
        <v>107</v>
      </c>
      <c r="AA57" s="14" t="s">
        <v>107</v>
      </c>
      <c r="AB57" s="14" t="s">
        <v>131</v>
      </c>
      <c r="AC57" s="14" t="s">
        <v>113</v>
      </c>
      <c r="AD57" s="14" t="s">
        <v>114</v>
      </c>
    </row>
    <row r="58" customFormat="false" ht="78" hidden="false" customHeight="true" outlineLevel="0" collapsed="false">
      <c r="A58" s="14" t="s">
        <v>839</v>
      </c>
      <c r="B58" s="14" t="s">
        <v>46</v>
      </c>
      <c r="C58" s="14" t="s">
        <v>840</v>
      </c>
      <c r="D58" s="14" t="s">
        <v>150</v>
      </c>
      <c r="E58" s="14" t="s">
        <v>841</v>
      </c>
      <c r="F58" s="15" t="s">
        <v>842</v>
      </c>
      <c r="G58" s="14" t="s">
        <v>843</v>
      </c>
      <c r="H58" s="14" t="s">
        <v>844</v>
      </c>
      <c r="I58" s="14" t="s">
        <v>845</v>
      </c>
      <c r="J58" s="14" t="s">
        <v>55</v>
      </c>
      <c r="K58" s="19" t="s">
        <v>194</v>
      </c>
      <c r="L58" s="14" t="s">
        <v>846</v>
      </c>
      <c r="M58" s="14" t="s">
        <v>847</v>
      </c>
      <c r="N58" s="14" t="s">
        <v>848</v>
      </c>
      <c r="O58" s="14"/>
      <c r="P58" s="14" t="s">
        <v>849</v>
      </c>
      <c r="Q58" s="14" t="s">
        <v>850</v>
      </c>
      <c r="R58" s="14" t="s">
        <v>851</v>
      </c>
      <c r="S58" s="17" t="s">
        <v>107</v>
      </c>
      <c r="T58" s="17" t="s">
        <v>107</v>
      </c>
      <c r="U58" s="14" t="s">
        <v>852</v>
      </c>
      <c r="V58" s="14" t="s">
        <v>109</v>
      </c>
      <c r="W58" s="21" t="s">
        <v>429</v>
      </c>
      <c r="X58" s="14" t="s">
        <v>853</v>
      </c>
      <c r="Y58" s="14" t="s">
        <v>100</v>
      </c>
      <c r="Z58" s="14" t="s">
        <v>107</v>
      </c>
      <c r="AA58" s="14" t="s">
        <v>107</v>
      </c>
      <c r="AB58" s="14" t="s">
        <v>147</v>
      </c>
      <c r="AC58" s="14" t="s">
        <v>113</v>
      </c>
      <c r="AD58" s="14" t="s">
        <v>114</v>
      </c>
    </row>
    <row r="59" customFormat="false" ht="78" hidden="false" customHeight="true" outlineLevel="0" collapsed="false">
      <c r="A59" s="14" t="s">
        <v>854</v>
      </c>
      <c r="B59" s="14" t="s">
        <v>46</v>
      </c>
      <c r="C59" s="14" t="s">
        <v>855</v>
      </c>
      <c r="D59" s="14" t="s">
        <v>150</v>
      </c>
      <c r="E59" s="14" t="s">
        <v>856</v>
      </c>
      <c r="F59" s="15" t="s">
        <v>857</v>
      </c>
      <c r="G59" s="14" t="s">
        <v>858</v>
      </c>
      <c r="H59" s="14" t="s">
        <v>859</v>
      </c>
      <c r="I59" s="14" t="s">
        <v>860</v>
      </c>
      <c r="J59" s="14" t="s">
        <v>55</v>
      </c>
      <c r="K59" s="19" t="s">
        <v>194</v>
      </c>
      <c r="L59" s="14" t="s">
        <v>861</v>
      </c>
      <c r="M59" s="14" t="s">
        <v>862</v>
      </c>
      <c r="N59" s="14" t="s">
        <v>863</v>
      </c>
      <c r="O59" s="14"/>
      <c r="P59" s="14" t="s">
        <v>864</v>
      </c>
      <c r="Q59" s="14" t="s">
        <v>865</v>
      </c>
      <c r="R59" s="14" t="s">
        <v>851</v>
      </c>
      <c r="S59" s="17" t="s">
        <v>107</v>
      </c>
      <c r="T59" s="17" t="s">
        <v>107</v>
      </c>
      <c r="U59" s="14" t="s">
        <v>866</v>
      </c>
      <c r="V59" s="14" t="s">
        <v>109</v>
      </c>
      <c r="W59" s="18" t="s">
        <v>110</v>
      </c>
      <c r="X59" s="14" t="s">
        <v>867</v>
      </c>
      <c r="Y59" s="14" t="s">
        <v>194</v>
      </c>
      <c r="Z59" s="14" t="s">
        <v>107</v>
      </c>
      <c r="AA59" s="14" t="s">
        <v>107</v>
      </c>
      <c r="AB59" s="14" t="s">
        <v>147</v>
      </c>
      <c r="AC59" s="14" t="s">
        <v>113</v>
      </c>
      <c r="AD59" s="14" t="s">
        <v>114</v>
      </c>
    </row>
    <row r="60" customFormat="false" ht="78" hidden="false" customHeight="true" outlineLevel="0" collapsed="false">
      <c r="A60" s="14" t="s">
        <v>868</v>
      </c>
      <c r="B60" s="14" t="s">
        <v>43</v>
      </c>
      <c r="C60" s="14" t="s">
        <v>869</v>
      </c>
      <c r="D60" s="14" t="s">
        <v>150</v>
      </c>
      <c r="E60" s="14" t="s">
        <v>870</v>
      </c>
      <c r="F60" s="15" t="s">
        <v>871</v>
      </c>
      <c r="G60" s="14" t="s">
        <v>153</v>
      </c>
      <c r="H60" s="14" t="s">
        <v>872</v>
      </c>
      <c r="I60" s="14" t="s">
        <v>873</v>
      </c>
      <c r="J60" s="14" t="s">
        <v>50</v>
      </c>
      <c r="K60" s="19" t="s">
        <v>194</v>
      </c>
      <c r="L60" s="14" t="s">
        <v>874</v>
      </c>
      <c r="M60" s="14" t="s">
        <v>875</v>
      </c>
      <c r="N60" s="14" t="s">
        <v>876</v>
      </c>
      <c r="O60" s="14"/>
      <c r="P60" s="14" t="s">
        <v>877</v>
      </c>
      <c r="Q60" s="14" t="s">
        <v>878</v>
      </c>
      <c r="R60" s="14" t="s">
        <v>161</v>
      </c>
      <c r="S60" s="17" t="s">
        <v>107</v>
      </c>
      <c r="T60" s="17" t="s">
        <v>107</v>
      </c>
      <c r="U60" s="14" t="s">
        <v>879</v>
      </c>
      <c r="V60" s="14" t="s">
        <v>109</v>
      </c>
      <c r="W60" s="18" t="s">
        <v>110</v>
      </c>
      <c r="X60" s="14" t="s">
        <v>880</v>
      </c>
      <c r="Y60" s="14" t="s">
        <v>194</v>
      </c>
      <c r="Z60" s="14" t="s">
        <v>107</v>
      </c>
      <c r="AA60" s="14" t="s">
        <v>107</v>
      </c>
      <c r="AB60" s="14" t="s">
        <v>131</v>
      </c>
      <c r="AC60" s="14" t="s">
        <v>113</v>
      </c>
      <c r="AD60" s="14" t="s">
        <v>114</v>
      </c>
    </row>
    <row r="61" customFormat="false" ht="78" hidden="false" customHeight="true" outlineLevel="0" collapsed="false">
      <c r="A61" s="14" t="s">
        <v>881</v>
      </c>
      <c r="B61" s="14" t="s">
        <v>43</v>
      </c>
      <c r="C61" s="14" t="s">
        <v>882</v>
      </c>
      <c r="D61" s="14" t="s">
        <v>150</v>
      </c>
      <c r="E61" s="14" t="s">
        <v>883</v>
      </c>
      <c r="F61" s="15" t="s">
        <v>152</v>
      </c>
      <c r="G61" s="14" t="s">
        <v>153</v>
      </c>
      <c r="H61" s="14" t="s">
        <v>884</v>
      </c>
      <c r="I61" s="14" t="s">
        <v>885</v>
      </c>
      <c r="J61" s="14" t="s">
        <v>50</v>
      </c>
      <c r="K61" s="19" t="s">
        <v>194</v>
      </c>
      <c r="L61" s="14" t="s">
        <v>886</v>
      </c>
      <c r="M61" s="14" t="s">
        <v>887</v>
      </c>
      <c r="N61" s="14" t="s">
        <v>888</v>
      </c>
      <c r="O61" s="14"/>
      <c r="P61" s="14" t="s">
        <v>889</v>
      </c>
      <c r="Q61" s="14" t="s">
        <v>890</v>
      </c>
      <c r="R61" s="14" t="s">
        <v>161</v>
      </c>
      <c r="S61" s="17" t="s">
        <v>107</v>
      </c>
      <c r="T61" s="20" t="s">
        <v>324</v>
      </c>
      <c r="U61" s="14" t="s">
        <v>891</v>
      </c>
      <c r="V61" s="14" t="s">
        <v>109</v>
      </c>
      <c r="W61" s="18" t="s">
        <v>110</v>
      </c>
      <c r="X61" s="14" t="s">
        <v>892</v>
      </c>
      <c r="Y61" s="14" t="s">
        <v>194</v>
      </c>
      <c r="Z61" s="14" t="s">
        <v>107</v>
      </c>
      <c r="AA61" s="14" t="s">
        <v>107</v>
      </c>
      <c r="AB61" s="14" t="s">
        <v>131</v>
      </c>
      <c r="AC61" s="14" t="s">
        <v>113</v>
      </c>
      <c r="AD61" s="14" t="s">
        <v>114</v>
      </c>
    </row>
    <row r="62" customFormat="false" ht="78" hidden="false" customHeight="true" outlineLevel="0" collapsed="false">
      <c r="A62" s="14" t="s">
        <v>893</v>
      </c>
      <c r="B62" s="14" t="s">
        <v>44</v>
      </c>
      <c r="C62" s="14" t="s">
        <v>894</v>
      </c>
      <c r="D62" s="14" t="s">
        <v>30</v>
      </c>
      <c r="E62" s="14" t="s">
        <v>895</v>
      </c>
      <c r="F62" s="15" t="s">
        <v>896</v>
      </c>
      <c r="G62" s="14" t="s">
        <v>897</v>
      </c>
      <c r="H62" s="14" t="s">
        <v>898</v>
      </c>
      <c r="I62" s="14" t="s">
        <v>899</v>
      </c>
      <c r="J62" s="14" t="s">
        <v>51</v>
      </c>
      <c r="K62" s="19" t="s">
        <v>194</v>
      </c>
      <c r="L62" s="14" t="s">
        <v>900</v>
      </c>
      <c r="M62" s="14" t="s">
        <v>901</v>
      </c>
      <c r="N62" s="14" t="s">
        <v>902</v>
      </c>
      <c r="O62" s="14"/>
      <c r="P62" s="14" t="s">
        <v>903</v>
      </c>
      <c r="Q62" s="14" t="s">
        <v>904</v>
      </c>
      <c r="R62" s="14" t="s">
        <v>191</v>
      </c>
      <c r="S62" s="17" t="s">
        <v>107</v>
      </c>
      <c r="T62" s="20" t="s">
        <v>324</v>
      </c>
      <c r="U62" s="14" t="s">
        <v>905</v>
      </c>
      <c r="V62" s="14" t="s">
        <v>109</v>
      </c>
      <c r="W62" s="18" t="s">
        <v>110</v>
      </c>
      <c r="X62" s="14" t="s">
        <v>906</v>
      </c>
      <c r="Y62" s="14" t="s">
        <v>194</v>
      </c>
      <c r="Z62" s="14" t="s">
        <v>107</v>
      </c>
      <c r="AA62" s="14" t="s">
        <v>107</v>
      </c>
      <c r="AB62" s="14" t="s">
        <v>112</v>
      </c>
      <c r="AC62" s="14" t="s">
        <v>113</v>
      </c>
      <c r="AD62" s="14" t="s">
        <v>114</v>
      </c>
    </row>
    <row r="63" customFormat="false" ht="78" hidden="false" customHeight="true" outlineLevel="0" collapsed="false">
      <c r="A63" s="14" t="s">
        <v>907</v>
      </c>
      <c r="B63" s="14" t="s">
        <v>45</v>
      </c>
      <c r="C63" s="14" t="s">
        <v>908</v>
      </c>
      <c r="D63" s="14" t="s">
        <v>30</v>
      </c>
      <c r="E63" s="14" t="s">
        <v>909</v>
      </c>
      <c r="F63" s="15" t="s">
        <v>910</v>
      </c>
      <c r="G63" s="14" t="s">
        <v>168</v>
      </c>
      <c r="H63" s="14" t="s">
        <v>911</v>
      </c>
      <c r="I63" s="14" t="s">
        <v>912</v>
      </c>
      <c r="J63" s="14" t="s">
        <v>56</v>
      </c>
      <c r="K63" s="19" t="s">
        <v>194</v>
      </c>
      <c r="L63" s="14" t="s">
        <v>913</v>
      </c>
      <c r="M63" s="14" t="s">
        <v>914</v>
      </c>
      <c r="N63" s="14" t="s">
        <v>915</v>
      </c>
      <c r="O63" s="14"/>
      <c r="P63" s="14" t="s">
        <v>916</v>
      </c>
      <c r="Q63" s="14" t="s">
        <v>917</v>
      </c>
      <c r="R63" s="14" t="s">
        <v>918</v>
      </c>
      <c r="S63" s="17" t="s">
        <v>107</v>
      </c>
      <c r="T63" s="17" t="s">
        <v>107</v>
      </c>
      <c r="U63" s="14" t="s">
        <v>919</v>
      </c>
      <c r="V63" s="14" t="s">
        <v>109</v>
      </c>
      <c r="W63" s="21" t="s">
        <v>429</v>
      </c>
      <c r="X63" s="14" t="s">
        <v>920</v>
      </c>
      <c r="Y63" s="14" t="s">
        <v>100</v>
      </c>
      <c r="Z63" s="14" t="s">
        <v>107</v>
      </c>
      <c r="AA63" s="14" t="s">
        <v>107</v>
      </c>
      <c r="AB63" s="14" t="s">
        <v>921</v>
      </c>
      <c r="AC63" s="14" t="s">
        <v>113</v>
      </c>
      <c r="AD63" s="14" t="s">
        <v>114</v>
      </c>
    </row>
    <row r="64" customFormat="false" ht="78" hidden="false" customHeight="true" outlineLevel="0" collapsed="false">
      <c r="A64" s="14" t="s">
        <v>922</v>
      </c>
      <c r="B64" s="14" t="s">
        <v>45</v>
      </c>
      <c r="C64" s="14" t="s">
        <v>923</v>
      </c>
      <c r="D64" s="14" t="s">
        <v>30</v>
      </c>
      <c r="E64" s="14" t="s">
        <v>924</v>
      </c>
      <c r="F64" s="15" t="s">
        <v>284</v>
      </c>
      <c r="G64" s="14" t="s">
        <v>168</v>
      </c>
      <c r="H64" s="14" t="s">
        <v>925</v>
      </c>
      <c r="I64" s="14" t="s">
        <v>926</v>
      </c>
      <c r="J64" s="14" t="s">
        <v>55</v>
      </c>
      <c r="K64" s="19" t="s">
        <v>194</v>
      </c>
      <c r="L64" s="14" t="s">
        <v>927</v>
      </c>
      <c r="M64" s="14" t="s">
        <v>928</v>
      </c>
      <c r="N64" s="14" t="s">
        <v>929</v>
      </c>
      <c r="O64" s="14"/>
      <c r="P64" s="14" t="s">
        <v>930</v>
      </c>
      <c r="Q64" s="14" t="s">
        <v>931</v>
      </c>
      <c r="R64" s="14" t="s">
        <v>220</v>
      </c>
      <c r="S64" s="17" t="s">
        <v>107</v>
      </c>
      <c r="T64" s="17" t="s">
        <v>107</v>
      </c>
      <c r="U64" s="14" t="s">
        <v>932</v>
      </c>
      <c r="V64" s="14" t="s">
        <v>109</v>
      </c>
      <c r="W64" s="21" t="s">
        <v>429</v>
      </c>
      <c r="X64" s="14" t="s">
        <v>933</v>
      </c>
      <c r="Y64" s="14" t="s">
        <v>100</v>
      </c>
      <c r="Z64" s="14" t="s">
        <v>107</v>
      </c>
      <c r="AA64" s="14" t="s">
        <v>107</v>
      </c>
      <c r="AB64" s="14" t="s">
        <v>921</v>
      </c>
      <c r="AC64" s="14" t="s">
        <v>113</v>
      </c>
      <c r="AD64" s="14" t="s">
        <v>114</v>
      </c>
    </row>
    <row r="65" customFormat="false" ht="78" hidden="false" customHeight="true" outlineLevel="0" collapsed="false">
      <c r="A65" s="14" t="s">
        <v>934</v>
      </c>
      <c r="B65" s="14" t="s">
        <v>45</v>
      </c>
      <c r="C65" s="14" t="s">
        <v>935</v>
      </c>
      <c r="D65" s="14" t="s">
        <v>30</v>
      </c>
      <c r="E65" s="14" t="s">
        <v>936</v>
      </c>
      <c r="F65" s="14"/>
      <c r="G65" s="14" t="s">
        <v>168</v>
      </c>
      <c r="H65" s="14" t="s">
        <v>937</v>
      </c>
      <c r="I65" s="14" t="s">
        <v>938</v>
      </c>
      <c r="J65" s="14" t="s">
        <v>400</v>
      </c>
      <c r="K65" s="19" t="s">
        <v>194</v>
      </c>
      <c r="L65" s="14" t="s">
        <v>939</v>
      </c>
      <c r="M65" s="14" t="s">
        <v>940</v>
      </c>
      <c r="N65" s="14" t="s">
        <v>941</v>
      </c>
      <c r="O65" s="14"/>
      <c r="P65" s="14" t="s">
        <v>942</v>
      </c>
      <c r="Q65" s="14" t="s">
        <v>943</v>
      </c>
      <c r="R65" s="14" t="s">
        <v>918</v>
      </c>
      <c r="S65" s="17" t="s">
        <v>107</v>
      </c>
      <c r="T65" s="20" t="s">
        <v>324</v>
      </c>
      <c r="U65" s="14" t="s">
        <v>944</v>
      </c>
      <c r="V65" s="14" t="s">
        <v>109</v>
      </c>
      <c r="W65" s="18" t="s">
        <v>110</v>
      </c>
      <c r="X65" s="14" t="s">
        <v>945</v>
      </c>
      <c r="Y65" s="14" t="s">
        <v>194</v>
      </c>
      <c r="Z65" s="14" t="s">
        <v>946</v>
      </c>
      <c r="AA65" s="14" t="s">
        <v>107</v>
      </c>
      <c r="AB65" s="14" t="s">
        <v>921</v>
      </c>
      <c r="AC65" s="14" t="s">
        <v>113</v>
      </c>
      <c r="AD65" s="14" t="s">
        <v>114</v>
      </c>
    </row>
    <row r="66" customFormat="false" ht="78" hidden="false" customHeight="true" outlineLevel="0" collapsed="false">
      <c r="A66" s="14" t="s">
        <v>947</v>
      </c>
      <c r="B66" s="14" t="s">
        <v>46</v>
      </c>
      <c r="C66" s="14" t="s">
        <v>948</v>
      </c>
      <c r="D66" s="14" t="s">
        <v>30</v>
      </c>
      <c r="E66" s="14" t="s">
        <v>949</v>
      </c>
      <c r="F66" s="14"/>
      <c r="G66" s="14" t="s">
        <v>168</v>
      </c>
      <c r="H66" s="14" t="s">
        <v>950</v>
      </c>
      <c r="I66" s="14" t="s">
        <v>951</v>
      </c>
      <c r="J66" s="14" t="s">
        <v>54</v>
      </c>
      <c r="K66" s="19" t="s">
        <v>194</v>
      </c>
      <c r="L66" s="14" t="s">
        <v>952</v>
      </c>
      <c r="M66" s="14" t="s">
        <v>953</v>
      </c>
      <c r="N66" s="14" t="s">
        <v>954</v>
      </c>
      <c r="O66" s="14"/>
      <c r="P66" s="14" t="s">
        <v>955</v>
      </c>
      <c r="Q66" s="14" t="s">
        <v>956</v>
      </c>
      <c r="R66" s="14" t="s">
        <v>957</v>
      </c>
      <c r="S66" s="17" t="s">
        <v>107</v>
      </c>
      <c r="T66" s="17" t="s">
        <v>107</v>
      </c>
      <c r="U66" s="14" t="s">
        <v>958</v>
      </c>
      <c r="V66" s="14" t="s">
        <v>109</v>
      </c>
      <c r="W66" s="18" t="s">
        <v>110</v>
      </c>
      <c r="X66" s="14" t="s">
        <v>959</v>
      </c>
      <c r="Y66" s="14" t="s">
        <v>100</v>
      </c>
      <c r="Z66" s="14" t="s">
        <v>107</v>
      </c>
      <c r="AA66" s="14" t="s">
        <v>107</v>
      </c>
      <c r="AB66" s="14" t="s">
        <v>559</v>
      </c>
      <c r="AC66" s="14" t="s">
        <v>560</v>
      </c>
      <c r="AD66" s="14" t="s">
        <v>561</v>
      </c>
    </row>
    <row r="67" customFormat="false" ht="78" hidden="false" customHeight="true" outlineLevel="0" collapsed="false">
      <c r="A67" s="14" t="s">
        <v>960</v>
      </c>
      <c r="B67" s="14" t="s">
        <v>43</v>
      </c>
      <c r="C67" s="14" t="s">
        <v>961</v>
      </c>
      <c r="D67" s="14" t="s">
        <v>30</v>
      </c>
      <c r="E67" s="14" t="s">
        <v>895</v>
      </c>
      <c r="F67" s="15" t="s">
        <v>896</v>
      </c>
      <c r="G67" s="14" t="s">
        <v>897</v>
      </c>
      <c r="H67" s="14" t="s">
        <v>962</v>
      </c>
      <c r="I67" s="14" t="s">
        <v>963</v>
      </c>
      <c r="J67" s="14" t="s">
        <v>51</v>
      </c>
      <c r="K67" s="19" t="s">
        <v>194</v>
      </c>
      <c r="L67" s="14" t="s">
        <v>964</v>
      </c>
      <c r="M67" s="14" t="s">
        <v>965</v>
      </c>
      <c r="N67" s="14" t="s">
        <v>966</v>
      </c>
      <c r="O67" s="14"/>
      <c r="P67" s="14" t="s">
        <v>967</v>
      </c>
      <c r="Q67" s="14" t="s">
        <v>968</v>
      </c>
      <c r="R67" s="14" t="s">
        <v>191</v>
      </c>
      <c r="S67" s="17" t="s">
        <v>107</v>
      </c>
      <c r="T67" s="17" t="s">
        <v>107</v>
      </c>
      <c r="U67" s="14" t="s">
        <v>969</v>
      </c>
      <c r="V67" s="14" t="s">
        <v>109</v>
      </c>
      <c r="W67" s="18" t="s">
        <v>110</v>
      </c>
      <c r="X67" s="14" t="s">
        <v>970</v>
      </c>
      <c r="Y67" s="14" t="s">
        <v>100</v>
      </c>
      <c r="Z67" s="14" t="s">
        <v>107</v>
      </c>
      <c r="AA67" s="14" t="s">
        <v>107</v>
      </c>
      <c r="AB67" s="14" t="s">
        <v>131</v>
      </c>
      <c r="AC67" s="14" t="s">
        <v>113</v>
      </c>
      <c r="AD67" s="14" t="s">
        <v>114</v>
      </c>
    </row>
    <row r="68" customFormat="false" ht="78" hidden="false" customHeight="true" outlineLevel="0" collapsed="false">
      <c r="A68" s="14" t="s">
        <v>971</v>
      </c>
      <c r="B68" s="14" t="s">
        <v>43</v>
      </c>
      <c r="C68" s="14" t="s">
        <v>972</v>
      </c>
      <c r="D68" s="14" t="s">
        <v>30</v>
      </c>
      <c r="E68" s="14" t="s">
        <v>973</v>
      </c>
      <c r="F68" s="14"/>
      <c r="G68" s="14" t="s">
        <v>285</v>
      </c>
      <c r="H68" s="14" t="s">
        <v>974</v>
      </c>
      <c r="I68" s="14" t="s">
        <v>975</v>
      </c>
      <c r="J68" s="14" t="s">
        <v>53</v>
      </c>
      <c r="K68" s="19" t="s">
        <v>194</v>
      </c>
      <c r="L68" s="14" t="s">
        <v>976</v>
      </c>
      <c r="M68" s="14" t="s">
        <v>977</v>
      </c>
      <c r="N68" s="14" t="s">
        <v>978</v>
      </c>
      <c r="O68" s="14"/>
      <c r="P68" s="14" t="s">
        <v>979</v>
      </c>
      <c r="Q68" s="14" t="s">
        <v>980</v>
      </c>
      <c r="R68" s="14" t="s">
        <v>191</v>
      </c>
      <c r="S68" s="17" t="s">
        <v>107</v>
      </c>
      <c r="T68" s="17" t="s">
        <v>107</v>
      </c>
      <c r="U68" s="14" t="s">
        <v>981</v>
      </c>
      <c r="V68" s="14" t="s">
        <v>109</v>
      </c>
      <c r="W68" s="21" t="s">
        <v>429</v>
      </c>
      <c r="X68" s="14" t="s">
        <v>982</v>
      </c>
      <c r="Y68" s="14" t="s">
        <v>100</v>
      </c>
      <c r="Z68" s="14" t="s">
        <v>107</v>
      </c>
      <c r="AA68" s="14" t="s">
        <v>107</v>
      </c>
      <c r="AB68" s="14" t="s">
        <v>131</v>
      </c>
      <c r="AC68" s="14" t="s">
        <v>113</v>
      </c>
      <c r="AD68" s="14" t="s">
        <v>114</v>
      </c>
    </row>
    <row r="69" customFormat="false" ht="78" hidden="false" customHeight="true" outlineLevel="0" collapsed="false">
      <c r="A69" s="14" t="s">
        <v>983</v>
      </c>
      <c r="B69" s="14" t="s">
        <v>43</v>
      </c>
      <c r="C69" s="14" t="s">
        <v>984</v>
      </c>
      <c r="D69" s="14" t="s">
        <v>30</v>
      </c>
      <c r="E69" s="14" t="s">
        <v>985</v>
      </c>
      <c r="F69" s="15" t="s">
        <v>986</v>
      </c>
      <c r="G69" s="14" t="s">
        <v>897</v>
      </c>
      <c r="H69" s="14" t="s">
        <v>987</v>
      </c>
      <c r="I69" s="14" t="s">
        <v>988</v>
      </c>
      <c r="J69" s="14" t="s">
        <v>51</v>
      </c>
      <c r="K69" s="19" t="s">
        <v>194</v>
      </c>
      <c r="L69" s="14" t="s">
        <v>989</v>
      </c>
      <c r="M69" s="14" t="s">
        <v>990</v>
      </c>
      <c r="N69" s="14" t="s">
        <v>991</v>
      </c>
      <c r="O69" s="14"/>
      <c r="P69" s="14" t="s">
        <v>992</v>
      </c>
      <c r="Q69" s="14" t="s">
        <v>993</v>
      </c>
      <c r="R69" s="14" t="s">
        <v>191</v>
      </c>
      <c r="S69" s="17" t="s">
        <v>107</v>
      </c>
      <c r="T69" s="17" t="s">
        <v>107</v>
      </c>
      <c r="U69" s="14" t="s">
        <v>994</v>
      </c>
      <c r="V69" s="14" t="s">
        <v>109</v>
      </c>
      <c r="W69" s="18" t="s">
        <v>110</v>
      </c>
      <c r="X69" s="14" t="s">
        <v>995</v>
      </c>
      <c r="Y69" s="14" t="s">
        <v>194</v>
      </c>
      <c r="Z69" s="14" t="s">
        <v>107</v>
      </c>
      <c r="AA69" s="14" t="s">
        <v>107</v>
      </c>
      <c r="AB69" s="14" t="s">
        <v>131</v>
      </c>
      <c r="AC69" s="14" t="s">
        <v>113</v>
      </c>
      <c r="AD69" s="14" t="s">
        <v>114</v>
      </c>
    </row>
    <row r="70" customFormat="false" ht="78" hidden="false" customHeight="true" outlineLevel="0" collapsed="false">
      <c r="A70" s="14" t="s">
        <v>996</v>
      </c>
      <c r="B70" s="14" t="s">
        <v>43</v>
      </c>
      <c r="C70" s="14" t="s">
        <v>997</v>
      </c>
      <c r="D70" s="14" t="s">
        <v>30</v>
      </c>
      <c r="E70" s="14" t="s">
        <v>998</v>
      </c>
      <c r="F70" s="15" t="s">
        <v>999</v>
      </c>
      <c r="G70" s="14" t="s">
        <v>1000</v>
      </c>
      <c r="H70" s="14" t="s">
        <v>1001</v>
      </c>
      <c r="I70" s="14" t="s">
        <v>1002</v>
      </c>
      <c r="J70" s="14" t="s">
        <v>50</v>
      </c>
      <c r="K70" s="19" t="s">
        <v>194</v>
      </c>
      <c r="L70" s="14" t="s">
        <v>1003</v>
      </c>
      <c r="M70" s="14" t="s">
        <v>1004</v>
      </c>
      <c r="N70" s="14" t="s">
        <v>1005</v>
      </c>
      <c r="O70" s="14"/>
      <c r="P70" s="14" t="s">
        <v>1006</v>
      </c>
      <c r="Q70" s="14" t="s">
        <v>1007</v>
      </c>
      <c r="R70" s="14" t="s">
        <v>191</v>
      </c>
      <c r="S70" s="17" t="s">
        <v>107</v>
      </c>
      <c r="T70" s="17" t="s">
        <v>107</v>
      </c>
      <c r="U70" s="14" t="s">
        <v>1008</v>
      </c>
      <c r="V70" s="14" t="s">
        <v>109</v>
      </c>
      <c r="W70" s="18" t="s">
        <v>110</v>
      </c>
      <c r="X70" s="14" t="s">
        <v>1009</v>
      </c>
      <c r="Y70" s="14" t="s">
        <v>100</v>
      </c>
      <c r="Z70" s="14" t="s">
        <v>107</v>
      </c>
      <c r="AA70" s="14" t="s">
        <v>107</v>
      </c>
      <c r="AB70" s="14" t="s">
        <v>131</v>
      </c>
      <c r="AC70" s="14" t="s">
        <v>113</v>
      </c>
      <c r="AD70" s="14" t="s">
        <v>114</v>
      </c>
    </row>
    <row r="71" customFormat="false" ht="78" hidden="false" customHeight="true" outlineLevel="0" collapsed="false">
      <c r="A71" s="14" t="s">
        <v>1010</v>
      </c>
      <c r="B71" s="14" t="s">
        <v>43</v>
      </c>
      <c r="C71" s="14" t="s">
        <v>1011</v>
      </c>
      <c r="D71" s="14" t="s">
        <v>30</v>
      </c>
      <c r="E71" s="14" t="s">
        <v>1012</v>
      </c>
      <c r="F71" s="15" t="s">
        <v>1013</v>
      </c>
      <c r="G71" s="14" t="s">
        <v>168</v>
      </c>
      <c r="H71" s="14" t="s">
        <v>1014</v>
      </c>
      <c r="I71" s="14" t="s">
        <v>1015</v>
      </c>
      <c r="J71" s="14" t="s">
        <v>50</v>
      </c>
      <c r="K71" s="19" t="s">
        <v>194</v>
      </c>
      <c r="L71" s="14" t="s">
        <v>1016</v>
      </c>
      <c r="M71" s="14" t="s">
        <v>1017</v>
      </c>
      <c r="N71" s="14" t="s">
        <v>1018</v>
      </c>
      <c r="O71" s="14"/>
      <c r="P71" s="14" t="s">
        <v>1019</v>
      </c>
      <c r="Q71" s="14" t="s">
        <v>1020</v>
      </c>
      <c r="R71" s="14" t="s">
        <v>176</v>
      </c>
      <c r="S71" s="17" t="s">
        <v>107</v>
      </c>
      <c r="T71" s="20" t="s">
        <v>324</v>
      </c>
      <c r="U71" s="14" t="s">
        <v>1021</v>
      </c>
      <c r="V71" s="14" t="s">
        <v>109</v>
      </c>
      <c r="W71" s="18" t="s">
        <v>110</v>
      </c>
      <c r="X71" s="14" t="s">
        <v>1022</v>
      </c>
      <c r="Y71" s="14" t="s">
        <v>194</v>
      </c>
      <c r="Z71" s="14" t="s">
        <v>107</v>
      </c>
      <c r="AA71" s="14" t="s">
        <v>107</v>
      </c>
      <c r="AB71" s="14" t="s">
        <v>131</v>
      </c>
      <c r="AC71" s="14" t="s">
        <v>113</v>
      </c>
      <c r="AD71" s="14" t="s">
        <v>114</v>
      </c>
    </row>
    <row r="72" customFormat="false" ht="78" hidden="false" customHeight="true" outlineLevel="0" collapsed="false">
      <c r="A72" s="14" t="s">
        <v>1023</v>
      </c>
      <c r="B72" s="14" t="s">
        <v>43</v>
      </c>
      <c r="C72" s="14" t="s">
        <v>1024</v>
      </c>
      <c r="D72" s="14" t="s">
        <v>30</v>
      </c>
      <c r="E72" s="14" t="s">
        <v>1025</v>
      </c>
      <c r="F72" s="15" t="s">
        <v>1026</v>
      </c>
      <c r="G72" s="14" t="s">
        <v>168</v>
      </c>
      <c r="H72" s="14" t="s">
        <v>1027</v>
      </c>
      <c r="I72" s="14" t="s">
        <v>1028</v>
      </c>
      <c r="J72" s="14" t="s">
        <v>505</v>
      </c>
      <c r="K72" s="19" t="s">
        <v>194</v>
      </c>
      <c r="L72" s="14" t="s">
        <v>1029</v>
      </c>
      <c r="M72" s="14" t="s">
        <v>1030</v>
      </c>
      <c r="N72" s="14" t="s">
        <v>1031</v>
      </c>
      <c r="O72" s="14"/>
      <c r="P72" s="14" t="s">
        <v>1032</v>
      </c>
      <c r="Q72" s="14" t="s">
        <v>1033</v>
      </c>
      <c r="R72" s="14" t="s">
        <v>220</v>
      </c>
      <c r="S72" s="17" t="s">
        <v>107</v>
      </c>
      <c r="T72" s="17" t="s">
        <v>107</v>
      </c>
      <c r="U72" s="14" t="s">
        <v>1034</v>
      </c>
      <c r="V72" s="14" t="s">
        <v>109</v>
      </c>
      <c r="W72" s="18" t="s">
        <v>110</v>
      </c>
      <c r="X72" s="14" t="s">
        <v>1035</v>
      </c>
      <c r="Y72" s="14" t="s">
        <v>100</v>
      </c>
      <c r="Z72" s="14" t="s">
        <v>107</v>
      </c>
      <c r="AA72" s="14" t="s">
        <v>107</v>
      </c>
      <c r="AB72" s="14" t="s">
        <v>131</v>
      </c>
      <c r="AC72" s="14" t="s">
        <v>113</v>
      </c>
      <c r="AD72" s="14" t="s">
        <v>114</v>
      </c>
    </row>
    <row r="73" customFormat="false" ht="78" hidden="false" customHeight="true" outlineLevel="0" collapsed="false">
      <c r="A73" s="14" t="s">
        <v>1036</v>
      </c>
      <c r="B73" s="14" t="s">
        <v>43</v>
      </c>
      <c r="C73" s="14" t="s">
        <v>1037</v>
      </c>
      <c r="D73" s="14" t="s">
        <v>30</v>
      </c>
      <c r="E73" s="14" t="s">
        <v>1038</v>
      </c>
      <c r="F73" s="15" t="s">
        <v>1039</v>
      </c>
      <c r="G73" s="14" t="s">
        <v>168</v>
      </c>
      <c r="H73" s="14" t="s">
        <v>1040</v>
      </c>
      <c r="I73" s="14" t="s">
        <v>1041</v>
      </c>
      <c r="J73" s="14" t="s">
        <v>505</v>
      </c>
      <c r="K73" s="19" t="s">
        <v>194</v>
      </c>
      <c r="L73" s="14" t="s">
        <v>1042</v>
      </c>
      <c r="M73" s="14" t="s">
        <v>1043</v>
      </c>
      <c r="N73" s="14" t="s">
        <v>1044</v>
      </c>
      <c r="O73" s="14"/>
      <c r="P73" s="14" t="s">
        <v>1045</v>
      </c>
      <c r="Q73" s="14" t="s">
        <v>1046</v>
      </c>
      <c r="R73" s="14" t="s">
        <v>220</v>
      </c>
      <c r="S73" s="17" t="s">
        <v>107</v>
      </c>
      <c r="T73" s="17" t="s">
        <v>107</v>
      </c>
      <c r="U73" s="14" t="s">
        <v>1047</v>
      </c>
      <c r="V73" s="14" t="s">
        <v>109</v>
      </c>
      <c r="W73" s="18" t="s">
        <v>110</v>
      </c>
      <c r="X73" s="14" t="s">
        <v>1048</v>
      </c>
      <c r="Y73" s="14" t="s">
        <v>194</v>
      </c>
      <c r="Z73" s="14" t="s">
        <v>107</v>
      </c>
      <c r="AA73" s="14" t="s">
        <v>107</v>
      </c>
      <c r="AB73" s="14" t="s">
        <v>131</v>
      </c>
      <c r="AC73" s="14" t="s">
        <v>113</v>
      </c>
      <c r="AD73" s="14" t="s">
        <v>114</v>
      </c>
    </row>
    <row r="74" customFormat="false" ht="78" hidden="false" customHeight="true" outlineLevel="0" collapsed="false">
      <c r="A74" s="14" t="s">
        <v>1049</v>
      </c>
      <c r="B74" s="14" t="s">
        <v>44</v>
      </c>
      <c r="C74" s="14" t="s">
        <v>1050</v>
      </c>
      <c r="D74" s="14" t="s">
        <v>1051</v>
      </c>
      <c r="E74" s="14" t="s">
        <v>1052</v>
      </c>
      <c r="F74" s="15" t="s">
        <v>1053</v>
      </c>
      <c r="G74" s="14" t="s">
        <v>1054</v>
      </c>
      <c r="H74" s="14" t="s">
        <v>1055</v>
      </c>
      <c r="I74" s="14" t="s">
        <v>1056</v>
      </c>
      <c r="J74" s="14" t="s">
        <v>1057</v>
      </c>
      <c r="K74" s="19" t="s">
        <v>194</v>
      </c>
      <c r="L74" s="14" t="s">
        <v>1058</v>
      </c>
      <c r="M74" s="14" t="s">
        <v>1059</v>
      </c>
      <c r="N74" s="14" t="s">
        <v>1060</v>
      </c>
      <c r="O74" s="14"/>
      <c r="P74" s="14" t="s">
        <v>1061</v>
      </c>
      <c r="Q74" s="14" t="s">
        <v>1062</v>
      </c>
      <c r="R74" s="14" t="s">
        <v>1063</v>
      </c>
      <c r="S74" s="17" t="s">
        <v>107</v>
      </c>
      <c r="T74" s="17" t="s">
        <v>107</v>
      </c>
      <c r="U74" s="14" t="s">
        <v>1064</v>
      </c>
      <c r="V74" s="14" t="s">
        <v>109</v>
      </c>
      <c r="W74" s="18" t="s">
        <v>110</v>
      </c>
      <c r="X74" s="14" t="s">
        <v>1065</v>
      </c>
      <c r="Y74" s="14" t="s">
        <v>194</v>
      </c>
      <c r="Z74" s="14" t="s">
        <v>107</v>
      </c>
      <c r="AA74" s="14" t="s">
        <v>107</v>
      </c>
      <c r="AB74" s="14" t="s">
        <v>112</v>
      </c>
      <c r="AC74" s="14" t="s">
        <v>113</v>
      </c>
      <c r="AD74" s="14" t="s">
        <v>114</v>
      </c>
    </row>
    <row r="75" customFormat="false" ht="78" hidden="false" customHeight="true" outlineLevel="0" collapsed="false">
      <c r="A75" s="14" t="s">
        <v>1066</v>
      </c>
      <c r="B75" s="14" t="s">
        <v>43</v>
      </c>
      <c r="C75" s="14" t="s">
        <v>1067</v>
      </c>
      <c r="D75" s="14" t="s">
        <v>1051</v>
      </c>
      <c r="E75" s="14" t="s">
        <v>1068</v>
      </c>
      <c r="F75" s="15" t="s">
        <v>1069</v>
      </c>
      <c r="G75" s="14" t="s">
        <v>1070</v>
      </c>
      <c r="H75" s="14" t="s">
        <v>1071</v>
      </c>
      <c r="I75" s="14" t="s">
        <v>1072</v>
      </c>
      <c r="J75" s="14" t="s">
        <v>50</v>
      </c>
      <c r="K75" s="19" t="s">
        <v>194</v>
      </c>
      <c r="L75" s="14" t="s">
        <v>1073</v>
      </c>
      <c r="M75" s="14" t="s">
        <v>1074</v>
      </c>
      <c r="N75" s="14" t="s">
        <v>1075</v>
      </c>
      <c r="O75" s="14"/>
      <c r="P75" s="14" t="s">
        <v>1076</v>
      </c>
      <c r="Q75" s="14" t="s">
        <v>1077</v>
      </c>
      <c r="R75" s="14" t="s">
        <v>1078</v>
      </c>
      <c r="S75" s="17" t="s">
        <v>107</v>
      </c>
      <c r="T75" s="17" t="s">
        <v>107</v>
      </c>
      <c r="U75" s="14" t="s">
        <v>1079</v>
      </c>
      <c r="V75" s="14" t="s">
        <v>109</v>
      </c>
      <c r="W75" s="18" t="s">
        <v>110</v>
      </c>
      <c r="X75" s="14" t="s">
        <v>1080</v>
      </c>
      <c r="Y75" s="14" t="s">
        <v>194</v>
      </c>
      <c r="Z75" s="14" t="s">
        <v>107</v>
      </c>
      <c r="AA75" s="14" t="s">
        <v>107</v>
      </c>
      <c r="AB75" s="14" t="s">
        <v>131</v>
      </c>
      <c r="AC75" s="14" t="s">
        <v>113</v>
      </c>
      <c r="AD75" s="14" t="s">
        <v>114</v>
      </c>
    </row>
    <row r="76" customFormat="false" ht="78" hidden="false" customHeight="true" outlineLevel="0" collapsed="false">
      <c r="A76" s="14" t="s">
        <v>1081</v>
      </c>
      <c r="B76" s="14" t="s">
        <v>46</v>
      </c>
      <c r="C76" s="14" t="s">
        <v>1082</v>
      </c>
      <c r="D76" s="14" t="s">
        <v>1083</v>
      </c>
      <c r="E76" s="14" t="s">
        <v>1084</v>
      </c>
      <c r="F76" s="15" t="s">
        <v>1085</v>
      </c>
      <c r="G76" s="14" t="s">
        <v>285</v>
      </c>
      <c r="H76" s="14" t="s">
        <v>1086</v>
      </c>
      <c r="I76" s="14" t="s">
        <v>1087</v>
      </c>
      <c r="J76" s="14" t="s">
        <v>57</v>
      </c>
      <c r="K76" s="19" t="s">
        <v>194</v>
      </c>
      <c r="L76" s="14" t="s">
        <v>1088</v>
      </c>
      <c r="M76" s="14" t="s">
        <v>1089</v>
      </c>
      <c r="N76" s="14" t="s">
        <v>1090</v>
      </c>
      <c r="O76" s="14"/>
      <c r="P76" s="14" t="s">
        <v>1091</v>
      </c>
      <c r="Q76" s="14" t="s">
        <v>1092</v>
      </c>
      <c r="R76" s="14" t="s">
        <v>1093</v>
      </c>
      <c r="S76" s="17" t="s">
        <v>107</v>
      </c>
      <c r="T76" s="17" t="s">
        <v>107</v>
      </c>
      <c r="U76" s="14" t="s">
        <v>1094</v>
      </c>
      <c r="V76" s="14" t="s">
        <v>109</v>
      </c>
      <c r="W76" s="21" t="s">
        <v>429</v>
      </c>
      <c r="X76" s="14" t="s">
        <v>1095</v>
      </c>
      <c r="Y76" s="14" t="s">
        <v>100</v>
      </c>
      <c r="Z76" s="14" t="s">
        <v>107</v>
      </c>
      <c r="AA76" s="14" t="s">
        <v>107</v>
      </c>
      <c r="AB76" s="14" t="s">
        <v>147</v>
      </c>
      <c r="AC76" s="14" t="s">
        <v>113</v>
      </c>
      <c r="AD76" s="14" t="s">
        <v>114</v>
      </c>
    </row>
    <row r="77" customFormat="false" ht="78" hidden="false" customHeight="true" outlineLevel="0" collapsed="false">
      <c r="A77" s="14" t="s">
        <v>1096</v>
      </c>
      <c r="B77" s="14" t="s">
        <v>44</v>
      </c>
      <c r="C77" s="14" t="s">
        <v>1097</v>
      </c>
      <c r="D77" s="14" t="s">
        <v>1083</v>
      </c>
      <c r="E77" s="14" t="s">
        <v>1084</v>
      </c>
      <c r="F77" s="15" t="s">
        <v>1085</v>
      </c>
      <c r="G77" s="14" t="s">
        <v>285</v>
      </c>
      <c r="H77" s="14" t="s">
        <v>1098</v>
      </c>
      <c r="I77" s="14" t="s">
        <v>1099</v>
      </c>
      <c r="J77" s="14" t="s">
        <v>54</v>
      </c>
      <c r="K77" s="19" t="s">
        <v>194</v>
      </c>
      <c r="L77" s="14" t="s">
        <v>1100</v>
      </c>
      <c r="M77" s="14" t="s">
        <v>1101</v>
      </c>
      <c r="N77" s="14" t="s">
        <v>1102</v>
      </c>
      <c r="O77" s="14"/>
      <c r="P77" s="14" t="s">
        <v>1103</v>
      </c>
      <c r="Q77" s="14" t="s">
        <v>1104</v>
      </c>
      <c r="R77" s="14" t="s">
        <v>1105</v>
      </c>
      <c r="S77" s="17" t="s">
        <v>107</v>
      </c>
      <c r="T77" s="17" t="s">
        <v>107</v>
      </c>
      <c r="U77" s="14" t="s">
        <v>1106</v>
      </c>
      <c r="V77" s="14" t="s">
        <v>109</v>
      </c>
      <c r="W77" s="18" t="s">
        <v>110</v>
      </c>
      <c r="X77" s="14" t="s">
        <v>1107</v>
      </c>
      <c r="Y77" s="14" t="s">
        <v>100</v>
      </c>
      <c r="Z77" s="14" t="s">
        <v>107</v>
      </c>
      <c r="AA77" s="14" t="s">
        <v>107</v>
      </c>
      <c r="AB77" s="14" t="s">
        <v>112</v>
      </c>
      <c r="AC77" s="14" t="s">
        <v>560</v>
      </c>
      <c r="AD77" s="14" t="s">
        <v>561</v>
      </c>
    </row>
    <row r="78" customFormat="false" ht="78" hidden="false" customHeight="true" outlineLevel="0" collapsed="false">
      <c r="A78" s="14" t="s">
        <v>1108</v>
      </c>
      <c r="B78" s="14" t="s">
        <v>44</v>
      </c>
      <c r="C78" s="14" t="s">
        <v>1109</v>
      </c>
      <c r="D78" s="14" t="s">
        <v>1083</v>
      </c>
      <c r="E78" s="14" t="s">
        <v>1110</v>
      </c>
      <c r="F78" s="15" t="s">
        <v>1111</v>
      </c>
      <c r="G78" s="14" t="s">
        <v>1112</v>
      </c>
      <c r="H78" s="14" t="s">
        <v>1113</v>
      </c>
      <c r="I78" s="14" t="s">
        <v>1114</v>
      </c>
      <c r="J78" s="14" t="s">
        <v>55</v>
      </c>
      <c r="K78" s="19" t="s">
        <v>194</v>
      </c>
      <c r="L78" s="14" t="s">
        <v>1115</v>
      </c>
      <c r="M78" s="14" t="s">
        <v>1116</v>
      </c>
      <c r="N78" s="14" t="s">
        <v>1117</v>
      </c>
      <c r="O78" s="14"/>
      <c r="P78" s="14" t="s">
        <v>1118</v>
      </c>
      <c r="Q78" s="14" t="s">
        <v>1119</v>
      </c>
      <c r="R78" s="14" t="s">
        <v>1105</v>
      </c>
      <c r="S78" s="17" t="s">
        <v>107</v>
      </c>
      <c r="T78" s="17" t="s">
        <v>107</v>
      </c>
      <c r="U78" s="14" t="s">
        <v>1120</v>
      </c>
      <c r="V78" s="14" t="s">
        <v>109</v>
      </c>
      <c r="W78" s="18" t="s">
        <v>110</v>
      </c>
      <c r="X78" s="14" t="s">
        <v>1121</v>
      </c>
      <c r="Y78" s="14" t="s">
        <v>194</v>
      </c>
      <c r="Z78" s="14" t="s">
        <v>107</v>
      </c>
      <c r="AA78" s="14" t="s">
        <v>107</v>
      </c>
      <c r="AB78" s="14" t="s">
        <v>112</v>
      </c>
      <c r="AC78" s="14" t="s">
        <v>113</v>
      </c>
      <c r="AD78" s="14" t="s">
        <v>114</v>
      </c>
    </row>
    <row r="79" customFormat="false" ht="78" hidden="false" customHeight="true" outlineLevel="0" collapsed="false">
      <c r="A79" s="14" t="s">
        <v>1122</v>
      </c>
      <c r="B79" s="14" t="s">
        <v>43</v>
      </c>
      <c r="C79" s="14" t="s">
        <v>1123</v>
      </c>
      <c r="D79" s="14" t="s">
        <v>1083</v>
      </c>
      <c r="E79" s="14" t="s">
        <v>1084</v>
      </c>
      <c r="F79" s="15" t="s">
        <v>1085</v>
      </c>
      <c r="G79" s="14" t="s">
        <v>285</v>
      </c>
      <c r="H79" s="14" t="s">
        <v>1124</v>
      </c>
      <c r="I79" s="14" t="s">
        <v>1125</v>
      </c>
      <c r="J79" s="14" t="s">
        <v>50</v>
      </c>
      <c r="K79" s="19" t="s">
        <v>194</v>
      </c>
      <c r="L79" s="14" t="s">
        <v>1126</v>
      </c>
      <c r="M79" s="14" t="s">
        <v>1127</v>
      </c>
      <c r="N79" s="14" t="s">
        <v>1128</v>
      </c>
      <c r="O79" s="14"/>
      <c r="P79" s="14" t="s">
        <v>1129</v>
      </c>
      <c r="Q79" s="14" t="s">
        <v>1130</v>
      </c>
      <c r="R79" s="14" t="s">
        <v>1105</v>
      </c>
      <c r="S79" s="17" t="s">
        <v>107</v>
      </c>
      <c r="T79" s="17" t="s">
        <v>107</v>
      </c>
      <c r="U79" s="14" t="s">
        <v>1131</v>
      </c>
      <c r="V79" s="14" t="s">
        <v>109</v>
      </c>
      <c r="W79" s="18" t="s">
        <v>110</v>
      </c>
      <c r="X79" s="14" t="s">
        <v>1132</v>
      </c>
      <c r="Y79" s="14" t="s">
        <v>100</v>
      </c>
      <c r="Z79" s="14" t="s">
        <v>107</v>
      </c>
      <c r="AA79" s="14" t="s">
        <v>107</v>
      </c>
      <c r="AB79" s="14" t="s">
        <v>131</v>
      </c>
      <c r="AC79" s="14" t="s">
        <v>113</v>
      </c>
      <c r="AD79" s="14" t="s">
        <v>114</v>
      </c>
    </row>
    <row r="80" customFormat="false" ht="78" hidden="false" customHeight="true" outlineLevel="0" collapsed="false">
      <c r="A80" s="14" t="s">
        <v>1133</v>
      </c>
      <c r="B80" s="14" t="s">
        <v>43</v>
      </c>
      <c r="C80" s="14" t="s">
        <v>1134</v>
      </c>
      <c r="D80" s="14" t="s">
        <v>1083</v>
      </c>
      <c r="E80" s="14" t="s">
        <v>1135</v>
      </c>
      <c r="F80" s="15" t="s">
        <v>1136</v>
      </c>
      <c r="G80" s="14" t="s">
        <v>1137</v>
      </c>
      <c r="H80" s="14" t="s">
        <v>1138</v>
      </c>
      <c r="I80" s="14" t="s">
        <v>1139</v>
      </c>
      <c r="J80" s="14" t="s">
        <v>51</v>
      </c>
      <c r="K80" s="19" t="s">
        <v>194</v>
      </c>
      <c r="L80" s="14" t="s">
        <v>1140</v>
      </c>
      <c r="M80" s="14" t="s">
        <v>1141</v>
      </c>
      <c r="N80" s="14" t="s">
        <v>1142</v>
      </c>
      <c r="O80" s="14"/>
      <c r="P80" s="14" t="s">
        <v>1143</v>
      </c>
      <c r="Q80" s="14" t="s">
        <v>1144</v>
      </c>
      <c r="R80" s="14" t="s">
        <v>1105</v>
      </c>
      <c r="S80" s="17" t="s">
        <v>107</v>
      </c>
      <c r="T80" s="20" t="s">
        <v>324</v>
      </c>
      <c r="U80" s="14" t="s">
        <v>1145</v>
      </c>
      <c r="V80" s="14" t="s">
        <v>109</v>
      </c>
      <c r="W80" s="18" t="s">
        <v>110</v>
      </c>
      <c r="X80" s="14" t="s">
        <v>1146</v>
      </c>
      <c r="Y80" s="14" t="s">
        <v>194</v>
      </c>
      <c r="Z80" s="14" t="s">
        <v>107</v>
      </c>
      <c r="AA80" s="14" t="s">
        <v>107</v>
      </c>
      <c r="AB80" s="14" t="s">
        <v>131</v>
      </c>
      <c r="AC80" s="14" t="s">
        <v>113</v>
      </c>
      <c r="AD80" s="14" t="s">
        <v>114</v>
      </c>
    </row>
    <row r="81" customFormat="false" ht="78" hidden="false" customHeight="true" outlineLevel="0" collapsed="false">
      <c r="A81" s="14" t="s">
        <v>1147</v>
      </c>
      <c r="B81" s="14" t="s">
        <v>46</v>
      </c>
      <c r="C81" s="14" t="s">
        <v>1148</v>
      </c>
      <c r="D81" s="14" t="s">
        <v>1149</v>
      </c>
      <c r="E81" s="14" t="s">
        <v>1150</v>
      </c>
      <c r="F81" s="15" t="s">
        <v>1151</v>
      </c>
      <c r="G81" s="14" t="s">
        <v>1152</v>
      </c>
      <c r="H81" s="14" t="s">
        <v>169</v>
      </c>
      <c r="I81" s="14" t="s">
        <v>1153</v>
      </c>
      <c r="J81" s="14" t="s">
        <v>50</v>
      </c>
      <c r="K81" s="19" t="s">
        <v>194</v>
      </c>
      <c r="L81" s="14" t="s">
        <v>1154</v>
      </c>
      <c r="M81" s="14" t="s">
        <v>1155</v>
      </c>
      <c r="N81" s="14" t="s">
        <v>1156</v>
      </c>
      <c r="O81" s="14"/>
      <c r="P81" s="14" t="s">
        <v>1157</v>
      </c>
      <c r="Q81" s="14" t="s">
        <v>1158</v>
      </c>
      <c r="R81" s="14" t="s">
        <v>1159</v>
      </c>
      <c r="S81" s="17" t="s">
        <v>107</v>
      </c>
      <c r="T81" s="17" t="s">
        <v>107</v>
      </c>
      <c r="U81" s="14" t="s">
        <v>1160</v>
      </c>
      <c r="V81" s="14" t="s">
        <v>109</v>
      </c>
      <c r="W81" s="18" t="s">
        <v>110</v>
      </c>
      <c r="X81" s="14" t="s">
        <v>1161</v>
      </c>
      <c r="Y81" s="14" t="s">
        <v>100</v>
      </c>
      <c r="Z81" s="14" t="s">
        <v>107</v>
      </c>
      <c r="AA81" s="14" t="s">
        <v>107</v>
      </c>
      <c r="AB81" s="14" t="s">
        <v>147</v>
      </c>
      <c r="AC81" s="14" t="s">
        <v>113</v>
      </c>
      <c r="AD81" s="14" t="s">
        <v>114</v>
      </c>
    </row>
    <row r="82" customFormat="false" ht="78" hidden="false" customHeight="true" outlineLevel="0" collapsed="false">
      <c r="A82" s="14" t="s">
        <v>1162</v>
      </c>
      <c r="B82" s="14" t="s">
        <v>45</v>
      </c>
      <c r="C82" s="14" t="s">
        <v>1163</v>
      </c>
      <c r="D82" s="14" t="s">
        <v>1149</v>
      </c>
      <c r="E82" s="14" t="s">
        <v>1164</v>
      </c>
      <c r="F82" s="15" t="s">
        <v>1151</v>
      </c>
      <c r="G82" s="14" t="s">
        <v>1152</v>
      </c>
      <c r="H82" s="14" t="s">
        <v>1165</v>
      </c>
      <c r="I82" s="14" t="s">
        <v>1166</v>
      </c>
      <c r="J82" s="14" t="s">
        <v>505</v>
      </c>
      <c r="K82" s="19" t="s">
        <v>194</v>
      </c>
      <c r="L82" s="14" t="s">
        <v>1167</v>
      </c>
      <c r="M82" s="14" t="s">
        <v>1168</v>
      </c>
      <c r="N82" s="14" t="s">
        <v>1169</v>
      </c>
      <c r="O82" s="14"/>
      <c r="P82" s="14" t="s">
        <v>1170</v>
      </c>
      <c r="Q82" s="14" t="s">
        <v>1171</v>
      </c>
      <c r="R82" s="14" t="s">
        <v>1159</v>
      </c>
      <c r="S82" s="17" t="s">
        <v>107</v>
      </c>
      <c r="T82" s="17" t="s">
        <v>107</v>
      </c>
      <c r="U82" s="14" t="s">
        <v>1172</v>
      </c>
      <c r="V82" s="14" t="s">
        <v>109</v>
      </c>
      <c r="W82" s="21" t="s">
        <v>429</v>
      </c>
      <c r="X82" s="14" t="s">
        <v>1173</v>
      </c>
      <c r="Y82" s="14" t="s">
        <v>100</v>
      </c>
      <c r="Z82" s="14" t="s">
        <v>107</v>
      </c>
      <c r="AA82" s="14" t="s">
        <v>107</v>
      </c>
      <c r="AB82" s="14" t="s">
        <v>921</v>
      </c>
      <c r="AC82" s="14" t="s">
        <v>113</v>
      </c>
      <c r="AD82" s="14" t="s">
        <v>114</v>
      </c>
    </row>
    <row r="83" customFormat="false" ht="78" hidden="false" customHeight="true" outlineLevel="0" collapsed="false">
      <c r="A83" s="14" t="s">
        <v>1174</v>
      </c>
      <c r="B83" s="14" t="s">
        <v>45</v>
      </c>
      <c r="C83" s="14" t="s">
        <v>1175</v>
      </c>
      <c r="D83" s="14" t="s">
        <v>1149</v>
      </c>
      <c r="E83" s="14" t="s">
        <v>1176</v>
      </c>
      <c r="F83" s="15" t="s">
        <v>1177</v>
      </c>
      <c r="G83" s="14" t="s">
        <v>168</v>
      </c>
      <c r="H83" s="14" t="s">
        <v>1178</v>
      </c>
      <c r="I83" s="14" t="s">
        <v>1179</v>
      </c>
      <c r="J83" s="14" t="s">
        <v>505</v>
      </c>
      <c r="K83" s="19" t="s">
        <v>194</v>
      </c>
      <c r="L83" s="14" t="s">
        <v>1180</v>
      </c>
      <c r="M83" s="14" t="s">
        <v>1181</v>
      </c>
      <c r="N83" s="14" t="s">
        <v>1182</v>
      </c>
      <c r="O83" s="14"/>
      <c r="P83" s="14" t="s">
        <v>1183</v>
      </c>
      <c r="Q83" s="14" t="s">
        <v>1184</v>
      </c>
      <c r="R83" s="14" t="s">
        <v>1093</v>
      </c>
      <c r="S83" s="17" t="s">
        <v>107</v>
      </c>
      <c r="T83" s="20" t="s">
        <v>324</v>
      </c>
      <c r="U83" s="14" t="s">
        <v>1185</v>
      </c>
      <c r="V83" s="14" t="s">
        <v>109</v>
      </c>
      <c r="W83" s="18" t="s">
        <v>110</v>
      </c>
      <c r="X83" s="14" t="s">
        <v>1186</v>
      </c>
      <c r="Y83" s="14" t="s">
        <v>194</v>
      </c>
      <c r="Z83" s="14" t="s">
        <v>107</v>
      </c>
      <c r="AA83" s="14" t="s">
        <v>107</v>
      </c>
      <c r="AB83" s="14" t="s">
        <v>921</v>
      </c>
      <c r="AC83" s="14" t="s">
        <v>113</v>
      </c>
      <c r="AD83" s="14" t="s">
        <v>114</v>
      </c>
    </row>
    <row r="84" customFormat="false" ht="78" hidden="false" customHeight="true" outlineLevel="0" collapsed="false">
      <c r="A84" s="14" t="s">
        <v>1187</v>
      </c>
      <c r="B84" s="14" t="s">
        <v>43</v>
      </c>
      <c r="C84" s="14" t="s">
        <v>1188</v>
      </c>
      <c r="D84" s="14" t="s">
        <v>1149</v>
      </c>
      <c r="E84" s="14" t="s">
        <v>1150</v>
      </c>
      <c r="F84" s="15" t="s">
        <v>1151</v>
      </c>
      <c r="G84" s="14" t="s">
        <v>1152</v>
      </c>
      <c r="H84" s="14" t="s">
        <v>1189</v>
      </c>
      <c r="I84" s="14" t="s">
        <v>1190</v>
      </c>
      <c r="J84" s="14" t="s">
        <v>51</v>
      </c>
      <c r="K84" s="19" t="s">
        <v>194</v>
      </c>
      <c r="L84" s="14" t="s">
        <v>1191</v>
      </c>
      <c r="M84" s="14" t="s">
        <v>1192</v>
      </c>
      <c r="N84" s="14" t="s">
        <v>1193</v>
      </c>
      <c r="O84" s="14"/>
      <c r="P84" s="14" t="s">
        <v>1194</v>
      </c>
      <c r="Q84" s="14" t="s">
        <v>1195</v>
      </c>
      <c r="R84" s="14" t="s">
        <v>1159</v>
      </c>
      <c r="S84" s="17" t="s">
        <v>107</v>
      </c>
      <c r="T84" s="17" t="s">
        <v>107</v>
      </c>
      <c r="U84" s="14" t="s">
        <v>1196</v>
      </c>
      <c r="V84" s="14" t="s">
        <v>109</v>
      </c>
      <c r="W84" s="21" t="s">
        <v>429</v>
      </c>
      <c r="X84" s="14" t="s">
        <v>1197</v>
      </c>
      <c r="Y84" s="14" t="s">
        <v>100</v>
      </c>
      <c r="Z84" s="14" t="s">
        <v>107</v>
      </c>
      <c r="AA84" s="14" t="s">
        <v>107</v>
      </c>
      <c r="AB84" s="14" t="s">
        <v>131</v>
      </c>
      <c r="AC84" s="14" t="s">
        <v>113</v>
      </c>
      <c r="AD84" s="14" t="s">
        <v>114</v>
      </c>
    </row>
    <row r="85" customFormat="false" ht="78" hidden="false" customHeight="true" outlineLevel="0" collapsed="false">
      <c r="A85" s="14" t="s">
        <v>1198</v>
      </c>
      <c r="B85" s="14" t="s">
        <v>43</v>
      </c>
      <c r="C85" s="14" t="s">
        <v>1199</v>
      </c>
      <c r="D85" s="14" t="s">
        <v>1149</v>
      </c>
      <c r="E85" s="14" t="s">
        <v>1200</v>
      </c>
      <c r="F85" s="15" t="s">
        <v>1201</v>
      </c>
      <c r="G85" s="14" t="s">
        <v>368</v>
      </c>
      <c r="H85" s="14" t="s">
        <v>1202</v>
      </c>
      <c r="I85" s="14" t="s">
        <v>1203</v>
      </c>
      <c r="J85" s="14" t="s">
        <v>51</v>
      </c>
      <c r="K85" s="19" t="s">
        <v>194</v>
      </c>
      <c r="L85" s="14" t="s">
        <v>1204</v>
      </c>
      <c r="M85" s="14" t="s">
        <v>1205</v>
      </c>
      <c r="N85" s="14" t="s">
        <v>1206</v>
      </c>
      <c r="O85" s="14"/>
      <c r="P85" s="14" t="s">
        <v>1207</v>
      </c>
      <c r="Q85" s="14" t="s">
        <v>1208</v>
      </c>
      <c r="R85" s="14" t="s">
        <v>1159</v>
      </c>
      <c r="S85" s="17" t="s">
        <v>107</v>
      </c>
      <c r="T85" s="17" t="s">
        <v>107</v>
      </c>
      <c r="U85" s="14" t="s">
        <v>1209</v>
      </c>
      <c r="V85" s="14" t="s">
        <v>109</v>
      </c>
      <c r="W85" s="21" t="s">
        <v>429</v>
      </c>
      <c r="X85" s="14" t="s">
        <v>1210</v>
      </c>
      <c r="Y85" s="14" t="s">
        <v>100</v>
      </c>
      <c r="Z85" s="14" t="s">
        <v>107</v>
      </c>
      <c r="AA85" s="14" t="s">
        <v>107</v>
      </c>
      <c r="AB85" s="14" t="s">
        <v>131</v>
      </c>
      <c r="AC85" s="14" t="s">
        <v>113</v>
      </c>
      <c r="AD85" s="14" t="s">
        <v>114</v>
      </c>
    </row>
    <row r="86" customFormat="false" ht="78" hidden="false" customHeight="true" outlineLevel="0" collapsed="false">
      <c r="A86" s="14" t="s">
        <v>1211</v>
      </c>
      <c r="B86" s="14" t="s">
        <v>43</v>
      </c>
      <c r="C86" s="14" t="s">
        <v>1212</v>
      </c>
      <c r="D86" s="14" t="s">
        <v>1149</v>
      </c>
      <c r="E86" s="14" t="s">
        <v>1213</v>
      </c>
      <c r="F86" s="15" t="s">
        <v>1214</v>
      </c>
      <c r="G86" s="14" t="s">
        <v>1215</v>
      </c>
      <c r="H86" s="14" t="s">
        <v>1216</v>
      </c>
      <c r="I86" s="14" t="s">
        <v>1217</v>
      </c>
      <c r="J86" s="14" t="s">
        <v>51</v>
      </c>
      <c r="K86" s="19" t="s">
        <v>194</v>
      </c>
      <c r="L86" s="14" t="s">
        <v>1218</v>
      </c>
      <c r="M86" s="14" t="s">
        <v>1219</v>
      </c>
      <c r="N86" s="14" t="s">
        <v>1220</v>
      </c>
      <c r="O86" s="14"/>
      <c r="P86" s="14" t="s">
        <v>1221</v>
      </c>
      <c r="Q86" s="14" t="s">
        <v>1222</v>
      </c>
      <c r="R86" s="14" t="s">
        <v>1159</v>
      </c>
      <c r="S86" s="17" t="s">
        <v>107</v>
      </c>
      <c r="T86" s="17" t="s">
        <v>107</v>
      </c>
      <c r="U86" s="14" t="s">
        <v>1223</v>
      </c>
      <c r="V86" s="14" t="s">
        <v>109</v>
      </c>
      <c r="W86" s="21" t="s">
        <v>429</v>
      </c>
      <c r="X86" s="14" t="s">
        <v>1224</v>
      </c>
      <c r="Y86" s="14" t="s">
        <v>100</v>
      </c>
      <c r="Z86" s="14" t="s">
        <v>107</v>
      </c>
      <c r="AA86" s="14" t="s">
        <v>107</v>
      </c>
      <c r="AB86" s="14" t="s">
        <v>131</v>
      </c>
      <c r="AC86" s="14" t="s">
        <v>113</v>
      </c>
      <c r="AD86" s="14" t="s">
        <v>114</v>
      </c>
    </row>
    <row r="87" customFormat="false" ht="78" hidden="false" customHeight="true" outlineLevel="0" collapsed="false">
      <c r="A87" s="14" t="s">
        <v>1225</v>
      </c>
      <c r="B87" s="14" t="s">
        <v>46</v>
      </c>
      <c r="C87" s="14" t="s">
        <v>1226</v>
      </c>
      <c r="D87" s="14" t="s">
        <v>40</v>
      </c>
      <c r="E87" s="14" t="s">
        <v>1227</v>
      </c>
      <c r="F87" s="15" t="s">
        <v>1228</v>
      </c>
      <c r="G87" s="14" t="s">
        <v>1229</v>
      </c>
      <c r="H87" s="14" t="s">
        <v>1230</v>
      </c>
      <c r="I87" s="14" t="s">
        <v>1231</v>
      </c>
      <c r="J87" s="14" t="s">
        <v>202</v>
      </c>
      <c r="K87" s="19" t="s">
        <v>194</v>
      </c>
      <c r="L87" s="14" t="s">
        <v>1232</v>
      </c>
      <c r="M87" s="14" t="s">
        <v>1233</v>
      </c>
      <c r="N87" s="14" t="s">
        <v>1234</v>
      </c>
      <c r="O87" s="14"/>
      <c r="P87" s="14" t="s">
        <v>1235</v>
      </c>
      <c r="Q87" s="14" t="s">
        <v>1236</v>
      </c>
      <c r="R87" s="14" t="s">
        <v>1237</v>
      </c>
      <c r="S87" s="20" t="s">
        <v>324</v>
      </c>
      <c r="T87" s="17" t="s">
        <v>107</v>
      </c>
      <c r="U87" s="14" t="s">
        <v>1238</v>
      </c>
      <c r="V87" s="14" t="s">
        <v>109</v>
      </c>
      <c r="W87" s="18" t="s">
        <v>110</v>
      </c>
      <c r="X87" s="14" t="s">
        <v>1239</v>
      </c>
      <c r="Y87" s="14" t="s">
        <v>194</v>
      </c>
      <c r="Z87" s="14" t="s">
        <v>107</v>
      </c>
      <c r="AA87" s="14" t="s">
        <v>107</v>
      </c>
      <c r="AB87" s="14" t="s">
        <v>147</v>
      </c>
      <c r="AC87" s="14" t="s">
        <v>113</v>
      </c>
      <c r="AD87" s="14" t="s">
        <v>114</v>
      </c>
    </row>
    <row r="88" customFormat="false" ht="78" hidden="false" customHeight="true" outlineLevel="0" collapsed="false">
      <c r="A88" s="14" t="s">
        <v>1240</v>
      </c>
      <c r="B88" s="14" t="s">
        <v>44</v>
      </c>
      <c r="C88" s="14" t="s">
        <v>1241</v>
      </c>
      <c r="D88" s="14" t="s">
        <v>40</v>
      </c>
      <c r="E88" s="14" t="s">
        <v>225</v>
      </c>
      <c r="F88" s="15" t="s">
        <v>226</v>
      </c>
      <c r="G88" s="14" t="s">
        <v>227</v>
      </c>
      <c r="H88" s="14" t="s">
        <v>1242</v>
      </c>
      <c r="I88" s="14" t="s">
        <v>1243</v>
      </c>
      <c r="J88" s="14" t="s">
        <v>55</v>
      </c>
      <c r="K88" s="19" t="s">
        <v>194</v>
      </c>
      <c r="L88" s="14" t="s">
        <v>1244</v>
      </c>
      <c r="M88" s="14" t="s">
        <v>1245</v>
      </c>
      <c r="N88" s="14" t="s">
        <v>1246</v>
      </c>
      <c r="O88" s="14"/>
      <c r="P88" s="14" t="s">
        <v>1247</v>
      </c>
      <c r="Q88" s="14" t="s">
        <v>1248</v>
      </c>
      <c r="R88" s="14" t="s">
        <v>235</v>
      </c>
      <c r="S88" s="17" t="s">
        <v>107</v>
      </c>
      <c r="T88" s="17" t="s">
        <v>107</v>
      </c>
      <c r="U88" s="14" t="s">
        <v>1249</v>
      </c>
      <c r="V88" s="14" t="s">
        <v>109</v>
      </c>
      <c r="W88" s="18" t="s">
        <v>110</v>
      </c>
      <c r="X88" s="14" t="s">
        <v>1250</v>
      </c>
      <c r="Y88" s="14" t="s">
        <v>100</v>
      </c>
      <c r="Z88" s="14" t="s">
        <v>107</v>
      </c>
      <c r="AA88" s="14" t="s">
        <v>107</v>
      </c>
      <c r="AB88" s="14" t="s">
        <v>112</v>
      </c>
      <c r="AC88" s="14" t="s">
        <v>113</v>
      </c>
      <c r="AD88" s="14" t="s">
        <v>114</v>
      </c>
    </row>
    <row r="89" customFormat="false" ht="78" hidden="false" customHeight="true" outlineLevel="0" collapsed="false">
      <c r="A89" s="14" t="s">
        <v>1251</v>
      </c>
      <c r="B89" s="14" t="s">
        <v>44</v>
      </c>
      <c r="C89" s="14" t="s">
        <v>1252</v>
      </c>
      <c r="D89" s="14" t="s">
        <v>40</v>
      </c>
      <c r="E89" s="14" t="s">
        <v>1253</v>
      </c>
      <c r="F89" s="15" t="s">
        <v>1254</v>
      </c>
      <c r="G89" s="14" t="s">
        <v>533</v>
      </c>
      <c r="H89" s="14" t="s">
        <v>1255</v>
      </c>
      <c r="I89" s="14" t="s">
        <v>1256</v>
      </c>
      <c r="J89" s="14" t="s">
        <v>400</v>
      </c>
      <c r="K89" s="19" t="s">
        <v>194</v>
      </c>
      <c r="L89" s="14" t="s">
        <v>1257</v>
      </c>
      <c r="M89" s="14" t="s">
        <v>1258</v>
      </c>
      <c r="N89" s="14" t="s">
        <v>1259</v>
      </c>
      <c r="O89" s="14"/>
      <c r="P89" s="14" t="s">
        <v>1260</v>
      </c>
      <c r="Q89" s="14" t="s">
        <v>1261</v>
      </c>
      <c r="R89" s="14" t="s">
        <v>235</v>
      </c>
      <c r="S89" s="17" t="s">
        <v>107</v>
      </c>
      <c r="T89" s="17" t="s">
        <v>107</v>
      </c>
      <c r="U89" s="14" t="s">
        <v>1262</v>
      </c>
      <c r="V89" s="14" t="s">
        <v>109</v>
      </c>
      <c r="W89" s="18" t="s">
        <v>110</v>
      </c>
      <c r="X89" s="14" t="s">
        <v>1263</v>
      </c>
      <c r="Y89" s="14" t="s">
        <v>100</v>
      </c>
      <c r="Z89" s="14" t="s">
        <v>107</v>
      </c>
      <c r="AA89" s="14" t="s">
        <v>107</v>
      </c>
      <c r="AB89" s="14" t="s">
        <v>112</v>
      </c>
      <c r="AC89" s="14" t="s">
        <v>113</v>
      </c>
      <c r="AD89" s="14" t="s">
        <v>114</v>
      </c>
    </row>
    <row r="90" customFormat="false" ht="78" hidden="false" customHeight="true" outlineLevel="0" collapsed="false">
      <c r="A90" s="14" t="s">
        <v>1264</v>
      </c>
      <c r="B90" s="14" t="s">
        <v>48</v>
      </c>
      <c r="C90" s="14" t="s">
        <v>1265</v>
      </c>
      <c r="D90" s="14" t="s">
        <v>40</v>
      </c>
      <c r="E90" s="14" t="s">
        <v>1266</v>
      </c>
      <c r="F90" s="15" t="s">
        <v>226</v>
      </c>
      <c r="G90" s="14" t="s">
        <v>227</v>
      </c>
      <c r="H90" s="14" t="s">
        <v>1267</v>
      </c>
      <c r="I90" s="14" t="s">
        <v>1268</v>
      </c>
      <c r="J90" s="14" t="s">
        <v>1269</v>
      </c>
      <c r="K90" s="19" t="s">
        <v>194</v>
      </c>
      <c r="L90" s="14" t="s">
        <v>1270</v>
      </c>
      <c r="M90" s="14" t="s">
        <v>1271</v>
      </c>
      <c r="N90" s="14" t="s">
        <v>1272</v>
      </c>
      <c r="O90" s="14"/>
      <c r="P90" s="14" t="s">
        <v>1273</v>
      </c>
      <c r="Q90" s="14" t="s">
        <v>1274</v>
      </c>
      <c r="R90" s="14" t="s">
        <v>235</v>
      </c>
      <c r="S90" s="17" t="s">
        <v>107</v>
      </c>
      <c r="T90" s="17" t="s">
        <v>107</v>
      </c>
      <c r="U90" s="14" t="s">
        <v>1275</v>
      </c>
      <c r="V90" s="14" t="s">
        <v>109</v>
      </c>
      <c r="W90" s="18" t="s">
        <v>110</v>
      </c>
      <c r="X90" s="14" t="s">
        <v>1276</v>
      </c>
      <c r="Y90" s="14" t="s">
        <v>100</v>
      </c>
      <c r="Z90" s="14" t="s">
        <v>107</v>
      </c>
      <c r="AA90" s="14" t="s">
        <v>107</v>
      </c>
      <c r="AB90" s="14" t="s">
        <v>559</v>
      </c>
      <c r="AC90" s="14" t="s">
        <v>113</v>
      </c>
      <c r="AD90" s="14" t="s">
        <v>114</v>
      </c>
    </row>
    <row r="91" customFormat="false" ht="78" hidden="false" customHeight="true" outlineLevel="0" collapsed="false">
      <c r="A91" s="14" t="s">
        <v>1277</v>
      </c>
      <c r="B91" s="14" t="s">
        <v>43</v>
      </c>
      <c r="C91" s="14" t="s">
        <v>1278</v>
      </c>
      <c r="D91" s="14" t="s">
        <v>40</v>
      </c>
      <c r="E91" s="14" t="s">
        <v>1279</v>
      </c>
      <c r="F91" s="15" t="s">
        <v>1254</v>
      </c>
      <c r="G91" s="14" t="s">
        <v>533</v>
      </c>
      <c r="H91" s="14" t="s">
        <v>1280</v>
      </c>
      <c r="I91" s="14" t="s">
        <v>1281</v>
      </c>
      <c r="J91" s="14" t="s">
        <v>50</v>
      </c>
      <c r="K91" s="19" t="s">
        <v>194</v>
      </c>
      <c r="L91" s="14" t="s">
        <v>1282</v>
      </c>
      <c r="M91" s="14" t="s">
        <v>1283</v>
      </c>
      <c r="N91" s="14" t="s">
        <v>1284</v>
      </c>
      <c r="O91" s="14"/>
      <c r="P91" s="14" t="s">
        <v>1285</v>
      </c>
      <c r="Q91" s="14" t="s">
        <v>1286</v>
      </c>
      <c r="R91" s="14" t="s">
        <v>235</v>
      </c>
      <c r="S91" s="17" t="s">
        <v>107</v>
      </c>
      <c r="T91" s="17" t="s">
        <v>107</v>
      </c>
      <c r="U91" s="14" t="s">
        <v>1287</v>
      </c>
      <c r="V91" s="14" t="s">
        <v>109</v>
      </c>
      <c r="W91" s="18" t="s">
        <v>110</v>
      </c>
      <c r="X91" s="14" t="s">
        <v>1288</v>
      </c>
      <c r="Y91" s="14" t="s">
        <v>194</v>
      </c>
      <c r="Z91" s="14" t="s">
        <v>107</v>
      </c>
      <c r="AA91" s="14" t="s">
        <v>107</v>
      </c>
      <c r="AB91" s="14" t="s">
        <v>131</v>
      </c>
      <c r="AC91" s="14" t="s">
        <v>113</v>
      </c>
      <c r="AD91" s="14" t="s">
        <v>114</v>
      </c>
    </row>
    <row r="92" customFormat="false" ht="78" hidden="false" customHeight="true" outlineLevel="0" collapsed="false">
      <c r="A92" s="14" t="s">
        <v>1289</v>
      </c>
      <c r="B92" s="14" t="s">
        <v>43</v>
      </c>
      <c r="C92" s="14" t="s">
        <v>1290</v>
      </c>
      <c r="D92" s="14" t="s">
        <v>40</v>
      </c>
      <c r="E92" s="14" t="s">
        <v>1253</v>
      </c>
      <c r="F92" s="15" t="s">
        <v>1254</v>
      </c>
      <c r="G92" s="14" t="s">
        <v>533</v>
      </c>
      <c r="H92" s="14" t="s">
        <v>1291</v>
      </c>
      <c r="I92" s="14" t="s">
        <v>1292</v>
      </c>
      <c r="J92" s="14" t="s">
        <v>1269</v>
      </c>
      <c r="K92" s="19" t="s">
        <v>194</v>
      </c>
      <c r="L92" s="14" t="s">
        <v>1293</v>
      </c>
      <c r="M92" s="14" t="s">
        <v>1294</v>
      </c>
      <c r="N92" s="14" t="s">
        <v>1295</v>
      </c>
      <c r="O92" s="14"/>
      <c r="P92" s="14" t="s">
        <v>1296</v>
      </c>
      <c r="Q92" s="14" t="s">
        <v>1297</v>
      </c>
      <c r="R92" s="14" t="s">
        <v>235</v>
      </c>
      <c r="S92" s="17" t="s">
        <v>107</v>
      </c>
      <c r="T92" s="17" t="s">
        <v>107</v>
      </c>
      <c r="U92" s="14" t="s">
        <v>1298</v>
      </c>
      <c r="V92" s="14" t="s">
        <v>109</v>
      </c>
      <c r="W92" s="18" t="s">
        <v>110</v>
      </c>
      <c r="X92" s="14" t="s">
        <v>1299</v>
      </c>
      <c r="Y92" s="14" t="s">
        <v>194</v>
      </c>
      <c r="Z92" s="14" t="s">
        <v>107</v>
      </c>
      <c r="AA92" s="14" t="s">
        <v>107</v>
      </c>
      <c r="AB92" s="14" t="s">
        <v>131</v>
      </c>
      <c r="AC92" s="14" t="s">
        <v>113</v>
      </c>
      <c r="AD92" s="14" t="s">
        <v>114</v>
      </c>
    </row>
    <row r="93" customFormat="false" ht="78" hidden="false" customHeight="true" outlineLevel="0" collapsed="false">
      <c r="A93" s="14" t="s">
        <v>1300</v>
      </c>
      <c r="B93" s="14" t="s">
        <v>46</v>
      </c>
      <c r="C93" s="14" t="s">
        <v>1301</v>
      </c>
      <c r="D93" s="14" t="s">
        <v>36</v>
      </c>
      <c r="E93" s="14" t="s">
        <v>1302</v>
      </c>
      <c r="F93" s="15" t="s">
        <v>1303</v>
      </c>
      <c r="G93" s="14" t="s">
        <v>1304</v>
      </c>
      <c r="H93" s="14" t="s">
        <v>1305</v>
      </c>
      <c r="I93" s="14" t="s">
        <v>1306</v>
      </c>
      <c r="J93" s="14" t="s">
        <v>51</v>
      </c>
      <c r="K93" s="19" t="s">
        <v>194</v>
      </c>
      <c r="L93" s="14" t="s">
        <v>1307</v>
      </c>
      <c r="M93" s="14" t="s">
        <v>1308</v>
      </c>
      <c r="N93" s="14" t="s">
        <v>1309</v>
      </c>
      <c r="O93" s="14"/>
      <c r="P93" s="14" t="s">
        <v>1310</v>
      </c>
      <c r="Q93" s="14" t="s">
        <v>1311</v>
      </c>
      <c r="R93" s="14" t="s">
        <v>1237</v>
      </c>
      <c r="S93" s="17" t="s">
        <v>107</v>
      </c>
      <c r="T93" s="17" t="s">
        <v>107</v>
      </c>
      <c r="U93" s="14" t="s">
        <v>1312</v>
      </c>
      <c r="V93" s="14" t="s">
        <v>109</v>
      </c>
      <c r="W93" s="21" t="s">
        <v>429</v>
      </c>
      <c r="X93" s="14" t="s">
        <v>1313</v>
      </c>
      <c r="Y93" s="14" t="s">
        <v>100</v>
      </c>
      <c r="Z93" s="14" t="s">
        <v>107</v>
      </c>
      <c r="AA93" s="14" t="s">
        <v>107</v>
      </c>
      <c r="AB93" s="14" t="s">
        <v>147</v>
      </c>
      <c r="AC93" s="14" t="s">
        <v>1314</v>
      </c>
      <c r="AD93" s="14" t="s">
        <v>1315</v>
      </c>
    </row>
    <row r="94" customFormat="false" ht="78" hidden="false" customHeight="true" outlineLevel="0" collapsed="false">
      <c r="A94" s="14" t="s">
        <v>1316</v>
      </c>
      <c r="B94" s="14" t="s">
        <v>46</v>
      </c>
      <c r="C94" s="14" t="s">
        <v>1317</v>
      </c>
      <c r="D94" s="14" t="s">
        <v>36</v>
      </c>
      <c r="E94" s="14" t="s">
        <v>118</v>
      </c>
      <c r="F94" s="15" t="s">
        <v>119</v>
      </c>
      <c r="G94" s="14" t="s">
        <v>240</v>
      </c>
      <c r="H94" s="14" t="s">
        <v>1318</v>
      </c>
      <c r="I94" s="14" t="s">
        <v>1319</v>
      </c>
      <c r="J94" s="14" t="s">
        <v>202</v>
      </c>
      <c r="K94" s="19" t="s">
        <v>194</v>
      </c>
      <c r="L94" s="14" t="s">
        <v>1320</v>
      </c>
      <c r="M94" s="14" t="s">
        <v>1321</v>
      </c>
      <c r="N94" s="14" t="s">
        <v>1322</v>
      </c>
      <c r="O94" s="14"/>
      <c r="P94" s="14" t="s">
        <v>1323</v>
      </c>
      <c r="Q94" s="14" t="s">
        <v>1324</v>
      </c>
      <c r="R94" s="14" t="s">
        <v>1237</v>
      </c>
      <c r="S94" s="17" t="s">
        <v>107</v>
      </c>
      <c r="T94" s="17" t="s">
        <v>107</v>
      </c>
      <c r="U94" s="14" t="s">
        <v>1325</v>
      </c>
      <c r="V94" s="14" t="s">
        <v>109</v>
      </c>
      <c r="W94" s="18" t="s">
        <v>110</v>
      </c>
      <c r="X94" s="14" t="s">
        <v>1326</v>
      </c>
      <c r="Y94" s="14" t="s">
        <v>194</v>
      </c>
      <c r="Z94" s="14" t="s">
        <v>107</v>
      </c>
      <c r="AA94" s="14" t="s">
        <v>107</v>
      </c>
      <c r="AB94" s="14" t="s">
        <v>147</v>
      </c>
      <c r="AC94" s="14" t="s">
        <v>113</v>
      </c>
      <c r="AD94" s="14" t="s">
        <v>114</v>
      </c>
    </row>
    <row r="95" customFormat="false" ht="78" hidden="false" customHeight="true" outlineLevel="0" collapsed="false">
      <c r="A95" s="14" t="s">
        <v>1327</v>
      </c>
      <c r="B95" s="14" t="s">
        <v>44</v>
      </c>
      <c r="C95" s="14" t="s">
        <v>1328</v>
      </c>
      <c r="D95" s="14" t="s">
        <v>36</v>
      </c>
      <c r="E95" s="14" t="s">
        <v>118</v>
      </c>
      <c r="F95" s="15" t="s">
        <v>119</v>
      </c>
      <c r="G95" s="14" t="s">
        <v>240</v>
      </c>
      <c r="H95" s="14" t="s">
        <v>1329</v>
      </c>
      <c r="I95" s="14" t="s">
        <v>1330</v>
      </c>
      <c r="J95" s="14" t="s">
        <v>99</v>
      </c>
      <c r="K95" s="19" t="s">
        <v>194</v>
      </c>
      <c r="L95" s="14" t="s">
        <v>1331</v>
      </c>
      <c r="M95" s="14" t="s">
        <v>1332</v>
      </c>
      <c r="N95" s="14" t="s">
        <v>1333</v>
      </c>
      <c r="O95" s="14"/>
      <c r="P95" s="14" t="s">
        <v>1334</v>
      </c>
      <c r="Q95" s="14" t="s">
        <v>1335</v>
      </c>
      <c r="R95" s="14" t="s">
        <v>248</v>
      </c>
      <c r="S95" s="17" t="s">
        <v>107</v>
      </c>
      <c r="T95" s="17" t="s">
        <v>107</v>
      </c>
      <c r="U95" s="14" t="s">
        <v>1336</v>
      </c>
      <c r="V95" s="14" t="s">
        <v>109</v>
      </c>
      <c r="W95" s="18" t="s">
        <v>110</v>
      </c>
      <c r="X95" s="14" t="s">
        <v>1337</v>
      </c>
      <c r="Y95" s="14" t="s">
        <v>194</v>
      </c>
      <c r="Z95" s="14" t="s">
        <v>107</v>
      </c>
      <c r="AA95" s="14" t="s">
        <v>107</v>
      </c>
      <c r="AB95" s="14" t="s">
        <v>112</v>
      </c>
      <c r="AC95" s="14" t="s">
        <v>113</v>
      </c>
      <c r="AD95" s="14" t="s">
        <v>114</v>
      </c>
    </row>
    <row r="96" customFormat="false" ht="78" hidden="false" customHeight="true" outlineLevel="0" collapsed="false">
      <c r="A96" s="14" t="s">
        <v>1338</v>
      </c>
      <c r="B96" s="14" t="s">
        <v>44</v>
      </c>
      <c r="C96" s="14" t="s">
        <v>1339</v>
      </c>
      <c r="D96" s="14" t="s">
        <v>36</v>
      </c>
      <c r="E96" s="14" t="s">
        <v>1340</v>
      </c>
      <c r="F96" s="15" t="s">
        <v>1341</v>
      </c>
      <c r="G96" s="14" t="s">
        <v>1342</v>
      </c>
      <c r="H96" s="14" t="s">
        <v>1343</v>
      </c>
      <c r="I96" s="14" t="s">
        <v>1344</v>
      </c>
      <c r="J96" s="14" t="s">
        <v>57</v>
      </c>
      <c r="K96" s="19" t="s">
        <v>194</v>
      </c>
      <c r="L96" s="14" t="s">
        <v>1345</v>
      </c>
      <c r="M96" s="14" t="s">
        <v>1346</v>
      </c>
      <c r="N96" s="14" t="s">
        <v>1347</v>
      </c>
      <c r="O96" s="14"/>
      <c r="P96" s="14" t="s">
        <v>1348</v>
      </c>
      <c r="Q96" s="14" t="s">
        <v>1349</v>
      </c>
      <c r="R96" s="14" t="s">
        <v>248</v>
      </c>
      <c r="S96" s="17" t="s">
        <v>107</v>
      </c>
      <c r="T96" s="20" t="s">
        <v>324</v>
      </c>
      <c r="U96" s="14" t="s">
        <v>1350</v>
      </c>
      <c r="V96" s="14" t="s">
        <v>109</v>
      </c>
      <c r="W96" s="18" t="s">
        <v>110</v>
      </c>
      <c r="X96" s="14" t="s">
        <v>1351</v>
      </c>
      <c r="Y96" s="14" t="s">
        <v>194</v>
      </c>
      <c r="Z96" s="14" t="s">
        <v>107</v>
      </c>
      <c r="AA96" s="14" t="s">
        <v>107</v>
      </c>
      <c r="AB96" s="14" t="s">
        <v>112</v>
      </c>
      <c r="AC96" s="14" t="s">
        <v>113</v>
      </c>
      <c r="AD96" s="14" t="s">
        <v>114</v>
      </c>
    </row>
    <row r="97" customFormat="false" ht="78" hidden="false" customHeight="true" outlineLevel="0" collapsed="false">
      <c r="A97" s="14" t="s">
        <v>1352</v>
      </c>
      <c r="B97" s="14" t="s">
        <v>44</v>
      </c>
      <c r="C97" s="14" t="s">
        <v>1353</v>
      </c>
      <c r="D97" s="14" t="s">
        <v>36</v>
      </c>
      <c r="E97" s="14" t="s">
        <v>1340</v>
      </c>
      <c r="F97" s="15" t="s">
        <v>1341</v>
      </c>
      <c r="G97" s="14" t="s">
        <v>1342</v>
      </c>
      <c r="H97" s="14" t="s">
        <v>1354</v>
      </c>
      <c r="I97" s="14" t="s">
        <v>1355</v>
      </c>
      <c r="J97" s="14" t="s">
        <v>50</v>
      </c>
      <c r="K97" s="19" t="s">
        <v>194</v>
      </c>
      <c r="L97" s="14" t="s">
        <v>1356</v>
      </c>
      <c r="M97" s="14" t="s">
        <v>1357</v>
      </c>
      <c r="N97" s="14" t="s">
        <v>1358</v>
      </c>
      <c r="O97" s="14"/>
      <c r="P97" s="14" t="s">
        <v>1359</v>
      </c>
      <c r="Q97" s="14" t="s">
        <v>1360</v>
      </c>
      <c r="R97" s="14" t="s">
        <v>1237</v>
      </c>
      <c r="S97" s="17" t="s">
        <v>107</v>
      </c>
      <c r="T97" s="20" t="s">
        <v>324</v>
      </c>
      <c r="U97" s="14" t="s">
        <v>1361</v>
      </c>
      <c r="V97" s="14" t="s">
        <v>109</v>
      </c>
      <c r="W97" s="18" t="s">
        <v>110</v>
      </c>
      <c r="X97" s="14" t="s">
        <v>1362</v>
      </c>
      <c r="Y97" s="14" t="s">
        <v>194</v>
      </c>
      <c r="Z97" s="14" t="s">
        <v>107</v>
      </c>
      <c r="AA97" s="14" t="s">
        <v>107</v>
      </c>
      <c r="AB97" s="14" t="s">
        <v>112</v>
      </c>
      <c r="AC97" s="14" t="s">
        <v>113</v>
      </c>
      <c r="AD97" s="14" t="s">
        <v>114</v>
      </c>
    </row>
    <row r="98" customFormat="false" ht="78" hidden="false" customHeight="true" outlineLevel="0" collapsed="false">
      <c r="A98" s="14" t="s">
        <v>1363</v>
      </c>
      <c r="B98" s="14" t="s">
        <v>45</v>
      </c>
      <c r="C98" s="14" t="s">
        <v>1364</v>
      </c>
      <c r="D98" s="14" t="s">
        <v>36</v>
      </c>
      <c r="E98" s="14" t="s">
        <v>1365</v>
      </c>
      <c r="F98" s="15" t="s">
        <v>1366</v>
      </c>
      <c r="G98" s="14" t="s">
        <v>1304</v>
      </c>
      <c r="H98" s="14" t="s">
        <v>1367</v>
      </c>
      <c r="I98" s="14" t="s">
        <v>1368</v>
      </c>
      <c r="J98" s="14" t="s">
        <v>202</v>
      </c>
      <c r="K98" s="19" t="s">
        <v>194</v>
      </c>
      <c r="L98" s="14" t="s">
        <v>1369</v>
      </c>
      <c r="M98" s="14" t="s">
        <v>1370</v>
      </c>
      <c r="N98" s="14" t="s">
        <v>1371</v>
      </c>
      <c r="O98" s="14"/>
      <c r="P98" s="14" t="s">
        <v>1372</v>
      </c>
      <c r="Q98" s="14" t="s">
        <v>1373</v>
      </c>
      <c r="R98" s="14" t="s">
        <v>1237</v>
      </c>
      <c r="S98" s="17" t="s">
        <v>107</v>
      </c>
      <c r="T98" s="17" t="s">
        <v>107</v>
      </c>
      <c r="U98" s="14" t="s">
        <v>1374</v>
      </c>
      <c r="V98" s="14" t="s">
        <v>109</v>
      </c>
      <c r="W98" s="18" t="s">
        <v>110</v>
      </c>
      <c r="X98" s="14" t="s">
        <v>1375</v>
      </c>
      <c r="Y98" s="14" t="s">
        <v>194</v>
      </c>
      <c r="Z98" s="14" t="s">
        <v>107</v>
      </c>
      <c r="AA98" s="14" t="s">
        <v>107</v>
      </c>
      <c r="AB98" s="14" t="s">
        <v>921</v>
      </c>
      <c r="AC98" s="14" t="s">
        <v>113</v>
      </c>
      <c r="AD98" s="14" t="s">
        <v>114</v>
      </c>
    </row>
    <row r="99" customFormat="false" ht="78" hidden="false" customHeight="true" outlineLevel="0" collapsed="false">
      <c r="A99" s="14" t="s">
        <v>1376</v>
      </c>
      <c r="B99" s="14" t="s">
        <v>43</v>
      </c>
      <c r="C99" s="14" t="s">
        <v>1377</v>
      </c>
      <c r="D99" s="14" t="s">
        <v>36</v>
      </c>
      <c r="E99" s="14" t="s">
        <v>118</v>
      </c>
      <c r="F99" s="15" t="s">
        <v>119</v>
      </c>
      <c r="G99" s="14" t="s">
        <v>240</v>
      </c>
      <c r="H99" s="14" t="s">
        <v>1378</v>
      </c>
      <c r="I99" s="14" t="s">
        <v>1379</v>
      </c>
      <c r="J99" s="14" t="s">
        <v>50</v>
      </c>
      <c r="K99" s="19" t="s">
        <v>194</v>
      </c>
      <c r="L99" s="14" t="s">
        <v>1380</v>
      </c>
      <c r="M99" s="14" t="s">
        <v>1381</v>
      </c>
      <c r="N99" s="14" t="s">
        <v>1382</v>
      </c>
      <c r="O99" s="14"/>
      <c r="P99" s="14" t="s">
        <v>1383</v>
      </c>
      <c r="Q99" s="14" t="s">
        <v>1384</v>
      </c>
      <c r="R99" s="14" t="s">
        <v>1237</v>
      </c>
      <c r="S99" s="17" t="s">
        <v>107</v>
      </c>
      <c r="T99" s="17" t="s">
        <v>107</v>
      </c>
      <c r="U99" s="14" t="s">
        <v>1385</v>
      </c>
      <c r="V99" s="14" t="s">
        <v>109</v>
      </c>
      <c r="W99" s="21" t="s">
        <v>429</v>
      </c>
      <c r="X99" s="14" t="s">
        <v>1386</v>
      </c>
      <c r="Y99" s="14" t="s">
        <v>100</v>
      </c>
      <c r="Z99" s="14" t="s">
        <v>107</v>
      </c>
      <c r="AA99" s="14" t="s">
        <v>107</v>
      </c>
      <c r="AB99" s="14" t="s">
        <v>131</v>
      </c>
      <c r="AC99" s="14" t="s">
        <v>113</v>
      </c>
      <c r="AD99" s="14" t="s">
        <v>114</v>
      </c>
    </row>
    <row r="100" customFormat="false" ht="78" hidden="false" customHeight="true" outlineLevel="0" collapsed="false">
      <c r="A100" s="14" t="s">
        <v>1387</v>
      </c>
      <c r="B100" s="14" t="s">
        <v>44</v>
      </c>
      <c r="C100" s="14" t="s">
        <v>1388</v>
      </c>
      <c r="D100" s="14" t="s">
        <v>252</v>
      </c>
      <c r="E100" s="14" t="s">
        <v>1389</v>
      </c>
      <c r="F100" s="15" t="s">
        <v>1390</v>
      </c>
      <c r="G100" s="14" t="s">
        <v>285</v>
      </c>
      <c r="H100" s="14" t="s">
        <v>1391</v>
      </c>
      <c r="I100" s="14" t="s">
        <v>1392</v>
      </c>
      <c r="J100" s="14" t="s">
        <v>400</v>
      </c>
      <c r="K100" s="19" t="s">
        <v>194</v>
      </c>
      <c r="L100" s="14" t="s">
        <v>1393</v>
      </c>
      <c r="M100" s="14" t="s">
        <v>1394</v>
      </c>
      <c r="N100" s="14" t="s">
        <v>1395</v>
      </c>
      <c r="O100" s="14"/>
      <c r="P100" s="14" t="s">
        <v>1396</v>
      </c>
      <c r="Q100" s="14" t="s">
        <v>1397</v>
      </c>
      <c r="R100" s="14" t="s">
        <v>263</v>
      </c>
      <c r="S100" s="17" t="s">
        <v>107</v>
      </c>
      <c r="T100" s="20" t="s">
        <v>324</v>
      </c>
      <c r="U100" s="14" t="s">
        <v>1398</v>
      </c>
      <c r="V100" s="14" t="s">
        <v>109</v>
      </c>
      <c r="W100" s="18" t="s">
        <v>110</v>
      </c>
      <c r="X100" s="14" t="s">
        <v>1399</v>
      </c>
      <c r="Y100" s="14" t="s">
        <v>194</v>
      </c>
      <c r="Z100" s="14" t="s">
        <v>107</v>
      </c>
      <c r="AA100" s="14" t="s">
        <v>107</v>
      </c>
      <c r="AB100" s="14" t="s">
        <v>112</v>
      </c>
      <c r="AC100" s="14" t="s">
        <v>113</v>
      </c>
      <c r="AD100" s="14" t="s">
        <v>114</v>
      </c>
    </row>
    <row r="101" customFormat="false" ht="78" hidden="false" customHeight="true" outlineLevel="0" collapsed="false">
      <c r="A101" s="14" t="s">
        <v>1400</v>
      </c>
      <c r="B101" s="14" t="s">
        <v>44</v>
      </c>
      <c r="C101" s="14" t="s">
        <v>1401</v>
      </c>
      <c r="D101" s="14" t="s">
        <v>252</v>
      </c>
      <c r="E101" s="14" t="s">
        <v>268</v>
      </c>
      <c r="F101" s="15" t="s">
        <v>269</v>
      </c>
      <c r="G101" s="14" t="s">
        <v>270</v>
      </c>
      <c r="H101" s="14" t="s">
        <v>1402</v>
      </c>
      <c r="I101" s="14" t="s">
        <v>1403</v>
      </c>
      <c r="J101" s="14" t="s">
        <v>57</v>
      </c>
      <c r="K101" s="19" t="s">
        <v>194</v>
      </c>
      <c r="L101" s="14" t="s">
        <v>1404</v>
      </c>
      <c r="M101" s="14" t="s">
        <v>1405</v>
      </c>
      <c r="N101" s="14" t="s">
        <v>1406</v>
      </c>
      <c r="O101" s="14"/>
      <c r="P101" s="14" t="s">
        <v>1407</v>
      </c>
      <c r="Q101" s="14" t="s">
        <v>1408</v>
      </c>
      <c r="R101" s="14" t="s">
        <v>263</v>
      </c>
      <c r="S101" s="17" t="s">
        <v>107</v>
      </c>
      <c r="T101" s="20" t="s">
        <v>324</v>
      </c>
      <c r="U101" s="14" t="s">
        <v>1409</v>
      </c>
      <c r="V101" s="14" t="s">
        <v>109</v>
      </c>
      <c r="W101" s="18" t="s">
        <v>110</v>
      </c>
      <c r="X101" s="14" t="s">
        <v>1410</v>
      </c>
      <c r="Y101" s="14" t="s">
        <v>194</v>
      </c>
      <c r="Z101" s="14" t="s">
        <v>107</v>
      </c>
      <c r="AA101" s="14" t="s">
        <v>107</v>
      </c>
      <c r="AB101" s="14" t="s">
        <v>112</v>
      </c>
      <c r="AC101" s="14" t="s">
        <v>113</v>
      </c>
      <c r="AD101" s="14" t="s">
        <v>114</v>
      </c>
    </row>
    <row r="102" customFormat="false" ht="78" hidden="false" customHeight="true" outlineLevel="0" collapsed="false">
      <c r="A102" s="14" t="s">
        <v>1411</v>
      </c>
      <c r="B102" s="14" t="s">
        <v>43</v>
      </c>
      <c r="C102" s="14" t="s">
        <v>1412</v>
      </c>
      <c r="D102" s="14" t="s">
        <v>252</v>
      </c>
      <c r="E102" s="14" t="s">
        <v>1389</v>
      </c>
      <c r="F102" s="15" t="s">
        <v>1390</v>
      </c>
      <c r="G102" s="14" t="s">
        <v>285</v>
      </c>
      <c r="H102" s="14" t="s">
        <v>1413</v>
      </c>
      <c r="I102" s="14" t="s">
        <v>1414</v>
      </c>
      <c r="J102" s="14" t="s">
        <v>50</v>
      </c>
      <c r="K102" s="19" t="s">
        <v>194</v>
      </c>
      <c r="L102" s="14" t="s">
        <v>1415</v>
      </c>
      <c r="M102" s="14" t="s">
        <v>1416</v>
      </c>
      <c r="N102" s="14" t="s">
        <v>1417</v>
      </c>
      <c r="O102" s="14"/>
      <c r="P102" s="14" t="s">
        <v>1418</v>
      </c>
      <c r="Q102" s="14" t="s">
        <v>1419</v>
      </c>
      <c r="R102" s="14" t="s">
        <v>263</v>
      </c>
      <c r="S102" s="17" t="s">
        <v>107</v>
      </c>
      <c r="T102" s="17" t="s">
        <v>107</v>
      </c>
      <c r="U102" s="14" t="s">
        <v>1420</v>
      </c>
      <c r="V102" s="14" t="s">
        <v>109</v>
      </c>
      <c r="W102" s="18" t="s">
        <v>110</v>
      </c>
      <c r="X102" s="14" t="s">
        <v>1421</v>
      </c>
      <c r="Y102" s="14" t="s">
        <v>194</v>
      </c>
      <c r="Z102" s="14" t="s">
        <v>107</v>
      </c>
      <c r="AA102" s="14" t="s">
        <v>107</v>
      </c>
      <c r="AB102" s="14" t="s">
        <v>131</v>
      </c>
      <c r="AC102" s="14" t="s">
        <v>113</v>
      </c>
      <c r="AD102" s="14" t="s">
        <v>114</v>
      </c>
    </row>
    <row r="103" customFormat="false" ht="78" hidden="false" customHeight="true" outlineLevel="0" collapsed="false">
      <c r="A103" s="14" t="s">
        <v>1422</v>
      </c>
      <c r="B103" s="14" t="s">
        <v>43</v>
      </c>
      <c r="C103" s="14" t="s">
        <v>1423</v>
      </c>
      <c r="D103" s="14" t="s">
        <v>252</v>
      </c>
      <c r="E103" s="14" t="s">
        <v>1424</v>
      </c>
      <c r="F103" s="15" t="s">
        <v>1425</v>
      </c>
      <c r="G103" s="14" t="s">
        <v>285</v>
      </c>
      <c r="H103" s="14" t="s">
        <v>1426</v>
      </c>
      <c r="I103" s="14" t="s">
        <v>1427</v>
      </c>
      <c r="J103" s="14" t="s">
        <v>50</v>
      </c>
      <c r="K103" s="19" t="s">
        <v>194</v>
      </c>
      <c r="L103" s="14" t="s">
        <v>1428</v>
      </c>
      <c r="M103" s="14" t="s">
        <v>1429</v>
      </c>
      <c r="N103" s="14" t="s">
        <v>1430</v>
      </c>
      <c r="O103" s="14"/>
      <c r="P103" s="14" t="s">
        <v>1431</v>
      </c>
      <c r="Q103" s="14" t="s">
        <v>1432</v>
      </c>
      <c r="R103" s="14" t="s">
        <v>1237</v>
      </c>
      <c r="S103" s="17" t="s">
        <v>107</v>
      </c>
      <c r="T103" s="17" t="s">
        <v>107</v>
      </c>
      <c r="U103" s="14" t="s">
        <v>1433</v>
      </c>
      <c r="V103" s="14" t="s">
        <v>109</v>
      </c>
      <c r="W103" s="18" t="s">
        <v>110</v>
      </c>
      <c r="X103" s="14" t="s">
        <v>1434</v>
      </c>
      <c r="Y103" s="14" t="s">
        <v>194</v>
      </c>
      <c r="Z103" s="14" t="s">
        <v>107</v>
      </c>
      <c r="AA103" s="14" t="s">
        <v>107</v>
      </c>
      <c r="AB103" s="14" t="s">
        <v>131</v>
      </c>
      <c r="AC103" s="14" t="s">
        <v>113</v>
      </c>
      <c r="AD103" s="14" t="s">
        <v>114</v>
      </c>
    </row>
    <row r="104" customFormat="false" ht="78" hidden="false" customHeight="true" outlineLevel="0" collapsed="false">
      <c r="A104" s="14" t="s">
        <v>1435</v>
      </c>
      <c r="B104" s="14" t="s">
        <v>43</v>
      </c>
      <c r="C104" s="14" t="s">
        <v>1436</v>
      </c>
      <c r="D104" s="14" t="s">
        <v>252</v>
      </c>
      <c r="E104" s="14" t="s">
        <v>1437</v>
      </c>
      <c r="F104" s="15" t="s">
        <v>1438</v>
      </c>
      <c r="G104" s="14" t="s">
        <v>1439</v>
      </c>
      <c r="H104" s="14" t="s">
        <v>1440</v>
      </c>
      <c r="I104" s="14" t="s">
        <v>1441</v>
      </c>
      <c r="J104" s="14" t="s">
        <v>50</v>
      </c>
      <c r="K104" s="19" t="s">
        <v>194</v>
      </c>
      <c r="L104" s="14" t="s">
        <v>1442</v>
      </c>
      <c r="M104" s="14" t="s">
        <v>1443</v>
      </c>
      <c r="N104" s="14" t="s">
        <v>1444</v>
      </c>
      <c r="O104" s="14"/>
      <c r="P104" s="14" t="s">
        <v>1445</v>
      </c>
      <c r="Q104" s="14" t="s">
        <v>1446</v>
      </c>
      <c r="R104" s="14" t="s">
        <v>1237</v>
      </c>
      <c r="S104" s="17" t="s">
        <v>107</v>
      </c>
      <c r="T104" s="17" t="s">
        <v>107</v>
      </c>
      <c r="U104" s="14" t="s">
        <v>1447</v>
      </c>
      <c r="V104" s="14" t="s">
        <v>109</v>
      </c>
      <c r="W104" s="18" t="s">
        <v>110</v>
      </c>
      <c r="X104" s="14" t="s">
        <v>1448</v>
      </c>
      <c r="Y104" s="14" t="s">
        <v>194</v>
      </c>
      <c r="Z104" s="14" t="s">
        <v>107</v>
      </c>
      <c r="AA104" s="14" t="s">
        <v>107</v>
      </c>
      <c r="AB104" s="14" t="s">
        <v>131</v>
      </c>
      <c r="AC104" s="14" t="s">
        <v>113</v>
      </c>
      <c r="AD104" s="14" t="s">
        <v>114</v>
      </c>
    </row>
    <row r="105" customFormat="false" ht="78" hidden="false" customHeight="true" outlineLevel="0" collapsed="false">
      <c r="A105" s="14" t="s">
        <v>1449</v>
      </c>
      <c r="B105" s="14" t="s">
        <v>46</v>
      </c>
      <c r="C105" s="14" t="s">
        <v>1450</v>
      </c>
      <c r="D105" s="14" t="s">
        <v>1451</v>
      </c>
      <c r="E105" s="14" t="s">
        <v>1452</v>
      </c>
      <c r="F105" s="15" t="s">
        <v>1453</v>
      </c>
      <c r="G105" s="14" t="s">
        <v>1454</v>
      </c>
      <c r="H105" s="14" t="s">
        <v>1455</v>
      </c>
      <c r="I105" s="14" t="s">
        <v>1456</v>
      </c>
      <c r="J105" s="14" t="s">
        <v>50</v>
      </c>
      <c r="K105" s="19" t="s">
        <v>194</v>
      </c>
      <c r="L105" s="14" t="s">
        <v>1457</v>
      </c>
      <c r="M105" s="14" t="s">
        <v>1458</v>
      </c>
      <c r="N105" s="14" t="s">
        <v>1459</v>
      </c>
      <c r="O105" s="14"/>
      <c r="P105" s="14" t="s">
        <v>1460</v>
      </c>
      <c r="Q105" s="14" t="s">
        <v>1461</v>
      </c>
      <c r="R105" s="14" t="s">
        <v>1237</v>
      </c>
      <c r="S105" s="17" t="s">
        <v>107</v>
      </c>
      <c r="T105" s="17" t="s">
        <v>107</v>
      </c>
      <c r="U105" s="14" t="s">
        <v>1462</v>
      </c>
      <c r="V105" s="14" t="s">
        <v>109</v>
      </c>
      <c r="W105" s="18" t="s">
        <v>110</v>
      </c>
      <c r="X105" s="14" t="s">
        <v>1463</v>
      </c>
      <c r="Y105" s="14" t="s">
        <v>100</v>
      </c>
      <c r="Z105" s="14" t="s">
        <v>107</v>
      </c>
      <c r="AA105" s="14" t="s">
        <v>107</v>
      </c>
      <c r="AB105" s="14" t="s">
        <v>147</v>
      </c>
      <c r="AC105" s="14" t="s">
        <v>113</v>
      </c>
      <c r="AD105" s="14" t="s">
        <v>114</v>
      </c>
    </row>
    <row r="106" customFormat="false" ht="78" hidden="false" customHeight="true" outlineLevel="0" collapsed="false">
      <c r="A106" s="14" t="s">
        <v>1464</v>
      </c>
      <c r="B106" s="14" t="s">
        <v>44</v>
      </c>
      <c r="C106" s="14" t="s">
        <v>1465</v>
      </c>
      <c r="D106" s="14" t="s">
        <v>1451</v>
      </c>
      <c r="E106" s="14" t="s">
        <v>1466</v>
      </c>
      <c r="F106" s="15" t="s">
        <v>1425</v>
      </c>
      <c r="G106" s="14" t="s">
        <v>285</v>
      </c>
      <c r="H106" s="14" t="s">
        <v>1467</v>
      </c>
      <c r="I106" s="14" t="s">
        <v>1468</v>
      </c>
      <c r="J106" s="14" t="s">
        <v>53</v>
      </c>
      <c r="K106" s="19" t="s">
        <v>194</v>
      </c>
      <c r="L106" s="14" t="s">
        <v>1469</v>
      </c>
      <c r="M106" s="14" t="s">
        <v>1470</v>
      </c>
      <c r="N106" s="14" t="s">
        <v>1471</v>
      </c>
      <c r="O106" s="14"/>
      <c r="P106" s="14" t="s">
        <v>1472</v>
      </c>
      <c r="Q106" s="14" t="s">
        <v>1473</v>
      </c>
      <c r="R106" s="14" t="s">
        <v>1237</v>
      </c>
      <c r="S106" s="17" t="s">
        <v>107</v>
      </c>
      <c r="T106" s="17" t="s">
        <v>107</v>
      </c>
      <c r="U106" s="14" t="s">
        <v>1474</v>
      </c>
      <c r="V106" s="14" t="s">
        <v>109</v>
      </c>
      <c r="W106" s="21" t="s">
        <v>429</v>
      </c>
      <c r="X106" s="14" t="s">
        <v>1475</v>
      </c>
      <c r="Y106" s="14" t="s">
        <v>100</v>
      </c>
      <c r="Z106" s="14" t="s">
        <v>107</v>
      </c>
      <c r="AA106" s="14" t="s">
        <v>107</v>
      </c>
      <c r="AB106" s="14" t="s">
        <v>112</v>
      </c>
      <c r="AC106" s="14" t="s">
        <v>113</v>
      </c>
      <c r="AD106" s="14" t="s">
        <v>114</v>
      </c>
    </row>
    <row r="107" customFormat="false" ht="78" hidden="false" customHeight="true" outlineLevel="0" collapsed="false">
      <c r="A107" s="14" t="s">
        <v>1476</v>
      </c>
      <c r="B107" s="14" t="s">
        <v>44</v>
      </c>
      <c r="C107" s="14" t="s">
        <v>1477</v>
      </c>
      <c r="D107" s="14" t="s">
        <v>1451</v>
      </c>
      <c r="E107" s="14" t="s">
        <v>1478</v>
      </c>
      <c r="F107" s="15" t="s">
        <v>1303</v>
      </c>
      <c r="G107" s="14" t="s">
        <v>285</v>
      </c>
      <c r="H107" s="14" t="s">
        <v>1479</v>
      </c>
      <c r="I107" s="14" t="s">
        <v>1480</v>
      </c>
      <c r="J107" s="14" t="s">
        <v>50</v>
      </c>
      <c r="K107" s="19" t="s">
        <v>194</v>
      </c>
      <c r="L107" s="14" t="s">
        <v>1481</v>
      </c>
      <c r="M107" s="14" t="s">
        <v>1482</v>
      </c>
      <c r="N107" s="14" t="s">
        <v>1483</v>
      </c>
      <c r="O107" s="14"/>
      <c r="P107" s="14" t="s">
        <v>1484</v>
      </c>
      <c r="Q107" s="14" t="s">
        <v>1485</v>
      </c>
      <c r="R107" s="14" t="s">
        <v>1237</v>
      </c>
      <c r="S107" s="17" t="s">
        <v>107</v>
      </c>
      <c r="T107" s="17" t="s">
        <v>107</v>
      </c>
      <c r="U107" s="14" t="s">
        <v>1486</v>
      </c>
      <c r="V107" s="14" t="s">
        <v>109</v>
      </c>
      <c r="W107" s="18" t="s">
        <v>110</v>
      </c>
      <c r="X107" s="14" t="s">
        <v>1487</v>
      </c>
      <c r="Y107" s="14" t="s">
        <v>194</v>
      </c>
      <c r="Z107" s="14" t="s">
        <v>107</v>
      </c>
      <c r="AA107" s="14" t="s">
        <v>107</v>
      </c>
      <c r="AB107" s="14" t="s">
        <v>112</v>
      </c>
      <c r="AC107" s="14" t="s">
        <v>113</v>
      </c>
      <c r="AD107" s="14" t="s">
        <v>114</v>
      </c>
    </row>
    <row r="108" customFormat="false" ht="78" hidden="false" customHeight="true" outlineLevel="0" collapsed="false">
      <c r="A108" s="14" t="s">
        <v>1488</v>
      </c>
      <c r="B108" s="14" t="s">
        <v>44</v>
      </c>
      <c r="C108" s="14" t="s">
        <v>1489</v>
      </c>
      <c r="D108" s="14" t="s">
        <v>1451</v>
      </c>
      <c r="E108" s="14" t="s">
        <v>1150</v>
      </c>
      <c r="F108" s="15" t="s">
        <v>1151</v>
      </c>
      <c r="G108" s="14" t="s">
        <v>1490</v>
      </c>
      <c r="H108" s="14" t="s">
        <v>1491</v>
      </c>
      <c r="I108" s="14" t="s">
        <v>1492</v>
      </c>
      <c r="J108" s="14" t="s">
        <v>50</v>
      </c>
      <c r="K108" s="19" t="s">
        <v>194</v>
      </c>
      <c r="L108" s="14" t="s">
        <v>1493</v>
      </c>
      <c r="M108" s="14" t="s">
        <v>1494</v>
      </c>
      <c r="N108" s="14" t="s">
        <v>1495</v>
      </c>
      <c r="O108" s="14"/>
      <c r="P108" s="14" t="s">
        <v>1496</v>
      </c>
      <c r="Q108" s="14" t="s">
        <v>1497</v>
      </c>
      <c r="R108" s="14" t="s">
        <v>1237</v>
      </c>
      <c r="S108" s="17" t="s">
        <v>107</v>
      </c>
      <c r="T108" s="17" t="s">
        <v>107</v>
      </c>
      <c r="U108" s="14" t="s">
        <v>1498</v>
      </c>
      <c r="V108" s="14" t="s">
        <v>109</v>
      </c>
      <c r="W108" s="18" t="s">
        <v>110</v>
      </c>
      <c r="X108" s="14" t="s">
        <v>1499</v>
      </c>
      <c r="Y108" s="14" t="s">
        <v>194</v>
      </c>
      <c r="Z108" s="14" t="s">
        <v>107</v>
      </c>
      <c r="AA108" s="14" t="s">
        <v>107</v>
      </c>
      <c r="AB108" s="14" t="s">
        <v>112</v>
      </c>
      <c r="AC108" s="14" t="s">
        <v>113</v>
      </c>
      <c r="AD108" s="14" t="s">
        <v>114</v>
      </c>
    </row>
    <row r="109" customFormat="false" ht="78" hidden="false" customHeight="true" outlineLevel="0" collapsed="false">
      <c r="A109" s="14" t="s">
        <v>1500</v>
      </c>
      <c r="B109" s="14" t="s">
        <v>43</v>
      </c>
      <c r="C109" s="14" t="s">
        <v>1501</v>
      </c>
      <c r="D109" s="14" t="s">
        <v>1451</v>
      </c>
      <c r="E109" s="14" t="s">
        <v>1502</v>
      </c>
      <c r="F109" s="15" t="s">
        <v>896</v>
      </c>
      <c r="G109" s="14" t="s">
        <v>285</v>
      </c>
      <c r="H109" s="14" t="s">
        <v>1503</v>
      </c>
      <c r="I109" s="14" t="s">
        <v>1504</v>
      </c>
      <c r="J109" s="14" t="s">
        <v>1269</v>
      </c>
      <c r="K109" s="19" t="s">
        <v>194</v>
      </c>
      <c r="L109" s="14" t="s">
        <v>1505</v>
      </c>
      <c r="M109" s="14" t="s">
        <v>1506</v>
      </c>
      <c r="N109" s="14" t="s">
        <v>1507</v>
      </c>
      <c r="O109" s="14"/>
      <c r="P109" s="14" t="s">
        <v>1508</v>
      </c>
      <c r="Q109" s="14" t="s">
        <v>1509</v>
      </c>
      <c r="R109" s="14" t="s">
        <v>1237</v>
      </c>
      <c r="S109" s="17" t="s">
        <v>107</v>
      </c>
      <c r="T109" s="17" t="s">
        <v>107</v>
      </c>
      <c r="U109" s="14" t="s">
        <v>1510</v>
      </c>
      <c r="V109" s="14" t="s">
        <v>109</v>
      </c>
      <c r="W109" s="18" t="s">
        <v>110</v>
      </c>
      <c r="X109" s="14" t="s">
        <v>1511</v>
      </c>
      <c r="Y109" s="14" t="s">
        <v>194</v>
      </c>
      <c r="Z109" s="14" t="s">
        <v>107</v>
      </c>
      <c r="AA109" s="14" t="s">
        <v>107</v>
      </c>
      <c r="AB109" s="14" t="s">
        <v>131</v>
      </c>
      <c r="AC109" s="14" t="s">
        <v>113</v>
      </c>
      <c r="AD109" s="14" t="s">
        <v>114</v>
      </c>
    </row>
    <row r="110" customFormat="false" ht="78" hidden="false" customHeight="true" outlineLevel="0" collapsed="false">
      <c r="A110" s="14" t="s">
        <v>1512</v>
      </c>
      <c r="B110" s="14" t="s">
        <v>43</v>
      </c>
      <c r="C110" s="14" t="s">
        <v>1513</v>
      </c>
      <c r="D110" s="14" t="s">
        <v>1451</v>
      </c>
      <c r="E110" s="14" t="s">
        <v>1514</v>
      </c>
      <c r="F110" s="15" t="s">
        <v>367</v>
      </c>
      <c r="G110" s="14" t="s">
        <v>1490</v>
      </c>
      <c r="H110" s="14" t="s">
        <v>1515</v>
      </c>
      <c r="I110" s="14" t="s">
        <v>1516</v>
      </c>
      <c r="J110" s="14" t="s">
        <v>50</v>
      </c>
      <c r="K110" s="19" t="s">
        <v>194</v>
      </c>
      <c r="L110" s="14" t="s">
        <v>1517</v>
      </c>
      <c r="M110" s="14" t="s">
        <v>1518</v>
      </c>
      <c r="N110" s="14" t="s">
        <v>1519</v>
      </c>
      <c r="O110" s="14"/>
      <c r="P110" s="14" t="s">
        <v>1520</v>
      </c>
      <c r="Q110" s="14" t="s">
        <v>1521</v>
      </c>
      <c r="R110" s="14" t="s">
        <v>1522</v>
      </c>
      <c r="S110" s="17" t="s">
        <v>107</v>
      </c>
      <c r="T110" s="17" t="s">
        <v>107</v>
      </c>
      <c r="U110" s="14" t="s">
        <v>1523</v>
      </c>
      <c r="V110" s="14" t="s">
        <v>109</v>
      </c>
      <c r="W110" s="18" t="s">
        <v>110</v>
      </c>
      <c r="X110" s="14" t="s">
        <v>1524</v>
      </c>
      <c r="Y110" s="14" t="s">
        <v>100</v>
      </c>
      <c r="Z110" s="14" t="s">
        <v>107</v>
      </c>
      <c r="AA110" s="14" t="s">
        <v>107</v>
      </c>
      <c r="AB110" s="14" t="s">
        <v>131</v>
      </c>
      <c r="AC110" s="14" t="s">
        <v>113</v>
      </c>
      <c r="AD110" s="14" t="s">
        <v>114</v>
      </c>
    </row>
    <row r="111" customFormat="false" ht="78" hidden="false" customHeight="true" outlineLevel="0" collapsed="false">
      <c r="A111" s="14" t="s">
        <v>1525</v>
      </c>
      <c r="B111" s="14" t="s">
        <v>43</v>
      </c>
      <c r="C111" s="14" t="s">
        <v>1526</v>
      </c>
      <c r="D111" s="14" t="s">
        <v>1451</v>
      </c>
      <c r="E111" s="14" t="s">
        <v>1527</v>
      </c>
      <c r="F111" s="15" t="s">
        <v>434</v>
      </c>
      <c r="G111" s="14" t="s">
        <v>1490</v>
      </c>
      <c r="H111" s="14" t="s">
        <v>1528</v>
      </c>
      <c r="I111" s="14" t="s">
        <v>1529</v>
      </c>
      <c r="J111" s="14" t="s">
        <v>50</v>
      </c>
      <c r="K111" s="19" t="s">
        <v>194</v>
      </c>
      <c r="L111" s="14" t="s">
        <v>1530</v>
      </c>
      <c r="M111" s="14" t="s">
        <v>1531</v>
      </c>
      <c r="N111" s="14" t="s">
        <v>1532</v>
      </c>
      <c r="O111" s="14"/>
      <c r="P111" s="14" t="s">
        <v>1533</v>
      </c>
      <c r="Q111" s="14" t="s">
        <v>1534</v>
      </c>
      <c r="R111" s="14" t="s">
        <v>1237</v>
      </c>
      <c r="S111" s="17" t="s">
        <v>107</v>
      </c>
      <c r="T111" s="17" t="s">
        <v>107</v>
      </c>
      <c r="U111" s="14" t="s">
        <v>1535</v>
      </c>
      <c r="V111" s="14" t="s">
        <v>109</v>
      </c>
      <c r="W111" s="18" t="s">
        <v>110</v>
      </c>
      <c r="X111" s="14" t="s">
        <v>1536</v>
      </c>
      <c r="Y111" s="14" t="s">
        <v>194</v>
      </c>
      <c r="Z111" s="14" t="s">
        <v>107</v>
      </c>
      <c r="AA111" s="14" t="s">
        <v>107</v>
      </c>
      <c r="AB111" s="14" t="s">
        <v>131</v>
      </c>
      <c r="AC111" s="14" t="s">
        <v>113</v>
      </c>
      <c r="AD111" s="14" t="s">
        <v>114</v>
      </c>
    </row>
    <row r="112" customFormat="false" ht="78" hidden="false" customHeight="true" outlineLevel="0" collapsed="false">
      <c r="A112" s="14" t="s">
        <v>1537</v>
      </c>
      <c r="B112" s="14" t="s">
        <v>46</v>
      </c>
      <c r="C112" s="14" t="s">
        <v>1538</v>
      </c>
      <c r="D112" s="14" t="s">
        <v>1539</v>
      </c>
      <c r="E112" s="14" t="s">
        <v>1540</v>
      </c>
      <c r="F112" s="15" t="s">
        <v>1541</v>
      </c>
      <c r="G112" s="14" t="s">
        <v>1542</v>
      </c>
      <c r="H112" s="14" t="s">
        <v>1543</v>
      </c>
      <c r="I112" s="14" t="s">
        <v>1544</v>
      </c>
      <c r="J112" s="14" t="s">
        <v>55</v>
      </c>
      <c r="K112" s="19" t="s">
        <v>194</v>
      </c>
      <c r="L112" s="14" t="s">
        <v>1545</v>
      </c>
      <c r="M112" s="14" t="s">
        <v>1546</v>
      </c>
      <c r="N112" s="14" t="s">
        <v>1547</v>
      </c>
      <c r="O112" s="14"/>
      <c r="P112" s="14" t="s">
        <v>1548</v>
      </c>
      <c r="Q112" s="14" t="s">
        <v>1549</v>
      </c>
      <c r="R112" s="14" t="s">
        <v>1550</v>
      </c>
      <c r="S112" s="17" t="s">
        <v>107</v>
      </c>
      <c r="T112" s="20" t="s">
        <v>324</v>
      </c>
      <c r="U112" s="14" t="s">
        <v>1551</v>
      </c>
      <c r="V112" s="14" t="s">
        <v>109</v>
      </c>
      <c r="W112" s="18" t="s">
        <v>110</v>
      </c>
      <c r="X112" s="14" t="s">
        <v>1552</v>
      </c>
      <c r="Y112" s="14" t="s">
        <v>194</v>
      </c>
      <c r="Z112" s="14" t="s">
        <v>107</v>
      </c>
      <c r="AA112" s="14" t="s">
        <v>107</v>
      </c>
      <c r="AB112" s="14" t="s">
        <v>147</v>
      </c>
      <c r="AC112" s="14" t="s">
        <v>113</v>
      </c>
      <c r="AD112" s="14" t="s">
        <v>114</v>
      </c>
    </row>
    <row r="113" customFormat="false" ht="78" hidden="false" customHeight="true" outlineLevel="0" collapsed="false">
      <c r="A113" s="14" t="s">
        <v>1553</v>
      </c>
      <c r="B113" s="14" t="s">
        <v>44</v>
      </c>
      <c r="C113" s="14" t="s">
        <v>1554</v>
      </c>
      <c r="D113" s="14" t="s">
        <v>1539</v>
      </c>
      <c r="E113" s="14" t="s">
        <v>1555</v>
      </c>
      <c r="F113" s="15" t="s">
        <v>1556</v>
      </c>
      <c r="G113" s="14" t="s">
        <v>1557</v>
      </c>
      <c r="H113" s="14" t="s">
        <v>1558</v>
      </c>
      <c r="I113" s="14" t="s">
        <v>1559</v>
      </c>
      <c r="J113" s="14" t="s">
        <v>55</v>
      </c>
      <c r="K113" s="19" t="s">
        <v>194</v>
      </c>
      <c r="L113" s="14" t="s">
        <v>1560</v>
      </c>
      <c r="M113" s="14" t="s">
        <v>1561</v>
      </c>
      <c r="N113" s="14" t="s">
        <v>1562</v>
      </c>
      <c r="O113" s="14"/>
      <c r="P113" s="14" t="s">
        <v>1563</v>
      </c>
      <c r="Q113" s="14" t="s">
        <v>1564</v>
      </c>
      <c r="R113" s="14" t="s">
        <v>1565</v>
      </c>
      <c r="S113" s="17" t="s">
        <v>107</v>
      </c>
      <c r="T113" s="17" t="s">
        <v>107</v>
      </c>
      <c r="U113" s="14" t="s">
        <v>1566</v>
      </c>
      <c r="V113" s="14" t="s">
        <v>109</v>
      </c>
      <c r="W113" s="21" t="s">
        <v>429</v>
      </c>
      <c r="X113" s="14" t="s">
        <v>1567</v>
      </c>
      <c r="Y113" s="14" t="s">
        <v>100</v>
      </c>
      <c r="Z113" s="14" t="s">
        <v>107</v>
      </c>
      <c r="AA113" s="14" t="s">
        <v>107</v>
      </c>
      <c r="AB113" s="14" t="s">
        <v>112</v>
      </c>
      <c r="AC113" s="14" t="s">
        <v>113</v>
      </c>
      <c r="AD113" s="14" t="s">
        <v>114</v>
      </c>
    </row>
    <row r="114" customFormat="false" ht="78" hidden="false" customHeight="true" outlineLevel="0" collapsed="false">
      <c r="A114" s="14" t="s">
        <v>1568</v>
      </c>
      <c r="B114" s="14" t="s">
        <v>43</v>
      </c>
      <c r="C114" s="14" t="s">
        <v>1569</v>
      </c>
      <c r="D114" s="14" t="s">
        <v>1539</v>
      </c>
      <c r="E114" s="14" t="s">
        <v>1570</v>
      </c>
      <c r="F114" s="15" t="s">
        <v>1571</v>
      </c>
      <c r="G114" s="14" t="s">
        <v>1572</v>
      </c>
      <c r="H114" s="14" t="s">
        <v>1573</v>
      </c>
      <c r="I114" s="14" t="s">
        <v>1574</v>
      </c>
      <c r="J114" s="14" t="s">
        <v>50</v>
      </c>
      <c r="K114" s="19" t="s">
        <v>194</v>
      </c>
      <c r="L114" s="14" t="s">
        <v>1575</v>
      </c>
      <c r="M114" s="14" t="s">
        <v>1576</v>
      </c>
      <c r="N114" s="14" t="s">
        <v>1577</v>
      </c>
      <c r="O114" s="14"/>
      <c r="P114" s="14" t="s">
        <v>1578</v>
      </c>
      <c r="Q114" s="14" t="s">
        <v>1579</v>
      </c>
      <c r="R114" s="14" t="s">
        <v>1565</v>
      </c>
      <c r="S114" s="17" t="s">
        <v>107</v>
      </c>
      <c r="T114" s="17" t="s">
        <v>107</v>
      </c>
      <c r="U114" s="14" t="s">
        <v>1580</v>
      </c>
      <c r="V114" s="14" t="s">
        <v>109</v>
      </c>
      <c r="W114" s="18" t="s">
        <v>110</v>
      </c>
      <c r="X114" s="14" t="s">
        <v>1581</v>
      </c>
      <c r="Y114" s="14" t="s">
        <v>100</v>
      </c>
      <c r="Z114" s="14" t="s">
        <v>107</v>
      </c>
      <c r="AA114" s="14" t="s">
        <v>107</v>
      </c>
      <c r="AB114" s="14" t="s">
        <v>131</v>
      </c>
      <c r="AC114" s="14" t="s">
        <v>113</v>
      </c>
      <c r="AD114" s="14" t="s">
        <v>114</v>
      </c>
    </row>
    <row r="115" customFormat="false" ht="78" hidden="false" customHeight="true" outlineLevel="0" collapsed="false">
      <c r="A115" s="14" t="s">
        <v>1582</v>
      </c>
      <c r="B115" s="14" t="s">
        <v>43</v>
      </c>
      <c r="C115" s="14" t="s">
        <v>1583</v>
      </c>
      <c r="D115" s="14" t="s">
        <v>1539</v>
      </c>
      <c r="E115" s="14" t="s">
        <v>1584</v>
      </c>
      <c r="F115" s="15" t="s">
        <v>1585</v>
      </c>
      <c r="G115" s="14" t="s">
        <v>1586</v>
      </c>
      <c r="H115" s="14" t="s">
        <v>1587</v>
      </c>
      <c r="I115" s="14" t="s">
        <v>1588</v>
      </c>
      <c r="J115" s="14" t="s">
        <v>51</v>
      </c>
      <c r="K115" s="19" t="s">
        <v>194</v>
      </c>
      <c r="L115" s="14" t="s">
        <v>1589</v>
      </c>
      <c r="M115" s="14" t="s">
        <v>1590</v>
      </c>
      <c r="N115" s="14" t="s">
        <v>1591</v>
      </c>
      <c r="O115" s="14"/>
      <c r="P115" s="14" t="s">
        <v>1592</v>
      </c>
      <c r="Q115" s="14" t="s">
        <v>1593</v>
      </c>
      <c r="R115" s="14" t="s">
        <v>1565</v>
      </c>
      <c r="S115" s="17" t="s">
        <v>107</v>
      </c>
      <c r="T115" s="20" t="s">
        <v>324</v>
      </c>
      <c r="U115" s="14" t="s">
        <v>1594</v>
      </c>
      <c r="V115" s="14" t="s">
        <v>109</v>
      </c>
      <c r="W115" s="18" t="s">
        <v>110</v>
      </c>
      <c r="X115" s="14" t="s">
        <v>1595</v>
      </c>
      <c r="Y115" s="14" t="s">
        <v>194</v>
      </c>
      <c r="Z115" s="14" t="s">
        <v>107</v>
      </c>
      <c r="AA115" s="14" t="s">
        <v>107</v>
      </c>
      <c r="AB115" s="14" t="s">
        <v>131</v>
      </c>
      <c r="AC115" s="14" t="s">
        <v>113</v>
      </c>
      <c r="AD115" s="14" t="s">
        <v>114</v>
      </c>
    </row>
    <row r="116" customFormat="false" ht="78" hidden="false" customHeight="true" outlineLevel="0" collapsed="false">
      <c r="A116" s="14" t="s">
        <v>1596</v>
      </c>
      <c r="B116" s="14" t="s">
        <v>43</v>
      </c>
      <c r="C116" s="14" t="s">
        <v>1597</v>
      </c>
      <c r="D116" s="14" t="s">
        <v>1539</v>
      </c>
      <c r="E116" s="14" t="s">
        <v>1598</v>
      </c>
      <c r="F116" s="15" t="s">
        <v>1599</v>
      </c>
      <c r="G116" s="14" t="s">
        <v>1600</v>
      </c>
      <c r="H116" s="14" t="s">
        <v>1601</v>
      </c>
      <c r="I116" s="14" t="s">
        <v>1602</v>
      </c>
      <c r="J116" s="14" t="s">
        <v>50</v>
      </c>
      <c r="K116" s="19" t="s">
        <v>194</v>
      </c>
      <c r="L116" s="14" t="s">
        <v>1603</v>
      </c>
      <c r="M116" s="14" t="s">
        <v>1604</v>
      </c>
      <c r="N116" s="14" t="s">
        <v>1605</v>
      </c>
      <c r="O116" s="14"/>
      <c r="P116" s="14" t="s">
        <v>1606</v>
      </c>
      <c r="Q116" s="14" t="s">
        <v>1607</v>
      </c>
      <c r="R116" s="14" t="s">
        <v>1565</v>
      </c>
      <c r="S116" s="17" t="s">
        <v>107</v>
      </c>
      <c r="T116" s="20" t="s">
        <v>324</v>
      </c>
      <c r="U116" s="14" t="s">
        <v>1608</v>
      </c>
      <c r="V116" s="14" t="s">
        <v>109</v>
      </c>
      <c r="W116" s="18" t="s">
        <v>110</v>
      </c>
      <c r="X116" s="14" t="s">
        <v>1609</v>
      </c>
      <c r="Y116" s="14" t="s">
        <v>194</v>
      </c>
      <c r="Z116" s="14" t="s">
        <v>107</v>
      </c>
      <c r="AA116" s="14" t="s">
        <v>107</v>
      </c>
      <c r="AB116" s="14" t="s">
        <v>131</v>
      </c>
      <c r="AC116" s="14" t="s">
        <v>113</v>
      </c>
      <c r="AD116" s="14" t="s">
        <v>114</v>
      </c>
    </row>
    <row r="117" customFormat="false" ht="78" hidden="false" customHeight="true" outlineLevel="0" collapsed="false">
      <c r="A117" s="14" t="s">
        <v>1610</v>
      </c>
      <c r="B117" s="14" t="s">
        <v>44</v>
      </c>
      <c r="C117" s="14" t="s">
        <v>1611</v>
      </c>
      <c r="D117" s="14" t="s">
        <v>1612</v>
      </c>
      <c r="E117" s="14" t="s">
        <v>1613</v>
      </c>
      <c r="F117" s="15" t="s">
        <v>1614</v>
      </c>
      <c r="G117" s="14" t="s">
        <v>1586</v>
      </c>
      <c r="H117" s="14" t="s">
        <v>1615</v>
      </c>
      <c r="I117" s="14" t="s">
        <v>1616</v>
      </c>
      <c r="J117" s="14" t="s">
        <v>57</v>
      </c>
      <c r="K117" s="19" t="s">
        <v>194</v>
      </c>
      <c r="L117" s="14" t="s">
        <v>1617</v>
      </c>
      <c r="M117" s="14" t="s">
        <v>1618</v>
      </c>
      <c r="N117" s="14" t="s">
        <v>1619</v>
      </c>
      <c r="O117" s="14"/>
      <c r="P117" s="14" t="s">
        <v>1620</v>
      </c>
      <c r="Q117" s="14" t="s">
        <v>1621</v>
      </c>
      <c r="R117" s="14" t="s">
        <v>1622</v>
      </c>
      <c r="S117" s="17" t="s">
        <v>107</v>
      </c>
      <c r="T117" s="17" t="s">
        <v>107</v>
      </c>
      <c r="U117" s="14" t="s">
        <v>1623</v>
      </c>
      <c r="V117" s="14" t="s">
        <v>109</v>
      </c>
      <c r="W117" s="18" t="s">
        <v>110</v>
      </c>
      <c r="X117" s="14" t="s">
        <v>1624</v>
      </c>
      <c r="Y117" s="14" t="s">
        <v>100</v>
      </c>
      <c r="Z117" s="14" t="s">
        <v>107</v>
      </c>
      <c r="AA117" s="14" t="s">
        <v>107</v>
      </c>
      <c r="AB117" s="14" t="s">
        <v>112</v>
      </c>
      <c r="AC117" s="14" t="s">
        <v>113</v>
      </c>
      <c r="AD117" s="14" t="s">
        <v>114</v>
      </c>
    </row>
    <row r="118" customFormat="false" ht="78" hidden="false" customHeight="true" outlineLevel="0" collapsed="false">
      <c r="A118" s="14" t="s">
        <v>1625</v>
      </c>
      <c r="B118" s="14" t="s">
        <v>44</v>
      </c>
      <c r="C118" s="14" t="s">
        <v>1626</v>
      </c>
      <c r="D118" s="14" t="s">
        <v>1612</v>
      </c>
      <c r="E118" s="14" t="s">
        <v>1627</v>
      </c>
      <c r="F118" s="15" t="s">
        <v>1628</v>
      </c>
      <c r="G118" s="14" t="s">
        <v>1586</v>
      </c>
      <c r="H118" s="14" t="s">
        <v>1629</v>
      </c>
      <c r="I118" s="14" t="s">
        <v>1630</v>
      </c>
      <c r="J118" s="14" t="s">
        <v>536</v>
      </c>
      <c r="K118" s="19" t="s">
        <v>194</v>
      </c>
      <c r="L118" s="14" t="s">
        <v>1631</v>
      </c>
      <c r="M118" s="14" t="s">
        <v>1632</v>
      </c>
      <c r="N118" s="14" t="s">
        <v>1633</v>
      </c>
      <c r="O118" s="14"/>
      <c r="P118" s="14" t="s">
        <v>1634</v>
      </c>
      <c r="Q118" s="14" t="s">
        <v>1635</v>
      </c>
      <c r="R118" s="14" t="s">
        <v>1622</v>
      </c>
      <c r="S118" s="17" t="s">
        <v>107</v>
      </c>
      <c r="T118" s="20" t="s">
        <v>324</v>
      </c>
      <c r="U118" s="14" t="s">
        <v>1636</v>
      </c>
      <c r="V118" s="14" t="s">
        <v>109</v>
      </c>
      <c r="W118" s="18" t="s">
        <v>110</v>
      </c>
      <c r="X118" s="14" t="s">
        <v>1637</v>
      </c>
      <c r="Y118" s="14" t="s">
        <v>194</v>
      </c>
      <c r="Z118" s="14" t="s">
        <v>107</v>
      </c>
      <c r="AA118" s="14" t="s">
        <v>107</v>
      </c>
      <c r="AB118" s="14" t="s">
        <v>112</v>
      </c>
      <c r="AC118" s="14" t="s">
        <v>113</v>
      </c>
      <c r="AD118" s="14" t="s">
        <v>114</v>
      </c>
    </row>
    <row r="119" customFormat="false" ht="78" hidden="false" customHeight="true" outlineLevel="0" collapsed="false">
      <c r="A119" s="14" t="s">
        <v>1638</v>
      </c>
      <c r="B119" s="14" t="s">
        <v>45</v>
      </c>
      <c r="C119" s="14" t="s">
        <v>1639</v>
      </c>
      <c r="D119" s="14" t="s">
        <v>1612</v>
      </c>
      <c r="E119" s="14" t="s">
        <v>1640</v>
      </c>
      <c r="F119" s="15" t="s">
        <v>1641</v>
      </c>
      <c r="G119" s="14" t="s">
        <v>1586</v>
      </c>
      <c r="H119" s="14" t="s">
        <v>1642</v>
      </c>
      <c r="I119" s="14" t="s">
        <v>1643</v>
      </c>
      <c r="J119" s="14" t="s">
        <v>1057</v>
      </c>
      <c r="K119" s="19" t="s">
        <v>194</v>
      </c>
      <c r="L119" s="14" t="s">
        <v>1644</v>
      </c>
      <c r="M119" s="14" t="s">
        <v>1645</v>
      </c>
      <c r="N119" s="14" t="s">
        <v>1646</v>
      </c>
      <c r="O119" s="14"/>
      <c r="P119" s="14" t="s">
        <v>1647</v>
      </c>
      <c r="Q119" s="14" t="s">
        <v>1648</v>
      </c>
      <c r="R119" s="14" t="s">
        <v>918</v>
      </c>
      <c r="S119" s="20" t="s">
        <v>324</v>
      </c>
      <c r="T119" s="20" t="s">
        <v>324</v>
      </c>
      <c r="U119" s="14" t="s">
        <v>1649</v>
      </c>
      <c r="V119" s="14" t="s">
        <v>109</v>
      </c>
      <c r="W119" s="18" t="s">
        <v>110</v>
      </c>
      <c r="X119" s="14" t="s">
        <v>1650</v>
      </c>
      <c r="Y119" s="14" t="s">
        <v>194</v>
      </c>
      <c r="Z119" s="14" t="s">
        <v>107</v>
      </c>
      <c r="AA119" s="14" t="s">
        <v>107</v>
      </c>
      <c r="AB119" s="14" t="s">
        <v>921</v>
      </c>
      <c r="AC119" s="14" t="s">
        <v>113</v>
      </c>
      <c r="AD119" s="14" t="s">
        <v>114</v>
      </c>
    </row>
    <row r="120" customFormat="false" ht="78" hidden="false" customHeight="true" outlineLevel="0" collapsed="false">
      <c r="A120" s="14" t="s">
        <v>1651</v>
      </c>
      <c r="B120" s="14" t="s">
        <v>44</v>
      </c>
      <c r="C120" s="14" t="s">
        <v>1652</v>
      </c>
      <c r="D120" s="14" t="s">
        <v>282</v>
      </c>
      <c r="E120" s="14" t="s">
        <v>1653</v>
      </c>
      <c r="F120" s="15" t="s">
        <v>1654</v>
      </c>
      <c r="G120" s="14" t="s">
        <v>285</v>
      </c>
      <c r="H120" s="14" t="s">
        <v>1655</v>
      </c>
      <c r="I120" s="14" t="s">
        <v>1656</v>
      </c>
      <c r="J120" s="14" t="s">
        <v>57</v>
      </c>
      <c r="K120" s="19" t="s">
        <v>194</v>
      </c>
      <c r="L120" s="14" t="s">
        <v>1657</v>
      </c>
      <c r="M120" s="14" t="s">
        <v>1658</v>
      </c>
      <c r="N120" s="14" t="s">
        <v>1659</v>
      </c>
      <c r="O120" s="14"/>
      <c r="P120" s="14" t="s">
        <v>1660</v>
      </c>
      <c r="Q120" s="14" t="s">
        <v>1661</v>
      </c>
      <c r="R120" s="14" t="s">
        <v>293</v>
      </c>
      <c r="S120" s="17" t="s">
        <v>107</v>
      </c>
      <c r="T120" s="20" t="s">
        <v>324</v>
      </c>
      <c r="U120" s="14" t="s">
        <v>1662</v>
      </c>
      <c r="V120" s="14" t="s">
        <v>109</v>
      </c>
      <c r="W120" s="18" t="s">
        <v>110</v>
      </c>
      <c r="X120" s="14" t="s">
        <v>1663</v>
      </c>
      <c r="Y120" s="14" t="s">
        <v>194</v>
      </c>
      <c r="Z120" s="14" t="s">
        <v>107</v>
      </c>
      <c r="AA120" s="14" t="s">
        <v>107</v>
      </c>
      <c r="AB120" s="14" t="s">
        <v>112</v>
      </c>
      <c r="AC120" s="14" t="s">
        <v>113</v>
      </c>
      <c r="AD120" s="14" t="s">
        <v>114</v>
      </c>
    </row>
    <row r="121" customFormat="false" ht="78" hidden="false" customHeight="true" outlineLevel="0" collapsed="false">
      <c r="A121" s="14" t="s">
        <v>1664</v>
      </c>
      <c r="B121" s="14" t="s">
        <v>44</v>
      </c>
      <c r="C121" s="14" t="s">
        <v>1665</v>
      </c>
      <c r="D121" s="14" t="s">
        <v>298</v>
      </c>
      <c r="E121" s="14" t="s">
        <v>352</v>
      </c>
      <c r="F121" s="15" t="s">
        <v>353</v>
      </c>
      <c r="G121" s="14" t="s">
        <v>354</v>
      </c>
      <c r="H121" s="14" t="s">
        <v>1666</v>
      </c>
      <c r="I121" s="14" t="s">
        <v>1667</v>
      </c>
      <c r="J121" s="14" t="s">
        <v>51</v>
      </c>
      <c r="K121" s="22" t="s">
        <v>1668</v>
      </c>
      <c r="L121" s="14" t="s">
        <v>1669</v>
      </c>
      <c r="M121" s="14" t="s">
        <v>1670</v>
      </c>
      <c r="N121" s="14" t="s">
        <v>1671</v>
      </c>
      <c r="O121" s="14"/>
      <c r="P121" s="14" t="s">
        <v>1672</v>
      </c>
      <c r="Q121" s="14" t="s">
        <v>1673</v>
      </c>
      <c r="R121" s="14" t="s">
        <v>1674</v>
      </c>
      <c r="S121" s="17" t="s">
        <v>107</v>
      </c>
      <c r="T121" s="20" t="s">
        <v>324</v>
      </c>
      <c r="U121" s="14" t="s">
        <v>1675</v>
      </c>
      <c r="V121" s="14" t="s">
        <v>109</v>
      </c>
      <c r="W121" s="18" t="s">
        <v>110</v>
      </c>
      <c r="X121" s="14" t="s">
        <v>1676</v>
      </c>
      <c r="Y121" s="14" t="s">
        <v>194</v>
      </c>
      <c r="Z121" s="14" t="s">
        <v>107</v>
      </c>
      <c r="AA121" s="14" t="s">
        <v>107</v>
      </c>
      <c r="AB121" s="14" t="s">
        <v>147</v>
      </c>
      <c r="AC121" s="14" t="s">
        <v>113</v>
      </c>
      <c r="AD121" s="14" t="s">
        <v>114</v>
      </c>
    </row>
    <row r="122" customFormat="false" ht="78" hidden="false" customHeight="true" outlineLevel="0" collapsed="false">
      <c r="A122" s="14" t="s">
        <v>1677</v>
      </c>
      <c r="B122" s="14" t="s">
        <v>46</v>
      </c>
      <c r="C122" s="14" t="s">
        <v>1678</v>
      </c>
      <c r="D122" s="14" t="s">
        <v>298</v>
      </c>
      <c r="E122" s="14" t="s">
        <v>1679</v>
      </c>
      <c r="F122" s="15" t="s">
        <v>1680</v>
      </c>
      <c r="G122" s="14" t="s">
        <v>1681</v>
      </c>
      <c r="H122" s="14" t="s">
        <v>1682</v>
      </c>
      <c r="I122" s="14" t="s">
        <v>1683</v>
      </c>
      <c r="J122" s="14" t="s">
        <v>51</v>
      </c>
      <c r="K122" s="22" t="s">
        <v>1668</v>
      </c>
      <c r="L122" s="14" t="s">
        <v>1684</v>
      </c>
      <c r="M122" s="14" t="s">
        <v>1685</v>
      </c>
      <c r="N122" s="14" t="s">
        <v>1686</v>
      </c>
      <c r="O122" s="14"/>
      <c r="P122" s="14" t="s">
        <v>1687</v>
      </c>
      <c r="Q122" s="14" t="s">
        <v>1688</v>
      </c>
      <c r="R122" s="14" t="s">
        <v>336</v>
      </c>
      <c r="S122" s="17" t="s">
        <v>107</v>
      </c>
      <c r="T122" s="17" t="s">
        <v>107</v>
      </c>
      <c r="U122" s="14" t="s">
        <v>1689</v>
      </c>
      <c r="V122" s="14" t="s">
        <v>109</v>
      </c>
      <c r="W122" s="18" t="s">
        <v>110</v>
      </c>
      <c r="X122" s="14" t="s">
        <v>1690</v>
      </c>
      <c r="Y122" s="14" t="s">
        <v>194</v>
      </c>
      <c r="Z122" s="14" t="s">
        <v>107</v>
      </c>
      <c r="AA122" s="14" t="s">
        <v>107</v>
      </c>
      <c r="AB122" s="14" t="s">
        <v>147</v>
      </c>
      <c r="AC122" s="14" t="s">
        <v>113</v>
      </c>
      <c r="AD122" s="14" t="s">
        <v>114</v>
      </c>
    </row>
    <row r="123" customFormat="false" ht="78" hidden="false" customHeight="true" outlineLevel="0" collapsed="false">
      <c r="A123" s="14" t="s">
        <v>1691</v>
      </c>
      <c r="B123" s="14" t="s">
        <v>46</v>
      </c>
      <c r="C123" s="14" t="s">
        <v>1692</v>
      </c>
      <c r="D123" s="14" t="s">
        <v>298</v>
      </c>
      <c r="E123" s="14" t="s">
        <v>299</v>
      </c>
      <c r="F123" s="15" t="s">
        <v>300</v>
      </c>
      <c r="G123" s="14" t="s">
        <v>301</v>
      </c>
      <c r="H123" s="14" t="s">
        <v>1693</v>
      </c>
      <c r="I123" s="14" t="s">
        <v>1694</v>
      </c>
      <c r="J123" s="14" t="s">
        <v>51</v>
      </c>
      <c r="K123" s="22" t="s">
        <v>1668</v>
      </c>
      <c r="L123" s="14" t="s">
        <v>1695</v>
      </c>
      <c r="M123" s="14" t="s">
        <v>1696</v>
      </c>
      <c r="N123" s="14" t="s">
        <v>1697</v>
      </c>
      <c r="O123" s="14"/>
      <c r="P123" s="14" t="s">
        <v>1698</v>
      </c>
      <c r="Q123" s="14" t="s">
        <v>1699</v>
      </c>
      <c r="R123" s="14" t="s">
        <v>336</v>
      </c>
      <c r="S123" s="17" t="s">
        <v>107</v>
      </c>
      <c r="T123" s="20" t="s">
        <v>324</v>
      </c>
      <c r="U123" s="14" t="s">
        <v>1700</v>
      </c>
      <c r="V123" s="14" t="s">
        <v>109</v>
      </c>
      <c r="W123" s="18" t="s">
        <v>110</v>
      </c>
      <c r="X123" s="14" t="s">
        <v>1701</v>
      </c>
      <c r="Y123" s="14" t="s">
        <v>194</v>
      </c>
      <c r="Z123" s="14" t="s">
        <v>107</v>
      </c>
      <c r="AA123" s="14" t="s">
        <v>107</v>
      </c>
      <c r="AB123" s="14" t="s">
        <v>147</v>
      </c>
      <c r="AC123" s="14" t="s">
        <v>113</v>
      </c>
      <c r="AD123" s="14" t="s">
        <v>114</v>
      </c>
    </row>
    <row r="124" customFormat="false" ht="78" hidden="false" customHeight="true" outlineLevel="0" collapsed="false">
      <c r="A124" s="14" t="s">
        <v>1702</v>
      </c>
      <c r="B124" s="14" t="s">
        <v>44</v>
      </c>
      <c r="C124" s="14" t="s">
        <v>1703</v>
      </c>
      <c r="D124" s="14" t="s">
        <v>298</v>
      </c>
      <c r="E124" s="14" t="s">
        <v>352</v>
      </c>
      <c r="F124" s="15" t="s">
        <v>353</v>
      </c>
      <c r="G124" s="14" t="s">
        <v>354</v>
      </c>
      <c r="H124" s="14" t="s">
        <v>1704</v>
      </c>
      <c r="I124" s="14" t="s">
        <v>1705</v>
      </c>
      <c r="J124" s="14" t="s">
        <v>57</v>
      </c>
      <c r="K124" s="22" t="s">
        <v>1668</v>
      </c>
      <c r="L124" s="14" t="s">
        <v>1706</v>
      </c>
      <c r="M124" s="14" t="s">
        <v>1707</v>
      </c>
      <c r="N124" s="14" t="s">
        <v>1708</v>
      </c>
      <c r="O124" s="14"/>
      <c r="P124" s="14" t="s">
        <v>1709</v>
      </c>
      <c r="Q124" s="14" t="s">
        <v>1710</v>
      </c>
      <c r="R124" s="14" t="s">
        <v>336</v>
      </c>
      <c r="S124" s="17" t="s">
        <v>107</v>
      </c>
      <c r="T124" s="20" t="s">
        <v>324</v>
      </c>
      <c r="U124" s="14" t="s">
        <v>1711</v>
      </c>
      <c r="V124" s="14" t="s">
        <v>109</v>
      </c>
      <c r="W124" s="18" t="s">
        <v>110</v>
      </c>
      <c r="X124" s="14" t="s">
        <v>1712</v>
      </c>
      <c r="Y124" s="14" t="s">
        <v>194</v>
      </c>
      <c r="Z124" s="14" t="s">
        <v>107</v>
      </c>
      <c r="AA124" s="14" t="s">
        <v>107</v>
      </c>
      <c r="AB124" s="14" t="s">
        <v>112</v>
      </c>
      <c r="AC124" s="14" t="s">
        <v>113</v>
      </c>
      <c r="AD124" s="14" t="s">
        <v>114</v>
      </c>
    </row>
    <row r="125" customFormat="false" ht="78" hidden="false" customHeight="true" outlineLevel="0" collapsed="false">
      <c r="A125" s="14" t="s">
        <v>1713</v>
      </c>
      <c r="B125" s="14" t="s">
        <v>44</v>
      </c>
      <c r="C125" s="14" t="s">
        <v>1714</v>
      </c>
      <c r="D125" s="14" t="s">
        <v>298</v>
      </c>
      <c r="E125" s="14" t="s">
        <v>1715</v>
      </c>
      <c r="F125" s="15" t="s">
        <v>1716</v>
      </c>
      <c r="G125" s="14" t="s">
        <v>1717</v>
      </c>
      <c r="H125" s="14" t="s">
        <v>1718</v>
      </c>
      <c r="I125" s="14" t="s">
        <v>1719</v>
      </c>
      <c r="J125" s="14" t="s">
        <v>57</v>
      </c>
      <c r="K125" s="22" t="s">
        <v>1668</v>
      </c>
      <c r="L125" s="14" t="s">
        <v>1720</v>
      </c>
      <c r="M125" s="14" t="s">
        <v>1721</v>
      </c>
      <c r="N125" s="14" t="s">
        <v>1722</v>
      </c>
      <c r="O125" s="14"/>
      <c r="P125" s="14" t="s">
        <v>1723</v>
      </c>
      <c r="Q125" s="14" t="s">
        <v>1724</v>
      </c>
      <c r="R125" s="14" t="s">
        <v>336</v>
      </c>
      <c r="S125" s="20" t="s">
        <v>324</v>
      </c>
      <c r="T125" s="20" t="s">
        <v>324</v>
      </c>
      <c r="U125" s="14" t="s">
        <v>1725</v>
      </c>
      <c r="V125" s="14" t="s">
        <v>109</v>
      </c>
      <c r="W125" s="18" t="s">
        <v>110</v>
      </c>
      <c r="X125" s="14" t="s">
        <v>1726</v>
      </c>
      <c r="Y125" s="14" t="s">
        <v>1668</v>
      </c>
      <c r="Z125" s="14" t="s">
        <v>107</v>
      </c>
      <c r="AA125" s="14" t="s">
        <v>107</v>
      </c>
      <c r="AB125" s="14" t="s">
        <v>112</v>
      </c>
      <c r="AC125" s="14" t="s">
        <v>113</v>
      </c>
      <c r="AD125" s="14" t="s">
        <v>114</v>
      </c>
    </row>
    <row r="126" customFormat="false" ht="78" hidden="false" customHeight="true" outlineLevel="0" collapsed="false">
      <c r="A126" s="14" t="s">
        <v>1727</v>
      </c>
      <c r="B126" s="14" t="s">
        <v>45</v>
      </c>
      <c r="C126" s="14" t="s">
        <v>1728</v>
      </c>
      <c r="D126" s="14" t="s">
        <v>298</v>
      </c>
      <c r="E126" s="14" t="s">
        <v>1729</v>
      </c>
      <c r="F126" s="15" t="s">
        <v>548</v>
      </c>
      <c r="G126" s="14" t="s">
        <v>1681</v>
      </c>
      <c r="H126" s="14" t="s">
        <v>1730</v>
      </c>
      <c r="I126" s="14" t="s">
        <v>1731</v>
      </c>
      <c r="J126" s="14" t="s">
        <v>400</v>
      </c>
      <c r="K126" s="22" t="s">
        <v>1668</v>
      </c>
      <c r="L126" s="14" t="s">
        <v>1732</v>
      </c>
      <c r="M126" s="14" t="s">
        <v>1733</v>
      </c>
      <c r="N126" s="14" t="s">
        <v>1734</v>
      </c>
      <c r="O126" s="14"/>
      <c r="P126" s="14" t="s">
        <v>1735</v>
      </c>
      <c r="Q126" s="14" t="s">
        <v>1736</v>
      </c>
      <c r="R126" s="14" t="s">
        <v>336</v>
      </c>
      <c r="S126" s="17" t="s">
        <v>107</v>
      </c>
      <c r="T126" s="17" t="s">
        <v>107</v>
      </c>
      <c r="U126" s="14" t="s">
        <v>1737</v>
      </c>
      <c r="V126" s="14" t="s">
        <v>109</v>
      </c>
      <c r="W126" s="18" t="s">
        <v>110</v>
      </c>
      <c r="X126" s="14" t="s">
        <v>1738</v>
      </c>
      <c r="Y126" s="14" t="s">
        <v>194</v>
      </c>
      <c r="Z126" s="14" t="s">
        <v>107</v>
      </c>
      <c r="AA126" s="14" t="s">
        <v>107</v>
      </c>
      <c r="AB126" s="14" t="s">
        <v>112</v>
      </c>
      <c r="AC126" s="14" t="s">
        <v>113</v>
      </c>
      <c r="AD126" s="14" t="s">
        <v>114</v>
      </c>
    </row>
    <row r="127" customFormat="false" ht="78" hidden="false" customHeight="true" outlineLevel="0" collapsed="false">
      <c r="A127" s="14" t="s">
        <v>1739</v>
      </c>
      <c r="B127" s="14" t="s">
        <v>44</v>
      </c>
      <c r="C127" s="14" t="s">
        <v>1740</v>
      </c>
      <c r="D127" s="14" t="s">
        <v>298</v>
      </c>
      <c r="E127" s="14" t="s">
        <v>1741</v>
      </c>
      <c r="F127" s="14"/>
      <c r="G127" s="14" t="s">
        <v>285</v>
      </c>
      <c r="H127" s="14" t="s">
        <v>1742</v>
      </c>
      <c r="I127" s="14" t="s">
        <v>1743</v>
      </c>
      <c r="J127" s="14" t="s">
        <v>53</v>
      </c>
      <c r="K127" s="22" t="s">
        <v>1668</v>
      </c>
      <c r="L127" s="14" t="s">
        <v>1744</v>
      </c>
      <c r="M127" s="14" t="s">
        <v>1745</v>
      </c>
      <c r="N127" s="14" t="s">
        <v>1746</v>
      </c>
      <c r="O127" s="14"/>
      <c r="P127" s="14" t="s">
        <v>1747</v>
      </c>
      <c r="Q127" s="14" t="s">
        <v>1748</v>
      </c>
      <c r="R127" s="14" t="s">
        <v>1749</v>
      </c>
      <c r="S127" s="17" t="s">
        <v>107</v>
      </c>
      <c r="T127" s="20" t="s">
        <v>324</v>
      </c>
      <c r="U127" s="14" t="s">
        <v>1750</v>
      </c>
      <c r="V127" s="14" t="s">
        <v>109</v>
      </c>
      <c r="W127" s="18" t="s">
        <v>110</v>
      </c>
      <c r="X127" s="14" t="s">
        <v>1751</v>
      </c>
      <c r="Y127" s="14" t="s">
        <v>194</v>
      </c>
      <c r="Z127" s="14" t="s">
        <v>107</v>
      </c>
      <c r="AA127" s="14" t="s">
        <v>107</v>
      </c>
      <c r="AB127" s="14" t="s">
        <v>112</v>
      </c>
      <c r="AC127" s="14" t="s">
        <v>113</v>
      </c>
      <c r="AD127" s="14" t="s">
        <v>114</v>
      </c>
    </row>
    <row r="128" customFormat="false" ht="78" hidden="false" customHeight="true" outlineLevel="0" collapsed="false">
      <c r="A128" s="14" t="s">
        <v>1752</v>
      </c>
      <c r="B128" s="14" t="s">
        <v>44</v>
      </c>
      <c r="C128" s="14" t="s">
        <v>1753</v>
      </c>
      <c r="D128" s="14" t="s">
        <v>298</v>
      </c>
      <c r="E128" s="14" t="s">
        <v>1754</v>
      </c>
      <c r="F128" s="15" t="s">
        <v>1755</v>
      </c>
      <c r="G128" s="14" t="s">
        <v>1756</v>
      </c>
      <c r="H128" s="14" t="s">
        <v>1757</v>
      </c>
      <c r="I128" s="14" t="s">
        <v>1758</v>
      </c>
      <c r="J128" s="14" t="s">
        <v>99</v>
      </c>
      <c r="K128" s="22" t="s">
        <v>1668</v>
      </c>
      <c r="L128" s="14" t="s">
        <v>1759</v>
      </c>
      <c r="M128" s="14" t="s">
        <v>1760</v>
      </c>
      <c r="N128" s="14" t="s">
        <v>1761</v>
      </c>
      <c r="O128" s="14"/>
      <c r="P128" s="14" t="s">
        <v>1762</v>
      </c>
      <c r="Q128" s="14" t="s">
        <v>1763</v>
      </c>
      <c r="R128" s="14" t="s">
        <v>456</v>
      </c>
      <c r="S128" s="17" t="s">
        <v>107</v>
      </c>
      <c r="T128" s="20" t="s">
        <v>324</v>
      </c>
      <c r="U128" s="14" t="s">
        <v>1764</v>
      </c>
      <c r="V128" s="14" t="s">
        <v>109</v>
      </c>
      <c r="W128" s="21" t="s">
        <v>429</v>
      </c>
      <c r="X128" s="14" t="s">
        <v>1765</v>
      </c>
      <c r="Y128" s="14" t="s">
        <v>194</v>
      </c>
      <c r="Z128" s="14" t="s">
        <v>107</v>
      </c>
      <c r="AA128" s="14" t="s">
        <v>107</v>
      </c>
      <c r="AB128" s="14" t="s">
        <v>112</v>
      </c>
      <c r="AC128" s="14" t="s">
        <v>113</v>
      </c>
      <c r="AD128" s="14" t="s">
        <v>114</v>
      </c>
    </row>
    <row r="129" customFormat="false" ht="78" hidden="false" customHeight="true" outlineLevel="0" collapsed="false">
      <c r="A129" s="14" t="s">
        <v>1766</v>
      </c>
      <c r="B129" s="14" t="s">
        <v>45</v>
      </c>
      <c r="C129" s="14" t="s">
        <v>1767</v>
      </c>
      <c r="D129" s="14" t="s">
        <v>298</v>
      </c>
      <c r="E129" s="14" t="s">
        <v>1612</v>
      </c>
      <c r="F129" s="15" t="s">
        <v>1768</v>
      </c>
      <c r="G129" s="14" t="s">
        <v>285</v>
      </c>
      <c r="H129" s="14" t="s">
        <v>1769</v>
      </c>
      <c r="I129" s="14" t="s">
        <v>1770</v>
      </c>
      <c r="J129" s="14" t="s">
        <v>56</v>
      </c>
      <c r="K129" s="22" t="s">
        <v>1668</v>
      </c>
      <c r="L129" s="14" t="s">
        <v>1771</v>
      </c>
      <c r="M129" s="14" t="s">
        <v>1772</v>
      </c>
      <c r="N129" s="14" t="s">
        <v>1773</v>
      </c>
      <c r="O129" s="14"/>
      <c r="P129" s="14" t="s">
        <v>1774</v>
      </c>
      <c r="Q129" s="14" t="s">
        <v>1775</v>
      </c>
      <c r="R129" s="14" t="s">
        <v>918</v>
      </c>
      <c r="S129" s="20" t="s">
        <v>324</v>
      </c>
      <c r="T129" s="17" t="s">
        <v>107</v>
      </c>
      <c r="U129" s="14" t="s">
        <v>1776</v>
      </c>
      <c r="V129" s="14" t="s">
        <v>109</v>
      </c>
      <c r="W129" s="18" t="s">
        <v>110</v>
      </c>
      <c r="X129" s="14" t="s">
        <v>1777</v>
      </c>
      <c r="Y129" s="14" t="s">
        <v>1668</v>
      </c>
      <c r="Z129" s="14" t="s">
        <v>107</v>
      </c>
      <c r="AA129" s="14" t="s">
        <v>107</v>
      </c>
      <c r="AB129" s="14" t="s">
        <v>921</v>
      </c>
      <c r="AC129" s="14" t="s">
        <v>113</v>
      </c>
      <c r="AD129" s="14" t="s">
        <v>114</v>
      </c>
    </row>
    <row r="130" customFormat="false" ht="78" hidden="false" customHeight="true" outlineLevel="0" collapsed="false">
      <c r="A130" s="14" t="s">
        <v>1778</v>
      </c>
      <c r="B130" s="14" t="s">
        <v>45</v>
      </c>
      <c r="C130" s="14" t="s">
        <v>1779</v>
      </c>
      <c r="D130" s="14" t="s">
        <v>298</v>
      </c>
      <c r="E130" s="14" t="s">
        <v>313</v>
      </c>
      <c r="F130" s="15" t="s">
        <v>314</v>
      </c>
      <c r="G130" s="14" t="s">
        <v>315</v>
      </c>
      <c r="H130" s="14" t="s">
        <v>1780</v>
      </c>
      <c r="I130" s="14" t="s">
        <v>1781</v>
      </c>
      <c r="J130" s="14" t="s">
        <v>505</v>
      </c>
      <c r="K130" s="22" t="s">
        <v>1668</v>
      </c>
      <c r="L130" s="14" t="s">
        <v>1782</v>
      </c>
      <c r="M130" s="14" t="s">
        <v>1783</v>
      </c>
      <c r="N130" s="14" t="s">
        <v>1784</v>
      </c>
      <c r="O130" s="14"/>
      <c r="P130" s="14" t="s">
        <v>1785</v>
      </c>
      <c r="Q130" s="14" t="s">
        <v>1786</v>
      </c>
      <c r="R130" s="14" t="s">
        <v>1787</v>
      </c>
      <c r="S130" s="20" t="s">
        <v>324</v>
      </c>
      <c r="T130" s="17" t="s">
        <v>107</v>
      </c>
      <c r="U130" s="14" t="s">
        <v>1788</v>
      </c>
      <c r="V130" s="14" t="s">
        <v>109</v>
      </c>
      <c r="W130" s="18" t="s">
        <v>110</v>
      </c>
      <c r="X130" s="14" t="s">
        <v>1789</v>
      </c>
      <c r="Y130" s="14" t="s">
        <v>1668</v>
      </c>
      <c r="Z130" s="14" t="s">
        <v>107</v>
      </c>
      <c r="AA130" s="14" t="s">
        <v>107</v>
      </c>
      <c r="AB130" s="14" t="s">
        <v>921</v>
      </c>
      <c r="AC130" s="14" t="s">
        <v>113</v>
      </c>
      <c r="AD130" s="14" t="s">
        <v>114</v>
      </c>
    </row>
    <row r="131" customFormat="false" ht="78" hidden="false" customHeight="true" outlineLevel="0" collapsed="false">
      <c r="A131" s="14" t="s">
        <v>1790</v>
      </c>
      <c r="B131" s="14" t="s">
        <v>45</v>
      </c>
      <c r="C131" s="14" t="s">
        <v>1791</v>
      </c>
      <c r="D131" s="14" t="s">
        <v>298</v>
      </c>
      <c r="E131" s="14" t="s">
        <v>1792</v>
      </c>
      <c r="F131" s="15" t="s">
        <v>1793</v>
      </c>
      <c r="G131" s="14" t="s">
        <v>285</v>
      </c>
      <c r="H131" s="14" t="s">
        <v>1794</v>
      </c>
      <c r="I131" s="14" t="s">
        <v>1795</v>
      </c>
      <c r="J131" s="14" t="s">
        <v>536</v>
      </c>
      <c r="K131" s="22" t="s">
        <v>1668</v>
      </c>
      <c r="L131" s="14" t="s">
        <v>1796</v>
      </c>
      <c r="M131" s="14" t="s">
        <v>1797</v>
      </c>
      <c r="N131" s="14" t="s">
        <v>1798</v>
      </c>
      <c r="O131" s="14"/>
      <c r="P131" s="14" t="s">
        <v>1799</v>
      </c>
      <c r="Q131" s="14" t="s">
        <v>1800</v>
      </c>
      <c r="R131" s="14" t="s">
        <v>1801</v>
      </c>
      <c r="S131" s="20" t="s">
        <v>324</v>
      </c>
      <c r="T131" s="17" t="s">
        <v>107</v>
      </c>
      <c r="U131" s="14" t="s">
        <v>1802</v>
      </c>
      <c r="V131" s="14" t="s">
        <v>109</v>
      </c>
      <c r="W131" s="21" t="s">
        <v>429</v>
      </c>
      <c r="X131" s="14" t="s">
        <v>1803</v>
      </c>
      <c r="Y131" s="14" t="s">
        <v>1668</v>
      </c>
      <c r="Z131" s="14" t="s">
        <v>107</v>
      </c>
      <c r="AA131" s="14" t="s">
        <v>107</v>
      </c>
      <c r="AB131" s="14" t="s">
        <v>921</v>
      </c>
      <c r="AC131" s="14" t="s">
        <v>113</v>
      </c>
      <c r="AD131" s="14" t="s">
        <v>114</v>
      </c>
    </row>
    <row r="132" customFormat="false" ht="78" hidden="false" customHeight="true" outlineLevel="0" collapsed="false">
      <c r="A132" s="14" t="s">
        <v>1804</v>
      </c>
      <c r="B132" s="14" t="s">
        <v>45</v>
      </c>
      <c r="C132" s="14" t="s">
        <v>1805</v>
      </c>
      <c r="D132" s="14" t="s">
        <v>298</v>
      </c>
      <c r="E132" s="14" t="s">
        <v>1806</v>
      </c>
      <c r="F132" s="15" t="s">
        <v>1807</v>
      </c>
      <c r="G132" s="14" t="s">
        <v>285</v>
      </c>
      <c r="H132" s="14" t="s">
        <v>1808</v>
      </c>
      <c r="I132" s="14" t="s">
        <v>1809</v>
      </c>
      <c r="J132" s="14" t="s">
        <v>53</v>
      </c>
      <c r="K132" s="22" t="s">
        <v>1668</v>
      </c>
      <c r="L132" s="14" t="s">
        <v>1810</v>
      </c>
      <c r="M132" s="14" t="s">
        <v>1811</v>
      </c>
      <c r="N132" s="14" t="s">
        <v>1812</v>
      </c>
      <c r="O132" s="14"/>
      <c r="P132" s="14" t="s">
        <v>1813</v>
      </c>
      <c r="Q132" s="14" t="s">
        <v>1814</v>
      </c>
      <c r="R132" s="14" t="s">
        <v>918</v>
      </c>
      <c r="S132" s="20" t="s">
        <v>324</v>
      </c>
      <c r="T132" s="17" t="s">
        <v>107</v>
      </c>
      <c r="U132" s="14" t="s">
        <v>1815</v>
      </c>
      <c r="V132" s="14" t="s">
        <v>109</v>
      </c>
      <c r="W132" s="18" t="s">
        <v>110</v>
      </c>
      <c r="X132" s="14" t="s">
        <v>1816</v>
      </c>
      <c r="Y132" s="14" t="s">
        <v>1668</v>
      </c>
      <c r="Z132" s="14" t="s">
        <v>946</v>
      </c>
      <c r="AA132" s="14" t="s">
        <v>107</v>
      </c>
      <c r="AB132" s="14" t="s">
        <v>921</v>
      </c>
      <c r="AC132" s="14" t="s">
        <v>113</v>
      </c>
      <c r="AD132" s="14" t="s">
        <v>114</v>
      </c>
    </row>
    <row r="133" customFormat="false" ht="78" hidden="false" customHeight="true" outlineLevel="0" collapsed="false">
      <c r="A133" s="14" t="s">
        <v>1817</v>
      </c>
      <c r="B133" s="14" t="s">
        <v>45</v>
      </c>
      <c r="C133" s="14" t="s">
        <v>1818</v>
      </c>
      <c r="D133" s="14" t="s">
        <v>298</v>
      </c>
      <c r="E133" s="14" t="s">
        <v>1819</v>
      </c>
      <c r="F133" s="15" t="s">
        <v>1680</v>
      </c>
      <c r="G133" s="14" t="s">
        <v>1542</v>
      </c>
      <c r="H133" s="14" t="s">
        <v>1820</v>
      </c>
      <c r="I133" s="14" t="s">
        <v>1821</v>
      </c>
      <c r="J133" s="14" t="s">
        <v>55</v>
      </c>
      <c r="K133" s="22" t="s">
        <v>1668</v>
      </c>
      <c r="L133" s="14" t="s">
        <v>1822</v>
      </c>
      <c r="M133" s="14" t="s">
        <v>1823</v>
      </c>
      <c r="N133" s="14" t="s">
        <v>1824</v>
      </c>
      <c r="O133" s="14"/>
      <c r="P133" s="14" t="s">
        <v>1825</v>
      </c>
      <c r="Q133" s="14" t="s">
        <v>1826</v>
      </c>
      <c r="R133" s="14" t="s">
        <v>1827</v>
      </c>
      <c r="S133" s="20" t="s">
        <v>324</v>
      </c>
      <c r="T133" s="20" t="s">
        <v>324</v>
      </c>
      <c r="U133" s="14" t="s">
        <v>1828</v>
      </c>
      <c r="V133" s="14" t="s">
        <v>109</v>
      </c>
      <c r="W133" s="18" t="s">
        <v>110</v>
      </c>
      <c r="X133" s="14" t="s">
        <v>1829</v>
      </c>
      <c r="Y133" s="14" t="s">
        <v>1668</v>
      </c>
      <c r="Z133" s="14" t="s">
        <v>107</v>
      </c>
      <c r="AA133" s="14" t="s">
        <v>107</v>
      </c>
      <c r="AB133" s="14" t="s">
        <v>921</v>
      </c>
      <c r="AC133" s="14" t="s">
        <v>113</v>
      </c>
      <c r="AD133" s="14" t="s">
        <v>114</v>
      </c>
    </row>
    <row r="134" customFormat="false" ht="78" hidden="false" customHeight="true" outlineLevel="0" collapsed="false">
      <c r="A134" s="14" t="s">
        <v>1830</v>
      </c>
      <c r="B134" s="14" t="s">
        <v>43</v>
      </c>
      <c r="C134" s="14" t="s">
        <v>1831</v>
      </c>
      <c r="D134" s="14" t="s">
        <v>298</v>
      </c>
      <c r="E134" s="14" t="s">
        <v>1715</v>
      </c>
      <c r="F134" s="15" t="s">
        <v>1716</v>
      </c>
      <c r="G134" s="14" t="s">
        <v>1717</v>
      </c>
      <c r="H134" s="14" t="s">
        <v>1832</v>
      </c>
      <c r="I134" s="14" t="s">
        <v>1833</v>
      </c>
      <c r="J134" s="14" t="s">
        <v>50</v>
      </c>
      <c r="K134" s="22" t="s">
        <v>1668</v>
      </c>
      <c r="L134" s="14" t="s">
        <v>1834</v>
      </c>
      <c r="M134" s="14" t="s">
        <v>1835</v>
      </c>
      <c r="N134" s="14" t="s">
        <v>1836</v>
      </c>
      <c r="O134" s="14"/>
      <c r="P134" s="14" t="s">
        <v>1837</v>
      </c>
      <c r="Q134" s="14" t="s">
        <v>1838</v>
      </c>
      <c r="R134" s="14" t="s">
        <v>336</v>
      </c>
      <c r="S134" s="17" t="s">
        <v>107</v>
      </c>
      <c r="T134" s="17" t="s">
        <v>107</v>
      </c>
      <c r="U134" s="14" t="s">
        <v>1839</v>
      </c>
      <c r="V134" s="14" t="s">
        <v>109</v>
      </c>
      <c r="W134" s="18" t="s">
        <v>110</v>
      </c>
      <c r="X134" s="14" t="s">
        <v>1840</v>
      </c>
      <c r="Y134" s="14" t="s">
        <v>194</v>
      </c>
      <c r="Z134" s="14" t="s">
        <v>107</v>
      </c>
      <c r="AA134" s="14" t="s">
        <v>107</v>
      </c>
      <c r="AB134" s="14" t="s">
        <v>131</v>
      </c>
      <c r="AC134" s="14" t="s">
        <v>113</v>
      </c>
      <c r="AD134" s="14" t="s">
        <v>114</v>
      </c>
    </row>
    <row r="135" customFormat="false" ht="78" hidden="false" customHeight="true" outlineLevel="0" collapsed="false">
      <c r="A135" s="14" t="s">
        <v>1841</v>
      </c>
      <c r="B135" s="14" t="s">
        <v>43</v>
      </c>
      <c r="C135" s="14" t="s">
        <v>1842</v>
      </c>
      <c r="D135" s="14" t="s">
        <v>298</v>
      </c>
      <c r="E135" s="14" t="s">
        <v>1843</v>
      </c>
      <c r="F135" s="15" t="s">
        <v>353</v>
      </c>
      <c r="G135" s="14" t="s">
        <v>354</v>
      </c>
      <c r="H135" s="14" t="s">
        <v>1844</v>
      </c>
      <c r="I135" s="14" t="s">
        <v>1845</v>
      </c>
      <c r="J135" s="14" t="s">
        <v>54</v>
      </c>
      <c r="K135" s="22" t="s">
        <v>1668</v>
      </c>
      <c r="L135" s="14" t="s">
        <v>1846</v>
      </c>
      <c r="M135" s="14" t="s">
        <v>1847</v>
      </c>
      <c r="N135" s="14" t="s">
        <v>1848</v>
      </c>
      <c r="O135" s="14"/>
      <c r="P135" s="14" t="s">
        <v>1849</v>
      </c>
      <c r="Q135" s="14" t="s">
        <v>1850</v>
      </c>
      <c r="R135" s="14" t="s">
        <v>1749</v>
      </c>
      <c r="S135" s="20" t="s">
        <v>324</v>
      </c>
      <c r="T135" s="20" t="s">
        <v>324</v>
      </c>
      <c r="U135" s="14" t="s">
        <v>1851</v>
      </c>
      <c r="V135" s="14" t="s">
        <v>109</v>
      </c>
      <c r="W135" s="18" t="s">
        <v>110</v>
      </c>
      <c r="X135" s="14" t="s">
        <v>1852</v>
      </c>
      <c r="Y135" s="14" t="s">
        <v>1668</v>
      </c>
      <c r="Z135" s="14" t="s">
        <v>946</v>
      </c>
      <c r="AA135" s="14" t="s">
        <v>107</v>
      </c>
      <c r="AB135" s="14" t="s">
        <v>131</v>
      </c>
      <c r="AC135" s="14" t="s">
        <v>560</v>
      </c>
      <c r="AD135" s="14" t="s">
        <v>561</v>
      </c>
    </row>
    <row r="136" customFormat="false" ht="78" hidden="false" customHeight="true" outlineLevel="0" collapsed="false">
      <c r="A136" s="14" t="s">
        <v>1853</v>
      </c>
      <c r="B136" s="14" t="s">
        <v>44</v>
      </c>
      <c r="C136" s="14" t="s">
        <v>1854</v>
      </c>
      <c r="D136" s="14" t="s">
        <v>38</v>
      </c>
      <c r="E136" s="14" t="s">
        <v>1855</v>
      </c>
      <c r="F136" s="15" t="s">
        <v>1856</v>
      </c>
      <c r="G136" s="14" t="s">
        <v>1857</v>
      </c>
      <c r="H136" s="14" t="s">
        <v>1858</v>
      </c>
      <c r="I136" s="14" t="s">
        <v>1859</v>
      </c>
      <c r="J136" s="14" t="s">
        <v>536</v>
      </c>
      <c r="K136" s="22" t="s">
        <v>1668</v>
      </c>
      <c r="L136" s="14" t="s">
        <v>1860</v>
      </c>
      <c r="M136" s="14" t="s">
        <v>1861</v>
      </c>
      <c r="N136" s="14" t="s">
        <v>1862</v>
      </c>
      <c r="O136" s="14"/>
      <c r="P136" s="14" t="s">
        <v>1863</v>
      </c>
      <c r="Q136" s="14" t="s">
        <v>1864</v>
      </c>
      <c r="R136" s="14" t="s">
        <v>376</v>
      </c>
      <c r="S136" s="20" t="s">
        <v>324</v>
      </c>
      <c r="T136" s="17" t="s">
        <v>107</v>
      </c>
      <c r="U136" s="14" t="s">
        <v>1865</v>
      </c>
      <c r="V136" s="14" t="s">
        <v>109</v>
      </c>
      <c r="W136" s="18" t="s">
        <v>110</v>
      </c>
      <c r="X136" s="14" t="s">
        <v>1866</v>
      </c>
      <c r="Y136" s="14" t="s">
        <v>1668</v>
      </c>
      <c r="Z136" s="14" t="s">
        <v>107</v>
      </c>
      <c r="AA136" s="14" t="s">
        <v>107</v>
      </c>
      <c r="AB136" s="14" t="s">
        <v>112</v>
      </c>
      <c r="AC136" s="14" t="s">
        <v>113</v>
      </c>
      <c r="AD136" s="14" t="s">
        <v>114</v>
      </c>
    </row>
    <row r="137" customFormat="false" ht="78" hidden="false" customHeight="true" outlineLevel="0" collapsed="false">
      <c r="A137" s="14" t="s">
        <v>1867</v>
      </c>
      <c r="B137" s="14" t="s">
        <v>44</v>
      </c>
      <c r="C137" s="14" t="s">
        <v>1868</v>
      </c>
      <c r="D137" s="14" t="s">
        <v>38</v>
      </c>
      <c r="E137" s="14" t="s">
        <v>1869</v>
      </c>
      <c r="F137" s="14"/>
      <c r="G137" s="14" t="s">
        <v>533</v>
      </c>
      <c r="H137" s="14" t="s">
        <v>1870</v>
      </c>
      <c r="I137" s="14" t="s">
        <v>1871</v>
      </c>
      <c r="J137" s="14" t="s">
        <v>53</v>
      </c>
      <c r="K137" s="22" t="s">
        <v>1668</v>
      </c>
      <c r="L137" s="14" t="s">
        <v>1872</v>
      </c>
      <c r="M137" s="14" t="s">
        <v>1873</v>
      </c>
      <c r="N137" s="14" t="s">
        <v>1874</v>
      </c>
      <c r="O137" s="14"/>
      <c r="P137" s="14" t="s">
        <v>1875</v>
      </c>
      <c r="Q137" s="14" t="s">
        <v>1876</v>
      </c>
      <c r="R137" s="14" t="s">
        <v>1877</v>
      </c>
      <c r="S137" s="17" t="s">
        <v>107</v>
      </c>
      <c r="T137" s="17" t="s">
        <v>107</v>
      </c>
      <c r="U137" s="14" t="s">
        <v>1878</v>
      </c>
      <c r="V137" s="14" t="s">
        <v>109</v>
      </c>
      <c r="W137" s="18" t="s">
        <v>110</v>
      </c>
      <c r="X137" s="14" t="s">
        <v>1879</v>
      </c>
      <c r="Y137" s="14" t="s">
        <v>194</v>
      </c>
      <c r="Z137" s="14" t="s">
        <v>107</v>
      </c>
      <c r="AA137" s="14" t="s">
        <v>107</v>
      </c>
      <c r="AB137" s="14" t="s">
        <v>112</v>
      </c>
      <c r="AC137" s="14" t="s">
        <v>1314</v>
      </c>
      <c r="AD137" s="14" t="s">
        <v>1315</v>
      </c>
    </row>
    <row r="138" customFormat="false" ht="78" hidden="false" customHeight="true" outlineLevel="0" collapsed="false">
      <c r="A138" s="14" t="s">
        <v>1880</v>
      </c>
      <c r="B138" s="14" t="s">
        <v>44</v>
      </c>
      <c r="C138" s="14" t="s">
        <v>1881</v>
      </c>
      <c r="D138" s="14" t="s">
        <v>38</v>
      </c>
      <c r="E138" s="14" t="s">
        <v>1452</v>
      </c>
      <c r="F138" s="15" t="s">
        <v>1453</v>
      </c>
      <c r="G138" s="14" t="s">
        <v>285</v>
      </c>
      <c r="H138" s="14" t="s">
        <v>1882</v>
      </c>
      <c r="I138" s="14" t="s">
        <v>1883</v>
      </c>
      <c r="J138" s="14" t="s">
        <v>53</v>
      </c>
      <c r="K138" s="22" t="s">
        <v>1668</v>
      </c>
      <c r="L138" s="14" t="s">
        <v>1884</v>
      </c>
      <c r="M138" s="14" t="s">
        <v>1885</v>
      </c>
      <c r="N138" s="14" t="s">
        <v>1886</v>
      </c>
      <c r="O138" s="14"/>
      <c r="P138" s="14" t="s">
        <v>1887</v>
      </c>
      <c r="Q138" s="14" t="s">
        <v>1888</v>
      </c>
      <c r="R138" s="14" t="s">
        <v>376</v>
      </c>
      <c r="S138" s="17" t="s">
        <v>107</v>
      </c>
      <c r="T138" s="17" t="s">
        <v>107</v>
      </c>
      <c r="U138" s="14" t="s">
        <v>1889</v>
      </c>
      <c r="V138" s="14" t="s">
        <v>109</v>
      </c>
      <c r="W138" s="21" t="s">
        <v>429</v>
      </c>
      <c r="X138" s="14" t="s">
        <v>1890</v>
      </c>
      <c r="Y138" s="14" t="s">
        <v>194</v>
      </c>
      <c r="Z138" s="14" t="s">
        <v>107</v>
      </c>
      <c r="AA138" s="14" t="s">
        <v>107</v>
      </c>
      <c r="AB138" s="14" t="s">
        <v>112</v>
      </c>
      <c r="AC138" s="14" t="s">
        <v>113</v>
      </c>
      <c r="AD138" s="14" t="s">
        <v>114</v>
      </c>
    </row>
    <row r="139" customFormat="false" ht="78" hidden="false" customHeight="true" outlineLevel="0" collapsed="false">
      <c r="A139" s="14" t="s">
        <v>1891</v>
      </c>
      <c r="B139" s="14" t="s">
        <v>44</v>
      </c>
      <c r="C139" s="14" t="s">
        <v>1892</v>
      </c>
      <c r="D139" s="14" t="s">
        <v>38</v>
      </c>
      <c r="E139" s="14" t="s">
        <v>1893</v>
      </c>
      <c r="F139" s="15" t="s">
        <v>1894</v>
      </c>
      <c r="G139" s="14" t="s">
        <v>1895</v>
      </c>
      <c r="H139" s="14" t="s">
        <v>1896</v>
      </c>
      <c r="I139" s="14" t="s">
        <v>1897</v>
      </c>
      <c r="J139" s="14" t="s">
        <v>57</v>
      </c>
      <c r="K139" s="22" t="s">
        <v>1668</v>
      </c>
      <c r="L139" s="14" t="s">
        <v>1898</v>
      </c>
      <c r="M139" s="14" t="s">
        <v>1899</v>
      </c>
      <c r="N139" s="14" t="s">
        <v>1900</v>
      </c>
      <c r="O139" s="14"/>
      <c r="P139" s="14" t="s">
        <v>1901</v>
      </c>
      <c r="Q139" s="14" t="s">
        <v>1902</v>
      </c>
      <c r="R139" s="14" t="s">
        <v>1674</v>
      </c>
      <c r="S139" s="17" t="s">
        <v>107</v>
      </c>
      <c r="T139" s="20" t="s">
        <v>324</v>
      </c>
      <c r="U139" s="14" t="s">
        <v>1903</v>
      </c>
      <c r="V139" s="14" t="s">
        <v>109</v>
      </c>
      <c r="W139" s="18" t="s">
        <v>110</v>
      </c>
      <c r="X139" s="14" t="s">
        <v>1904</v>
      </c>
      <c r="Y139" s="14" t="s">
        <v>194</v>
      </c>
      <c r="Z139" s="14" t="s">
        <v>107</v>
      </c>
      <c r="AA139" s="14" t="s">
        <v>107</v>
      </c>
      <c r="AB139" s="14" t="s">
        <v>112</v>
      </c>
      <c r="AC139" s="14" t="s">
        <v>113</v>
      </c>
      <c r="AD139" s="14" t="s">
        <v>114</v>
      </c>
    </row>
    <row r="140" customFormat="false" ht="78" hidden="false" customHeight="true" outlineLevel="0" collapsed="false">
      <c r="A140" s="14" t="s">
        <v>1905</v>
      </c>
      <c r="B140" s="14" t="s">
        <v>45</v>
      </c>
      <c r="C140" s="14" t="s">
        <v>1906</v>
      </c>
      <c r="D140" s="14" t="s">
        <v>38</v>
      </c>
      <c r="E140" s="14" t="s">
        <v>1907</v>
      </c>
      <c r="F140" s="15" t="s">
        <v>396</v>
      </c>
      <c r="G140" s="14" t="s">
        <v>397</v>
      </c>
      <c r="H140" s="14" t="s">
        <v>1908</v>
      </c>
      <c r="I140" s="14" t="s">
        <v>1909</v>
      </c>
      <c r="J140" s="14" t="s">
        <v>505</v>
      </c>
      <c r="K140" s="22" t="s">
        <v>1668</v>
      </c>
      <c r="L140" s="14" t="s">
        <v>1910</v>
      </c>
      <c r="M140" s="14" t="s">
        <v>1911</v>
      </c>
      <c r="N140" s="14" t="s">
        <v>1912</v>
      </c>
      <c r="O140" s="14"/>
      <c r="P140" s="14" t="s">
        <v>1913</v>
      </c>
      <c r="Q140" s="14" t="s">
        <v>1914</v>
      </c>
      <c r="R140" s="14" t="s">
        <v>1915</v>
      </c>
      <c r="S140" s="20" t="s">
        <v>324</v>
      </c>
      <c r="T140" s="17" t="s">
        <v>107</v>
      </c>
      <c r="U140" s="14" t="s">
        <v>1916</v>
      </c>
      <c r="V140" s="14" t="s">
        <v>109</v>
      </c>
      <c r="W140" s="18" t="s">
        <v>110</v>
      </c>
      <c r="X140" s="14" t="s">
        <v>1917</v>
      </c>
      <c r="Y140" s="14" t="s">
        <v>1668</v>
      </c>
      <c r="Z140" s="14" t="s">
        <v>107</v>
      </c>
      <c r="AA140" s="14" t="s">
        <v>107</v>
      </c>
      <c r="AB140" s="14" t="s">
        <v>921</v>
      </c>
      <c r="AC140" s="14" t="s">
        <v>113</v>
      </c>
      <c r="AD140" s="14" t="s">
        <v>114</v>
      </c>
    </row>
    <row r="141" customFormat="false" ht="78" hidden="false" customHeight="true" outlineLevel="0" collapsed="false">
      <c r="A141" s="14" t="s">
        <v>1918</v>
      </c>
      <c r="B141" s="14" t="s">
        <v>45</v>
      </c>
      <c r="C141" s="14" t="s">
        <v>1919</v>
      </c>
      <c r="D141" s="14" t="s">
        <v>38</v>
      </c>
      <c r="E141" s="14" t="s">
        <v>366</v>
      </c>
      <c r="F141" s="15" t="s">
        <v>367</v>
      </c>
      <c r="G141" s="14" t="s">
        <v>368</v>
      </c>
      <c r="H141" s="14" t="s">
        <v>1920</v>
      </c>
      <c r="I141" s="14" t="s">
        <v>1921</v>
      </c>
      <c r="J141" s="14" t="s">
        <v>52</v>
      </c>
      <c r="K141" s="22" t="s">
        <v>1668</v>
      </c>
      <c r="L141" s="14" t="s">
        <v>1922</v>
      </c>
      <c r="M141" s="14" t="s">
        <v>1923</v>
      </c>
      <c r="N141" s="14" t="s">
        <v>1924</v>
      </c>
      <c r="O141" s="14"/>
      <c r="P141" s="14" t="s">
        <v>1925</v>
      </c>
      <c r="Q141" s="14" t="s">
        <v>1926</v>
      </c>
      <c r="R141" s="14" t="s">
        <v>1915</v>
      </c>
      <c r="S141" s="20" t="s">
        <v>324</v>
      </c>
      <c r="T141" s="17" t="s">
        <v>107</v>
      </c>
      <c r="U141" s="14" t="s">
        <v>1927</v>
      </c>
      <c r="V141" s="14" t="s">
        <v>109</v>
      </c>
      <c r="W141" s="18" t="s">
        <v>110</v>
      </c>
      <c r="X141" s="14" t="s">
        <v>1928</v>
      </c>
      <c r="Y141" s="14" t="s">
        <v>1668</v>
      </c>
      <c r="Z141" s="14" t="s">
        <v>107</v>
      </c>
      <c r="AA141" s="14" t="s">
        <v>107</v>
      </c>
      <c r="AB141" s="14" t="s">
        <v>921</v>
      </c>
      <c r="AC141" s="14" t="s">
        <v>113</v>
      </c>
      <c r="AD141" s="14" t="s">
        <v>114</v>
      </c>
    </row>
    <row r="142" customFormat="false" ht="78" hidden="false" customHeight="true" outlineLevel="0" collapsed="false">
      <c r="A142" s="14" t="s">
        <v>1929</v>
      </c>
      <c r="B142" s="14" t="s">
        <v>45</v>
      </c>
      <c r="C142" s="14" t="s">
        <v>1930</v>
      </c>
      <c r="D142" s="14" t="s">
        <v>38</v>
      </c>
      <c r="E142" s="14" t="s">
        <v>1931</v>
      </c>
      <c r="F142" s="15" t="s">
        <v>1614</v>
      </c>
      <c r="G142" s="14" t="s">
        <v>1932</v>
      </c>
      <c r="H142" s="14" t="s">
        <v>1933</v>
      </c>
      <c r="I142" s="14" t="s">
        <v>1934</v>
      </c>
      <c r="J142" s="14" t="s">
        <v>56</v>
      </c>
      <c r="K142" s="22" t="s">
        <v>1668</v>
      </c>
      <c r="L142" s="14" t="s">
        <v>1935</v>
      </c>
      <c r="M142" s="14" t="s">
        <v>1936</v>
      </c>
      <c r="N142" s="14" t="s">
        <v>1937</v>
      </c>
      <c r="O142" s="14"/>
      <c r="P142" s="14" t="s">
        <v>1938</v>
      </c>
      <c r="Q142" s="14" t="s">
        <v>1939</v>
      </c>
      <c r="R142" s="14" t="s">
        <v>918</v>
      </c>
      <c r="S142" s="20" t="s">
        <v>324</v>
      </c>
      <c r="T142" s="17" t="s">
        <v>107</v>
      </c>
      <c r="U142" s="14" t="s">
        <v>1940</v>
      </c>
      <c r="V142" s="14" t="s">
        <v>109</v>
      </c>
      <c r="W142" s="18" t="s">
        <v>110</v>
      </c>
      <c r="X142" s="14" t="s">
        <v>1941</v>
      </c>
      <c r="Y142" s="14" t="s">
        <v>1668</v>
      </c>
      <c r="Z142" s="14" t="s">
        <v>107</v>
      </c>
      <c r="AA142" s="14" t="s">
        <v>107</v>
      </c>
      <c r="AB142" s="14" t="s">
        <v>921</v>
      </c>
      <c r="AC142" s="14" t="s">
        <v>113</v>
      </c>
      <c r="AD142" s="14" t="s">
        <v>114</v>
      </c>
    </row>
    <row r="143" customFormat="false" ht="78" hidden="false" customHeight="true" outlineLevel="0" collapsed="false">
      <c r="A143" s="14" t="s">
        <v>1942</v>
      </c>
      <c r="B143" s="14" t="s">
        <v>43</v>
      </c>
      <c r="C143" s="14" t="s">
        <v>1943</v>
      </c>
      <c r="D143" s="14" t="s">
        <v>38</v>
      </c>
      <c r="E143" s="14" t="s">
        <v>1944</v>
      </c>
      <c r="F143" s="15" t="s">
        <v>1945</v>
      </c>
      <c r="G143" s="14" t="s">
        <v>285</v>
      </c>
      <c r="H143" s="14" t="s">
        <v>1946</v>
      </c>
      <c r="I143" s="14" t="s">
        <v>1947</v>
      </c>
      <c r="J143" s="14" t="s">
        <v>54</v>
      </c>
      <c r="K143" s="22" t="s">
        <v>1668</v>
      </c>
      <c r="L143" s="14" t="s">
        <v>1948</v>
      </c>
      <c r="M143" s="14" t="s">
        <v>1949</v>
      </c>
      <c r="N143" s="14" t="s">
        <v>1950</v>
      </c>
      <c r="O143" s="14"/>
      <c r="P143" s="14" t="s">
        <v>1951</v>
      </c>
      <c r="Q143" s="14" t="s">
        <v>1952</v>
      </c>
      <c r="R143" s="14" t="s">
        <v>376</v>
      </c>
      <c r="S143" s="20" t="s">
        <v>324</v>
      </c>
      <c r="T143" s="20" t="s">
        <v>324</v>
      </c>
      <c r="U143" s="14" t="s">
        <v>1953</v>
      </c>
      <c r="V143" s="14" t="s">
        <v>109</v>
      </c>
      <c r="W143" s="18" t="s">
        <v>110</v>
      </c>
      <c r="X143" s="14" t="s">
        <v>1954</v>
      </c>
      <c r="Y143" s="14" t="s">
        <v>1668</v>
      </c>
      <c r="Z143" s="14" t="s">
        <v>107</v>
      </c>
      <c r="AA143" s="14" t="s">
        <v>107</v>
      </c>
      <c r="AB143" s="14" t="s">
        <v>131</v>
      </c>
      <c r="AC143" s="14" t="s">
        <v>560</v>
      </c>
      <c r="AD143" s="14" t="s">
        <v>561</v>
      </c>
    </row>
    <row r="144" customFormat="false" ht="78" hidden="false" customHeight="true" outlineLevel="0" collapsed="false">
      <c r="A144" s="14" t="s">
        <v>1955</v>
      </c>
      <c r="B144" s="14" t="s">
        <v>43</v>
      </c>
      <c r="C144" s="14" t="s">
        <v>1956</v>
      </c>
      <c r="D144" s="14" t="s">
        <v>38</v>
      </c>
      <c r="E144" s="14" t="s">
        <v>1957</v>
      </c>
      <c r="F144" s="15" t="s">
        <v>1945</v>
      </c>
      <c r="G144" s="14" t="s">
        <v>285</v>
      </c>
      <c r="H144" s="14" t="s">
        <v>1958</v>
      </c>
      <c r="I144" s="14" t="s">
        <v>1959</v>
      </c>
      <c r="J144" s="14" t="s">
        <v>55</v>
      </c>
      <c r="K144" s="22" t="s">
        <v>1668</v>
      </c>
      <c r="L144" s="14" t="s">
        <v>1960</v>
      </c>
      <c r="M144" s="14" t="s">
        <v>1961</v>
      </c>
      <c r="N144" s="14" t="s">
        <v>1962</v>
      </c>
      <c r="O144" s="14"/>
      <c r="P144" s="14" t="s">
        <v>1963</v>
      </c>
      <c r="Q144" s="14" t="s">
        <v>1964</v>
      </c>
      <c r="R144" s="14" t="s">
        <v>376</v>
      </c>
      <c r="S144" s="20" t="s">
        <v>324</v>
      </c>
      <c r="T144" s="20" t="s">
        <v>324</v>
      </c>
      <c r="U144" s="14" t="s">
        <v>1965</v>
      </c>
      <c r="V144" s="14" t="s">
        <v>109</v>
      </c>
      <c r="W144" s="18" t="s">
        <v>110</v>
      </c>
      <c r="X144" s="14" t="s">
        <v>1966</v>
      </c>
      <c r="Y144" s="14" t="s">
        <v>1668</v>
      </c>
      <c r="Z144" s="14" t="s">
        <v>107</v>
      </c>
      <c r="AA144" s="14" t="s">
        <v>107</v>
      </c>
      <c r="AB144" s="14" t="s">
        <v>131</v>
      </c>
      <c r="AC144" s="14" t="s">
        <v>113</v>
      </c>
      <c r="AD144" s="14" t="s">
        <v>114</v>
      </c>
    </row>
    <row r="145" customFormat="false" ht="78" hidden="false" customHeight="true" outlineLevel="0" collapsed="false">
      <c r="A145" s="14" t="s">
        <v>1967</v>
      </c>
      <c r="B145" s="14" t="s">
        <v>43</v>
      </c>
      <c r="C145" s="14" t="s">
        <v>1968</v>
      </c>
      <c r="D145" s="14" t="s">
        <v>38</v>
      </c>
      <c r="E145" s="14" t="s">
        <v>1969</v>
      </c>
      <c r="F145" s="15" t="s">
        <v>1970</v>
      </c>
      <c r="G145" s="14" t="s">
        <v>383</v>
      </c>
      <c r="H145" s="14" t="s">
        <v>1971</v>
      </c>
      <c r="I145" s="14" t="s">
        <v>1972</v>
      </c>
      <c r="J145" s="14" t="s">
        <v>505</v>
      </c>
      <c r="K145" s="22" t="s">
        <v>1668</v>
      </c>
      <c r="L145" s="14" t="s">
        <v>1973</v>
      </c>
      <c r="M145" s="14" t="s">
        <v>1974</v>
      </c>
      <c r="N145" s="14" t="s">
        <v>1975</v>
      </c>
      <c r="O145" s="14"/>
      <c r="P145" s="14" t="s">
        <v>1976</v>
      </c>
      <c r="Q145" s="14" t="s">
        <v>1977</v>
      </c>
      <c r="R145" s="14" t="s">
        <v>511</v>
      </c>
      <c r="S145" s="20" t="s">
        <v>324</v>
      </c>
      <c r="T145" s="17" t="s">
        <v>107</v>
      </c>
      <c r="U145" s="14" t="s">
        <v>1978</v>
      </c>
      <c r="V145" s="14" t="s">
        <v>109</v>
      </c>
      <c r="W145" s="18" t="s">
        <v>110</v>
      </c>
      <c r="X145" s="14" t="s">
        <v>1979</v>
      </c>
      <c r="Y145" s="14" t="s">
        <v>1668</v>
      </c>
      <c r="Z145" s="14" t="s">
        <v>107</v>
      </c>
      <c r="AA145" s="14" t="s">
        <v>107</v>
      </c>
      <c r="AB145" s="14" t="s">
        <v>131</v>
      </c>
      <c r="AC145" s="14" t="s">
        <v>113</v>
      </c>
      <c r="AD145" s="14" t="s">
        <v>114</v>
      </c>
    </row>
    <row r="146" customFormat="false" ht="78" hidden="false" customHeight="true" outlineLevel="0" collapsed="false">
      <c r="A146" s="14" t="s">
        <v>1980</v>
      </c>
      <c r="B146" s="14" t="s">
        <v>44</v>
      </c>
      <c r="C146" s="14" t="s">
        <v>1981</v>
      </c>
      <c r="D146" s="14" t="s">
        <v>93</v>
      </c>
      <c r="E146" s="14" t="s">
        <v>1982</v>
      </c>
      <c r="F146" s="15" t="s">
        <v>1983</v>
      </c>
      <c r="G146" s="14" t="s">
        <v>1984</v>
      </c>
      <c r="H146" s="14" t="s">
        <v>1985</v>
      </c>
      <c r="I146" s="14" t="s">
        <v>1986</v>
      </c>
      <c r="J146" s="14" t="s">
        <v>99</v>
      </c>
      <c r="K146" s="22" t="s">
        <v>1668</v>
      </c>
      <c r="L146" s="14" t="s">
        <v>1987</v>
      </c>
      <c r="M146" s="14" t="s">
        <v>1988</v>
      </c>
      <c r="N146" s="14" t="s">
        <v>1989</v>
      </c>
      <c r="O146" s="14"/>
      <c r="P146" s="14" t="s">
        <v>1990</v>
      </c>
      <c r="Q146" s="14" t="s">
        <v>1991</v>
      </c>
      <c r="R146" s="14" t="s">
        <v>526</v>
      </c>
      <c r="S146" s="17" t="s">
        <v>107</v>
      </c>
      <c r="T146" s="17" t="s">
        <v>107</v>
      </c>
      <c r="U146" s="14" t="s">
        <v>1992</v>
      </c>
      <c r="V146" s="14" t="s">
        <v>109</v>
      </c>
      <c r="W146" s="18" t="s">
        <v>110</v>
      </c>
      <c r="X146" s="14" t="s">
        <v>1993</v>
      </c>
      <c r="Y146" s="14" t="s">
        <v>194</v>
      </c>
      <c r="Z146" s="14" t="s">
        <v>107</v>
      </c>
      <c r="AA146" s="14" t="s">
        <v>107</v>
      </c>
      <c r="AB146" s="14" t="s">
        <v>112</v>
      </c>
      <c r="AC146" s="14" t="s">
        <v>113</v>
      </c>
      <c r="AD146" s="14" t="s">
        <v>114</v>
      </c>
    </row>
    <row r="147" customFormat="false" ht="78" hidden="false" customHeight="true" outlineLevel="0" collapsed="false">
      <c r="A147" s="14" t="s">
        <v>1994</v>
      </c>
      <c r="B147" s="14" t="s">
        <v>44</v>
      </c>
      <c r="C147" s="14" t="s">
        <v>1995</v>
      </c>
      <c r="D147" s="14" t="s">
        <v>93</v>
      </c>
      <c r="E147" s="14" t="s">
        <v>1996</v>
      </c>
      <c r="F147" s="15" t="s">
        <v>1997</v>
      </c>
      <c r="G147" s="14" t="s">
        <v>96</v>
      </c>
      <c r="H147" s="14" t="s">
        <v>1998</v>
      </c>
      <c r="I147" s="14" t="s">
        <v>1999</v>
      </c>
      <c r="J147" s="14" t="s">
        <v>99</v>
      </c>
      <c r="K147" s="22" t="s">
        <v>1668</v>
      </c>
      <c r="L147" s="14" t="s">
        <v>2000</v>
      </c>
      <c r="M147" s="14" t="s">
        <v>2001</v>
      </c>
      <c r="N147" s="14" t="s">
        <v>2002</v>
      </c>
      <c r="O147" s="14"/>
      <c r="P147" s="14" t="s">
        <v>2003</v>
      </c>
      <c r="Q147" s="14" t="s">
        <v>2004</v>
      </c>
      <c r="R147" s="14" t="s">
        <v>106</v>
      </c>
      <c r="S147" s="17" t="s">
        <v>107</v>
      </c>
      <c r="T147" s="17" t="s">
        <v>107</v>
      </c>
      <c r="U147" s="14" t="s">
        <v>2005</v>
      </c>
      <c r="V147" s="14" t="s">
        <v>109</v>
      </c>
      <c r="W147" s="21" t="s">
        <v>429</v>
      </c>
      <c r="X147" s="14" t="s">
        <v>2006</v>
      </c>
      <c r="Y147" s="14" t="s">
        <v>194</v>
      </c>
      <c r="Z147" s="14" t="s">
        <v>107</v>
      </c>
      <c r="AA147" s="14" t="s">
        <v>107</v>
      </c>
      <c r="AB147" s="14" t="s">
        <v>112</v>
      </c>
      <c r="AC147" s="14" t="s">
        <v>113</v>
      </c>
      <c r="AD147" s="14" t="s">
        <v>114</v>
      </c>
    </row>
    <row r="148" customFormat="false" ht="78" hidden="false" customHeight="true" outlineLevel="0" collapsed="false">
      <c r="A148" s="14" t="s">
        <v>2007</v>
      </c>
      <c r="B148" s="14" t="s">
        <v>45</v>
      </c>
      <c r="C148" s="14" t="s">
        <v>2008</v>
      </c>
      <c r="D148" s="14" t="s">
        <v>93</v>
      </c>
      <c r="E148" s="14" t="s">
        <v>94</v>
      </c>
      <c r="F148" s="15" t="s">
        <v>95</v>
      </c>
      <c r="G148" s="14" t="s">
        <v>96</v>
      </c>
      <c r="H148" s="14" t="s">
        <v>2009</v>
      </c>
      <c r="I148" s="14" t="s">
        <v>2010</v>
      </c>
      <c r="J148" s="14" t="s">
        <v>52</v>
      </c>
      <c r="K148" s="22" t="s">
        <v>1668</v>
      </c>
      <c r="L148" s="14" t="s">
        <v>2011</v>
      </c>
      <c r="M148" s="14" t="s">
        <v>2012</v>
      </c>
      <c r="N148" s="14" t="s">
        <v>2013</v>
      </c>
      <c r="O148" s="14"/>
      <c r="P148" s="14" t="s">
        <v>2014</v>
      </c>
      <c r="Q148" s="14" t="s">
        <v>2015</v>
      </c>
      <c r="R148" s="14" t="s">
        <v>2016</v>
      </c>
      <c r="S148" s="20" t="s">
        <v>324</v>
      </c>
      <c r="T148" s="17" t="s">
        <v>107</v>
      </c>
      <c r="U148" s="14" t="s">
        <v>2017</v>
      </c>
      <c r="V148" s="14" t="s">
        <v>109</v>
      </c>
      <c r="W148" s="18" t="s">
        <v>110</v>
      </c>
      <c r="X148" s="14" t="s">
        <v>2018</v>
      </c>
      <c r="Y148" s="14" t="s">
        <v>1668</v>
      </c>
      <c r="Z148" s="14" t="s">
        <v>107</v>
      </c>
      <c r="AA148" s="14" t="s">
        <v>107</v>
      </c>
      <c r="AB148" s="14" t="s">
        <v>921</v>
      </c>
      <c r="AC148" s="14" t="s">
        <v>113</v>
      </c>
      <c r="AD148" s="14" t="s">
        <v>114</v>
      </c>
    </row>
    <row r="149" customFormat="false" ht="78" hidden="false" customHeight="true" outlineLevel="0" collapsed="false">
      <c r="A149" s="14" t="s">
        <v>2019</v>
      </c>
      <c r="B149" s="14" t="s">
        <v>45</v>
      </c>
      <c r="C149" s="14" t="s">
        <v>2020</v>
      </c>
      <c r="D149" s="14" t="s">
        <v>93</v>
      </c>
      <c r="E149" s="14" t="s">
        <v>2021</v>
      </c>
      <c r="F149" s="15" t="s">
        <v>474</v>
      </c>
      <c r="G149" s="14" t="s">
        <v>475</v>
      </c>
      <c r="H149" s="14" t="s">
        <v>2022</v>
      </c>
      <c r="I149" s="14" t="s">
        <v>2023</v>
      </c>
      <c r="J149" s="14" t="s">
        <v>505</v>
      </c>
      <c r="K149" s="22" t="s">
        <v>1668</v>
      </c>
      <c r="L149" s="14" t="s">
        <v>2024</v>
      </c>
      <c r="M149" s="14" t="s">
        <v>2025</v>
      </c>
      <c r="N149" s="14" t="s">
        <v>2026</v>
      </c>
      <c r="O149" s="14"/>
      <c r="P149" s="14" t="s">
        <v>2027</v>
      </c>
      <c r="Q149" s="14" t="s">
        <v>2028</v>
      </c>
      <c r="R149" s="14" t="s">
        <v>106</v>
      </c>
      <c r="S149" s="20" t="s">
        <v>324</v>
      </c>
      <c r="T149" s="17" t="s">
        <v>107</v>
      </c>
      <c r="U149" s="14" t="s">
        <v>2029</v>
      </c>
      <c r="V149" s="14" t="s">
        <v>109</v>
      </c>
      <c r="W149" s="18" t="s">
        <v>110</v>
      </c>
      <c r="X149" s="14" t="s">
        <v>2030</v>
      </c>
      <c r="Y149" s="14" t="s">
        <v>1668</v>
      </c>
      <c r="Z149" s="14" t="s">
        <v>107</v>
      </c>
      <c r="AA149" s="14" t="s">
        <v>107</v>
      </c>
      <c r="AB149" s="14" t="s">
        <v>921</v>
      </c>
      <c r="AC149" s="14" t="s">
        <v>113</v>
      </c>
      <c r="AD149" s="14" t="s">
        <v>114</v>
      </c>
    </row>
    <row r="150" customFormat="false" ht="78" hidden="false" customHeight="true" outlineLevel="0" collapsed="false">
      <c r="A150" s="14" t="s">
        <v>2031</v>
      </c>
      <c r="B150" s="14" t="s">
        <v>45</v>
      </c>
      <c r="C150" s="14" t="s">
        <v>2032</v>
      </c>
      <c r="D150" s="14" t="s">
        <v>93</v>
      </c>
      <c r="E150" s="14" t="s">
        <v>2033</v>
      </c>
      <c r="F150" s="15" t="s">
        <v>2034</v>
      </c>
      <c r="G150" s="14" t="s">
        <v>2035</v>
      </c>
      <c r="H150" s="14" t="s">
        <v>2036</v>
      </c>
      <c r="I150" s="14" t="s">
        <v>2037</v>
      </c>
      <c r="J150" s="14" t="s">
        <v>52</v>
      </c>
      <c r="K150" s="22" t="s">
        <v>1668</v>
      </c>
      <c r="L150" s="14" t="s">
        <v>2038</v>
      </c>
      <c r="M150" s="14" t="s">
        <v>2039</v>
      </c>
      <c r="N150" s="14" t="s">
        <v>2040</v>
      </c>
      <c r="O150" s="14"/>
      <c r="P150" s="14" t="s">
        <v>2041</v>
      </c>
      <c r="Q150" s="14" t="s">
        <v>2042</v>
      </c>
      <c r="R150" s="14" t="s">
        <v>2043</v>
      </c>
      <c r="S150" s="20" t="s">
        <v>324</v>
      </c>
      <c r="T150" s="17" t="s">
        <v>107</v>
      </c>
      <c r="U150" s="14" t="s">
        <v>2044</v>
      </c>
      <c r="V150" s="14" t="s">
        <v>109</v>
      </c>
      <c r="W150" s="18" t="s">
        <v>110</v>
      </c>
      <c r="X150" s="14" t="s">
        <v>2045</v>
      </c>
      <c r="Y150" s="14" t="s">
        <v>1668</v>
      </c>
      <c r="Z150" s="14" t="s">
        <v>107</v>
      </c>
      <c r="AA150" s="14" t="s">
        <v>107</v>
      </c>
      <c r="AB150" s="14" t="s">
        <v>921</v>
      </c>
      <c r="AC150" s="14" t="s">
        <v>113</v>
      </c>
      <c r="AD150" s="14" t="s">
        <v>114</v>
      </c>
    </row>
    <row r="151" customFormat="false" ht="78" hidden="false" customHeight="true" outlineLevel="0" collapsed="false">
      <c r="A151" s="14" t="s">
        <v>2046</v>
      </c>
      <c r="B151" s="14" t="s">
        <v>45</v>
      </c>
      <c r="C151" s="14" t="s">
        <v>2047</v>
      </c>
      <c r="D151" s="14" t="s">
        <v>93</v>
      </c>
      <c r="E151" s="14" t="s">
        <v>2048</v>
      </c>
      <c r="F151" s="15" t="s">
        <v>2049</v>
      </c>
      <c r="G151" s="14" t="s">
        <v>2035</v>
      </c>
      <c r="H151" s="14" t="s">
        <v>2050</v>
      </c>
      <c r="I151" s="14" t="s">
        <v>2051</v>
      </c>
      <c r="J151" s="14" t="s">
        <v>1057</v>
      </c>
      <c r="K151" s="22" t="s">
        <v>1668</v>
      </c>
      <c r="L151" s="14" t="s">
        <v>2052</v>
      </c>
      <c r="M151" s="14" t="s">
        <v>2053</v>
      </c>
      <c r="N151" s="14" t="s">
        <v>2054</v>
      </c>
      <c r="O151" s="14"/>
      <c r="P151" s="14" t="s">
        <v>2055</v>
      </c>
      <c r="Q151" s="14" t="s">
        <v>2056</v>
      </c>
      <c r="R151" s="14" t="s">
        <v>918</v>
      </c>
      <c r="S151" s="20" t="s">
        <v>324</v>
      </c>
      <c r="T151" s="17" t="s">
        <v>107</v>
      </c>
      <c r="U151" s="14" t="s">
        <v>2057</v>
      </c>
      <c r="V151" s="14" t="s">
        <v>109</v>
      </c>
      <c r="W151" s="18" t="s">
        <v>110</v>
      </c>
      <c r="X151" s="14" t="s">
        <v>2058</v>
      </c>
      <c r="Y151" s="14" t="s">
        <v>1668</v>
      </c>
      <c r="Z151" s="14" t="s">
        <v>107</v>
      </c>
      <c r="AA151" s="14" t="s">
        <v>107</v>
      </c>
      <c r="AB151" s="14" t="s">
        <v>921</v>
      </c>
      <c r="AC151" s="14" t="s">
        <v>113</v>
      </c>
      <c r="AD151" s="14" t="s">
        <v>114</v>
      </c>
    </row>
    <row r="152" customFormat="false" ht="78" hidden="false" customHeight="true" outlineLevel="0" collapsed="false">
      <c r="A152" s="14" t="s">
        <v>2059</v>
      </c>
      <c r="B152" s="14" t="s">
        <v>45</v>
      </c>
      <c r="C152" s="14" t="s">
        <v>2060</v>
      </c>
      <c r="D152" s="14" t="s">
        <v>93</v>
      </c>
      <c r="E152" s="14" t="s">
        <v>2061</v>
      </c>
      <c r="F152" s="15" t="s">
        <v>548</v>
      </c>
      <c r="G152" s="14" t="s">
        <v>533</v>
      </c>
      <c r="H152" s="14" t="s">
        <v>2062</v>
      </c>
      <c r="I152" s="14" t="s">
        <v>2063</v>
      </c>
      <c r="J152" s="14" t="s">
        <v>56</v>
      </c>
      <c r="K152" s="22" t="s">
        <v>1668</v>
      </c>
      <c r="L152" s="14" t="s">
        <v>2064</v>
      </c>
      <c r="M152" s="14" t="s">
        <v>2065</v>
      </c>
      <c r="N152" s="14" t="s">
        <v>2066</v>
      </c>
      <c r="O152" s="14"/>
      <c r="P152" s="14" t="s">
        <v>2067</v>
      </c>
      <c r="Q152" s="14" t="s">
        <v>2068</v>
      </c>
      <c r="R152" s="14" t="s">
        <v>918</v>
      </c>
      <c r="S152" s="20" t="s">
        <v>324</v>
      </c>
      <c r="T152" s="17" t="s">
        <v>107</v>
      </c>
      <c r="U152" s="14" t="s">
        <v>2069</v>
      </c>
      <c r="V152" s="14" t="s">
        <v>109</v>
      </c>
      <c r="W152" s="18" t="s">
        <v>110</v>
      </c>
      <c r="X152" s="14" t="s">
        <v>2070</v>
      </c>
      <c r="Y152" s="14" t="s">
        <v>1668</v>
      </c>
      <c r="Z152" s="14" t="s">
        <v>107</v>
      </c>
      <c r="AA152" s="14" t="s">
        <v>107</v>
      </c>
      <c r="AB152" s="14" t="s">
        <v>921</v>
      </c>
      <c r="AC152" s="14" t="s">
        <v>1314</v>
      </c>
      <c r="AD152" s="14" t="s">
        <v>1315</v>
      </c>
    </row>
    <row r="153" customFormat="false" ht="78" hidden="false" customHeight="true" outlineLevel="0" collapsed="false">
      <c r="A153" s="14" t="s">
        <v>2071</v>
      </c>
      <c r="B153" s="14" t="s">
        <v>48</v>
      </c>
      <c r="C153" s="14" t="s">
        <v>2072</v>
      </c>
      <c r="D153" s="14" t="s">
        <v>93</v>
      </c>
      <c r="E153" s="14" t="s">
        <v>2073</v>
      </c>
      <c r="F153" s="15" t="s">
        <v>95</v>
      </c>
      <c r="G153" s="14" t="s">
        <v>96</v>
      </c>
      <c r="H153" s="14" t="s">
        <v>2074</v>
      </c>
      <c r="I153" s="14" t="s">
        <v>2075</v>
      </c>
      <c r="J153" s="14" t="s">
        <v>54</v>
      </c>
      <c r="K153" s="22" t="s">
        <v>1668</v>
      </c>
      <c r="L153" s="14" t="s">
        <v>2076</v>
      </c>
      <c r="M153" s="14" t="s">
        <v>2077</v>
      </c>
      <c r="N153" s="14" t="s">
        <v>2078</v>
      </c>
      <c r="O153" s="14"/>
      <c r="P153" s="14" t="s">
        <v>2079</v>
      </c>
      <c r="Q153" s="14" t="s">
        <v>2080</v>
      </c>
      <c r="R153" s="14" t="s">
        <v>456</v>
      </c>
      <c r="S153" s="17" t="s">
        <v>107</v>
      </c>
      <c r="T153" s="20" t="s">
        <v>324</v>
      </c>
      <c r="U153" s="14" t="s">
        <v>2081</v>
      </c>
      <c r="V153" s="14" t="s">
        <v>109</v>
      </c>
      <c r="W153" s="18" t="s">
        <v>110</v>
      </c>
      <c r="X153" s="14" t="s">
        <v>2082</v>
      </c>
      <c r="Y153" s="14" t="s">
        <v>1668</v>
      </c>
      <c r="Z153" s="14" t="s">
        <v>107</v>
      </c>
      <c r="AA153" s="14" t="s">
        <v>107</v>
      </c>
      <c r="AB153" s="14" t="s">
        <v>559</v>
      </c>
      <c r="AC153" s="14" t="s">
        <v>560</v>
      </c>
      <c r="AD153" s="14" t="s">
        <v>561</v>
      </c>
    </row>
    <row r="154" customFormat="false" ht="78" hidden="false" customHeight="true" outlineLevel="0" collapsed="false">
      <c r="A154" s="14" t="s">
        <v>2083</v>
      </c>
      <c r="B154" s="14" t="s">
        <v>43</v>
      </c>
      <c r="C154" s="14" t="s">
        <v>2084</v>
      </c>
      <c r="D154" s="14" t="s">
        <v>93</v>
      </c>
      <c r="E154" s="14" t="s">
        <v>2085</v>
      </c>
      <c r="F154" s="15" t="s">
        <v>2086</v>
      </c>
      <c r="G154" s="14" t="s">
        <v>2087</v>
      </c>
      <c r="H154" s="14" t="s">
        <v>2088</v>
      </c>
      <c r="I154" s="14" t="s">
        <v>2089</v>
      </c>
      <c r="J154" s="14" t="s">
        <v>50</v>
      </c>
      <c r="K154" s="22" t="s">
        <v>1668</v>
      </c>
      <c r="L154" s="14" t="s">
        <v>2090</v>
      </c>
      <c r="M154" s="14" t="s">
        <v>2091</v>
      </c>
      <c r="N154" s="14" t="s">
        <v>2092</v>
      </c>
      <c r="O154" s="14"/>
      <c r="P154" s="14" t="s">
        <v>2093</v>
      </c>
      <c r="Q154" s="14" t="s">
        <v>2094</v>
      </c>
      <c r="R154" s="14" t="s">
        <v>511</v>
      </c>
      <c r="S154" s="17" t="s">
        <v>107</v>
      </c>
      <c r="T154" s="17" t="s">
        <v>107</v>
      </c>
      <c r="U154" s="14" t="s">
        <v>2095</v>
      </c>
      <c r="V154" s="14" t="s">
        <v>109</v>
      </c>
      <c r="W154" s="18" t="s">
        <v>110</v>
      </c>
      <c r="X154" s="14" t="s">
        <v>2096</v>
      </c>
      <c r="Y154" s="14" t="s">
        <v>194</v>
      </c>
      <c r="Z154" s="14" t="s">
        <v>107</v>
      </c>
      <c r="AA154" s="14" t="s">
        <v>107</v>
      </c>
      <c r="AB154" s="14" t="s">
        <v>131</v>
      </c>
      <c r="AC154" s="14" t="s">
        <v>113</v>
      </c>
      <c r="AD154" s="14" t="s">
        <v>114</v>
      </c>
    </row>
    <row r="155" customFormat="false" ht="78" hidden="false" customHeight="true" outlineLevel="0" collapsed="false">
      <c r="A155" s="14" t="s">
        <v>2097</v>
      </c>
      <c r="B155" s="14" t="s">
        <v>46</v>
      </c>
      <c r="C155" s="14" t="s">
        <v>2098</v>
      </c>
      <c r="D155" s="14" t="s">
        <v>117</v>
      </c>
      <c r="E155" s="14" t="s">
        <v>2099</v>
      </c>
      <c r="F155" s="15" t="s">
        <v>2100</v>
      </c>
      <c r="G155" s="14" t="s">
        <v>2101</v>
      </c>
      <c r="H155" s="14" t="s">
        <v>2102</v>
      </c>
      <c r="I155" s="14" t="s">
        <v>2103</v>
      </c>
      <c r="J155" s="14" t="s">
        <v>55</v>
      </c>
      <c r="K155" s="22" t="s">
        <v>1668</v>
      </c>
      <c r="L155" s="14" t="s">
        <v>2104</v>
      </c>
      <c r="M155" s="14" t="s">
        <v>2105</v>
      </c>
      <c r="N155" s="14" t="s">
        <v>2106</v>
      </c>
      <c r="O155" s="14"/>
      <c r="P155" s="14" t="s">
        <v>2107</v>
      </c>
      <c r="Q155" s="14" t="s">
        <v>2108</v>
      </c>
      <c r="R155" s="14" t="s">
        <v>542</v>
      </c>
      <c r="S155" s="17" t="s">
        <v>107</v>
      </c>
      <c r="T155" s="17" t="s">
        <v>107</v>
      </c>
      <c r="U155" s="14" t="s">
        <v>2109</v>
      </c>
      <c r="V155" s="14" t="s">
        <v>109</v>
      </c>
      <c r="W155" s="21" t="s">
        <v>429</v>
      </c>
      <c r="X155" s="14" t="s">
        <v>2110</v>
      </c>
      <c r="Y155" s="14" t="s">
        <v>194</v>
      </c>
      <c r="Z155" s="14" t="s">
        <v>107</v>
      </c>
      <c r="AA155" s="14" t="s">
        <v>107</v>
      </c>
      <c r="AB155" s="14" t="s">
        <v>147</v>
      </c>
      <c r="AC155" s="14" t="s">
        <v>113</v>
      </c>
      <c r="AD155" s="14" t="s">
        <v>114</v>
      </c>
    </row>
    <row r="156" customFormat="false" ht="78" hidden="false" customHeight="true" outlineLevel="0" collapsed="false">
      <c r="A156" s="14" t="s">
        <v>2111</v>
      </c>
      <c r="B156" s="14" t="s">
        <v>46</v>
      </c>
      <c r="C156" s="14" t="s">
        <v>2112</v>
      </c>
      <c r="D156" s="14" t="s">
        <v>117</v>
      </c>
      <c r="E156" s="14" t="s">
        <v>2113</v>
      </c>
      <c r="F156" s="15" t="s">
        <v>2114</v>
      </c>
      <c r="G156" s="14" t="s">
        <v>2115</v>
      </c>
      <c r="H156" s="14" t="s">
        <v>2116</v>
      </c>
      <c r="I156" s="14" t="s">
        <v>2117</v>
      </c>
      <c r="J156" s="14" t="s">
        <v>99</v>
      </c>
      <c r="K156" s="22" t="s">
        <v>1668</v>
      </c>
      <c r="L156" s="14" t="s">
        <v>2118</v>
      </c>
      <c r="M156" s="14" t="s">
        <v>2119</v>
      </c>
      <c r="N156" s="14" t="s">
        <v>2120</v>
      </c>
      <c r="O156" s="14"/>
      <c r="P156" s="14" t="s">
        <v>2121</v>
      </c>
      <c r="Q156" s="14" t="s">
        <v>2122</v>
      </c>
      <c r="R156" s="14" t="s">
        <v>542</v>
      </c>
      <c r="S156" s="17" t="s">
        <v>107</v>
      </c>
      <c r="T156" s="17" t="s">
        <v>107</v>
      </c>
      <c r="U156" s="14" t="s">
        <v>2123</v>
      </c>
      <c r="V156" s="14" t="s">
        <v>109</v>
      </c>
      <c r="W156" s="18" t="s">
        <v>110</v>
      </c>
      <c r="X156" s="14" t="s">
        <v>2124</v>
      </c>
      <c r="Y156" s="14" t="s">
        <v>194</v>
      </c>
      <c r="Z156" s="14" t="s">
        <v>107</v>
      </c>
      <c r="AA156" s="14" t="s">
        <v>107</v>
      </c>
      <c r="AB156" s="14" t="s">
        <v>147</v>
      </c>
      <c r="AC156" s="14" t="s">
        <v>113</v>
      </c>
      <c r="AD156" s="14" t="s">
        <v>114</v>
      </c>
    </row>
    <row r="157" customFormat="false" ht="78" hidden="false" customHeight="true" outlineLevel="0" collapsed="false">
      <c r="A157" s="14" t="s">
        <v>2125</v>
      </c>
      <c r="B157" s="14" t="s">
        <v>46</v>
      </c>
      <c r="C157" s="14" t="s">
        <v>2126</v>
      </c>
      <c r="D157" s="14" t="s">
        <v>117</v>
      </c>
      <c r="E157" s="14" t="s">
        <v>2127</v>
      </c>
      <c r="F157" s="15" t="s">
        <v>2128</v>
      </c>
      <c r="G157" s="14" t="s">
        <v>533</v>
      </c>
      <c r="H157" s="14" t="s">
        <v>2129</v>
      </c>
      <c r="I157" s="14" t="s">
        <v>2130</v>
      </c>
      <c r="J157" s="14" t="s">
        <v>51</v>
      </c>
      <c r="K157" s="22" t="s">
        <v>1668</v>
      </c>
      <c r="L157" s="14" t="s">
        <v>2131</v>
      </c>
      <c r="M157" s="14" t="s">
        <v>2132</v>
      </c>
      <c r="N157" s="14" t="s">
        <v>2133</v>
      </c>
      <c r="O157" s="14"/>
      <c r="P157" s="14" t="s">
        <v>2134</v>
      </c>
      <c r="Q157" s="14" t="s">
        <v>2135</v>
      </c>
      <c r="R157" s="14" t="s">
        <v>542</v>
      </c>
      <c r="S157" s="17" t="s">
        <v>107</v>
      </c>
      <c r="T157" s="17" t="s">
        <v>107</v>
      </c>
      <c r="U157" s="14" t="s">
        <v>2136</v>
      </c>
      <c r="V157" s="14" t="s">
        <v>109</v>
      </c>
      <c r="W157" s="18" t="s">
        <v>110</v>
      </c>
      <c r="X157" s="14" t="s">
        <v>2137</v>
      </c>
      <c r="Y157" s="14" t="s">
        <v>194</v>
      </c>
      <c r="Z157" s="14" t="s">
        <v>107</v>
      </c>
      <c r="AA157" s="14" t="s">
        <v>107</v>
      </c>
      <c r="AB157" s="14" t="s">
        <v>147</v>
      </c>
      <c r="AC157" s="14" t="s">
        <v>113</v>
      </c>
      <c r="AD157" s="14" t="s">
        <v>114</v>
      </c>
    </row>
    <row r="158" customFormat="false" ht="78" hidden="false" customHeight="true" outlineLevel="0" collapsed="false">
      <c r="A158" s="14" t="s">
        <v>2138</v>
      </c>
      <c r="B158" s="14" t="s">
        <v>44</v>
      </c>
      <c r="C158" s="14" t="s">
        <v>2139</v>
      </c>
      <c r="D158" s="14" t="s">
        <v>117</v>
      </c>
      <c r="E158" s="14" t="s">
        <v>2140</v>
      </c>
      <c r="F158" s="15" t="s">
        <v>2141</v>
      </c>
      <c r="G158" s="14" t="s">
        <v>2142</v>
      </c>
      <c r="H158" s="14" t="s">
        <v>2143</v>
      </c>
      <c r="I158" s="14" t="s">
        <v>2144</v>
      </c>
      <c r="J158" s="14" t="s">
        <v>536</v>
      </c>
      <c r="K158" s="22" t="s">
        <v>1668</v>
      </c>
      <c r="L158" s="14" t="s">
        <v>2145</v>
      </c>
      <c r="M158" s="14" t="s">
        <v>2146</v>
      </c>
      <c r="N158" s="14" t="s">
        <v>2147</v>
      </c>
      <c r="O158" s="14"/>
      <c r="P158" s="14" t="s">
        <v>2148</v>
      </c>
      <c r="Q158" s="14" t="s">
        <v>2149</v>
      </c>
      <c r="R158" s="14" t="s">
        <v>542</v>
      </c>
      <c r="S158" s="20" t="s">
        <v>324</v>
      </c>
      <c r="T158" s="17" t="s">
        <v>107</v>
      </c>
      <c r="U158" s="14" t="s">
        <v>2150</v>
      </c>
      <c r="V158" s="14" t="s">
        <v>109</v>
      </c>
      <c r="W158" s="18" t="s">
        <v>110</v>
      </c>
      <c r="X158" s="14" t="s">
        <v>2151</v>
      </c>
      <c r="Y158" s="14" t="s">
        <v>1668</v>
      </c>
      <c r="Z158" s="14" t="s">
        <v>107</v>
      </c>
      <c r="AA158" s="14" t="s">
        <v>107</v>
      </c>
      <c r="AB158" s="14" t="s">
        <v>112</v>
      </c>
      <c r="AC158" s="14" t="s">
        <v>113</v>
      </c>
      <c r="AD158" s="14" t="s">
        <v>114</v>
      </c>
    </row>
    <row r="159" customFormat="false" ht="78" hidden="false" customHeight="true" outlineLevel="0" collapsed="false">
      <c r="A159" s="14" t="s">
        <v>2152</v>
      </c>
      <c r="B159" s="14" t="s">
        <v>44</v>
      </c>
      <c r="C159" s="14" t="s">
        <v>2153</v>
      </c>
      <c r="D159" s="14" t="s">
        <v>117</v>
      </c>
      <c r="E159" s="14" t="s">
        <v>2154</v>
      </c>
      <c r="F159" s="15" t="s">
        <v>2155</v>
      </c>
      <c r="G159" s="14" t="s">
        <v>2156</v>
      </c>
      <c r="H159" s="14" t="s">
        <v>2157</v>
      </c>
      <c r="I159" s="14" t="s">
        <v>2158</v>
      </c>
      <c r="J159" s="14" t="s">
        <v>57</v>
      </c>
      <c r="K159" s="22" t="s">
        <v>1668</v>
      </c>
      <c r="L159" s="14" t="s">
        <v>2159</v>
      </c>
      <c r="M159" s="14" t="s">
        <v>2160</v>
      </c>
      <c r="N159" s="14" t="s">
        <v>2161</v>
      </c>
      <c r="O159" s="14"/>
      <c r="P159" s="14" t="s">
        <v>2162</v>
      </c>
      <c r="Q159" s="14" t="s">
        <v>2163</v>
      </c>
      <c r="R159" s="14" t="s">
        <v>542</v>
      </c>
      <c r="S159" s="17" t="s">
        <v>107</v>
      </c>
      <c r="T159" s="20" t="s">
        <v>324</v>
      </c>
      <c r="U159" s="14" t="s">
        <v>2164</v>
      </c>
      <c r="V159" s="14" t="s">
        <v>109</v>
      </c>
      <c r="W159" s="21" t="s">
        <v>429</v>
      </c>
      <c r="X159" s="14" t="s">
        <v>2165</v>
      </c>
      <c r="Y159" s="14" t="s">
        <v>194</v>
      </c>
      <c r="Z159" s="14" t="s">
        <v>107</v>
      </c>
      <c r="AA159" s="14" t="s">
        <v>107</v>
      </c>
      <c r="AB159" s="14" t="s">
        <v>112</v>
      </c>
      <c r="AC159" s="14" t="s">
        <v>113</v>
      </c>
      <c r="AD159" s="14" t="s">
        <v>114</v>
      </c>
    </row>
    <row r="160" customFormat="false" ht="78" hidden="false" customHeight="true" outlineLevel="0" collapsed="false">
      <c r="A160" s="14" t="s">
        <v>2166</v>
      </c>
      <c r="B160" s="14" t="s">
        <v>44</v>
      </c>
      <c r="C160" s="14" t="s">
        <v>2167</v>
      </c>
      <c r="D160" s="14" t="s">
        <v>117</v>
      </c>
      <c r="E160" s="14" t="s">
        <v>2168</v>
      </c>
      <c r="F160" s="15" t="s">
        <v>434</v>
      </c>
      <c r="G160" s="14" t="s">
        <v>2142</v>
      </c>
      <c r="H160" s="14" t="s">
        <v>2169</v>
      </c>
      <c r="I160" s="14" t="s">
        <v>2170</v>
      </c>
      <c r="J160" s="14" t="s">
        <v>53</v>
      </c>
      <c r="K160" s="22" t="s">
        <v>1668</v>
      </c>
      <c r="L160" s="14" t="s">
        <v>2171</v>
      </c>
      <c r="M160" s="14" t="s">
        <v>2172</v>
      </c>
      <c r="N160" s="14" t="s">
        <v>2173</v>
      </c>
      <c r="O160" s="14"/>
      <c r="P160" s="14" t="s">
        <v>2174</v>
      </c>
      <c r="Q160" s="14" t="s">
        <v>2175</v>
      </c>
      <c r="R160" s="14" t="s">
        <v>542</v>
      </c>
      <c r="S160" s="20" t="s">
        <v>324</v>
      </c>
      <c r="T160" s="17" t="s">
        <v>107</v>
      </c>
      <c r="U160" s="14" t="s">
        <v>2176</v>
      </c>
      <c r="V160" s="14" t="s">
        <v>109</v>
      </c>
      <c r="W160" s="18" t="s">
        <v>110</v>
      </c>
      <c r="X160" s="14" t="s">
        <v>2177</v>
      </c>
      <c r="Y160" s="14" t="s">
        <v>1668</v>
      </c>
      <c r="Z160" s="14" t="s">
        <v>107</v>
      </c>
      <c r="AA160" s="14" t="s">
        <v>107</v>
      </c>
      <c r="AB160" s="14" t="s">
        <v>112</v>
      </c>
      <c r="AC160" s="14" t="s">
        <v>113</v>
      </c>
      <c r="AD160" s="14" t="s">
        <v>114</v>
      </c>
    </row>
    <row r="161" customFormat="false" ht="78" hidden="false" customHeight="true" outlineLevel="0" collapsed="false">
      <c r="A161" s="14" t="s">
        <v>2178</v>
      </c>
      <c r="B161" s="14" t="s">
        <v>45</v>
      </c>
      <c r="C161" s="14" t="s">
        <v>2179</v>
      </c>
      <c r="D161" s="14" t="s">
        <v>117</v>
      </c>
      <c r="E161" s="14" t="s">
        <v>2180</v>
      </c>
      <c r="F161" s="15" t="s">
        <v>2155</v>
      </c>
      <c r="G161" s="14" t="s">
        <v>2156</v>
      </c>
      <c r="H161" s="14" t="s">
        <v>2181</v>
      </c>
      <c r="I161" s="14" t="s">
        <v>2182</v>
      </c>
      <c r="J161" s="14" t="s">
        <v>505</v>
      </c>
      <c r="K161" s="22" t="s">
        <v>1668</v>
      </c>
      <c r="L161" s="14" t="s">
        <v>2183</v>
      </c>
      <c r="M161" s="14" t="s">
        <v>2184</v>
      </c>
      <c r="N161" s="14" t="s">
        <v>2185</v>
      </c>
      <c r="O161" s="14"/>
      <c r="P161" s="14" t="s">
        <v>2186</v>
      </c>
      <c r="Q161" s="14" t="s">
        <v>2187</v>
      </c>
      <c r="R161" s="14" t="s">
        <v>2188</v>
      </c>
      <c r="S161" s="20" t="s">
        <v>324</v>
      </c>
      <c r="T161" s="17" t="s">
        <v>107</v>
      </c>
      <c r="U161" s="14" t="s">
        <v>2189</v>
      </c>
      <c r="V161" s="14" t="s">
        <v>109</v>
      </c>
      <c r="W161" s="18" t="s">
        <v>110</v>
      </c>
      <c r="X161" s="14" t="s">
        <v>2190</v>
      </c>
      <c r="Y161" s="14" t="s">
        <v>1668</v>
      </c>
      <c r="Z161" s="14" t="s">
        <v>107</v>
      </c>
      <c r="AA161" s="14" t="s">
        <v>107</v>
      </c>
      <c r="AB161" s="14" t="s">
        <v>921</v>
      </c>
      <c r="AC161" s="14" t="s">
        <v>113</v>
      </c>
      <c r="AD161" s="14" t="s">
        <v>114</v>
      </c>
    </row>
    <row r="162" customFormat="false" ht="78" hidden="false" customHeight="true" outlineLevel="0" collapsed="false">
      <c r="A162" s="14" t="s">
        <v>2191</v>
      </c>
      <c r="B162" s="14" t="s">
        <v>47</v>
      </c>
      <c r="C162" s="14" t="s">
        <v>2192</v>
      </c>
      <c r="D162" s="14" t="s">
        <v>117</v>
      </c>
      <c r="E162" s="14" t="s">
        <v>2193</v>
      </c>
      <c r="F162" s="15" t="s">
        <v>2194</v>
      </c>
      <c r="G162" s="14" t="s">
        <v>2101</v>
      </c>
      <c r="H162" s="14" t="s">
        <v>2195</v>
      </c>
      <c r="I162" s="14" t="s">
        <v>2196</v>
      </c>
      <c r="J162" s="14" t="s">
        <v>52</v>
      </c>
      <c r="K162" s="22" t="s">
        <v>1668</v>
      </c>
      <c r="L162" s="14" t="s">
        <v>2197</v>
      </c>
      <c r="M162" s="14" t="s">
        <v>2198</v>
      </c>
      <c r="N162" s="14" t="s">
        <v>2199</v>
      </c>
      <c r="O162" s="14"/>
      <c r="P162" s="14" t="s">
        <v>2200</v>
      </c>
      <c r="Q162" s="14" t="s">
        <v>2201</v>
      </c>
      <c r="R162" s="14" t="s">
        <v>2016</v>
      </c>
      <c r="S162" s="20" t="s">
        <v>324</v>
      </c>
      <c r="T162" s="17" t="s">
        <v>107</v>
      </c>
      <c r="U162" s="14" t="s">
        <v>2202</v>
      </c>
      <c r="V162" s="14" t="s">
        <v>109</v>
      </c>
      <c r="W162" s="18" t="s">
        <v>110</v>
      </c>
      <c r="X162" s="14" t="s">
        <v>2203</v>
      </c>
      <c r="Y162" s="14" t="s">
        <v>1668</v>
      </c>
      <c r="Z162" s="14" t="s">
        <v>107</v>
      </c>
      <c r="AA162" s="14" t="s">
        <v>107</v>
      </c>
      <c r="AB162" s="14" t="s">
        <v>2204</v>
      </c>
      <c r="AC162" s="14" t="s">
        <v>113</v>
      </c>
      <c r="AD162" s="14" t="s">
        <v>114</v>
      </c>
    </row>
    <row r="163" customFormat="false" ht="78" hidden="false" customHeight="true" outlineLevel="0" collapsed="false">
      <c r="A163" s="14" t="s">
        <v>2205</v>
      </c>
      <c r="B163" s="14" t="s">
        <v>43</v>
      </c>
      <c r="C163" s="14" t="s">
        <v>2206</v>
      </c>
      <c r="D163" s="14" t="s">
        <v>117</v>
      </c>
      <c r="E163" s="14" t="s">
        <v>2099</v>
      </c>
      <c r="F163" s="15" t="s">
        <v>2100</v>
      </c>
      <c r="G163" s="14" t="s">
        <v>2101</v>
      </c>
      <c r="H163" s="14" t="s">
        <v>2207</v>
      </c>
      <c r="I163" s="14" t="s">
        <v>2208</v>
      </c>
      <c r="J163" s="14" t="s">
        <v>50</v>
      </c>
      <c r="K163" s="22" t="s">
        <v>1668</v>
      </c>
      <c r="L163" s="14" t="s">
        <v>2209</v>
      </c>
      <c r="M163" s="14" t="s">
        <v>2210</v>
      </c>
      <c r="N163" s="14" t="s">
        <v>2211</v>
      </c>
      <c r="O163" s="14"/>
      <c r="P163" s="14" t="s">
        <v>2212</v>
      </c>
      <c r="Q163" s="14" t="s">
        <v>2213</v>
      </c>
      <c r="R163" s="14" t="s">
        <v>511</v>
      </c>
      <c r="S163" s="17" t="s">
        <v>107</v>
      </c>
      <c r="T163" s="17" t="s">
        <v>107</v>
      </c>
      <c r="U163" s="14" t="s">
        <v>2214</v>
      </c>
      <c r="V163" s="14" t="s">
        <v>109</v>
      </c>
      <c r="W163" s="21" t="s">
        <v>429</v>
      </c>
      <c r="X163" s="14" t="s">
        <v>2215</v>
      </c>
      <c r="Y163" s="14" t="s">
        <v>100</v>
      </c>
      <c r="Z163" s="14" t="s">
        <v>107</v>
      </c>
      <c r="AA163" s="14" t="s">
        <v>107</v>
      </c>
      <c r="AB163" s="14" t="s">
        <v>131</v>
      </c>
      <c r="AC163" s="14" t="s">
        <v>113</v>
      </c>
      <c r="AD163" s="14" t="s">
        <v>114</v>
      </c>
    </row>
    <row r="164" customFormat="false" ht="78" hidden="false" customHeight="true" outlineLevel="0" collapsed="false">
      <c r="A164" s="14" t="s">
        <v>2216</v>
      </c>
      <c r="B164" s="14" t="s">
        <v>43</v>
      </c>
      <c r="C164" s="14" t="s">
        <v>2217</v>
      </c>
      <c r="D164" s="14" t="s">
        <v>117</v>
      </c>
      <c r="E164" s="14" t="s">
        <v>2218</v>
      </c>
      <c r="F164" s="15" t="s">
        <v>2219</v>
      </c>
      <c r="G164" s="14" t="s">
        <v>2101</v>
      </c>
      <c r="H164" s="14" t="s">
        <v>2220</v>
      </c>
      <c r="I164" s="14" t="s">
        <v>2221</v>
      </c>
      <c r="J164" s="14" t="s">
        <v>50</v>
      </c>
      <c r="K164" s="22" t="s">
        <v>1668</v>
      </c>
      <c r="L164" s="14" t="s">
        <v>2222</v>
      </c>
      <c r="M164" s="14" t="s">
        <v>2223</v>
      </c>
      <c r="N164" s="14" t="s">
        <v>2224</v>
      </c>
      <c r="O164" s="14"/>
      <c r="P164" s="14" t="s">
        <v>2225</v>
      </c>
      <c r="Q164" s="14" t="s">
        <v>2226</v>
      </c>
      <c r="R164" s="14" t="s">
        <v>542</v>
      </c>
      <c r="S164" s="17" t="s">
        <v>107</v>
      </c>
      <c r="T164" s="17" t="s">
        <v>107</v>
      </c>
      <c r="U164" s="14" t="s">
        <v>2227</v>
      </c>
      <c r="V164" s="14" t="s">
        <v>109</v>
      </c>
      <c r="W164" s="18" t="s">
        <v>110</v>
      </c>
      <c r="X164" s="14" t="s">
        <v>2228</v>
      </c>
      <c r="Y164" s="14" t="s">
        <v>194</v>
      </c>
      <c r="Z164" s="14" t="s">
        <v>107</v>
      </c>
      <c r="AA164" s="14" t="s">
        <v>107</v>
      </c>
      <c r="AB164" s="14" t="s">
        <v>131</v>
      </c>
      <c r="AC164" s="14" t="s">
        <v>113</v>
      </c>
      <c r="AD164" s="14" t="s">
        <v>114</v>
      </c>
    </row>
    <row r="165" customFormat="false" ht="78" hidden="false" customHeight="true" outlineLevel="0" collapsed="false">
      <c r="A165" s="14" t="s">
        <v>2229</v>
      </c>
      <c r="B165" s="14" t="s">
        <v>43</v>
      </c>
      <c r="C165" s="14" t="s">
        <v>2230</v>
      </c>
      <c r="D165" s="14" t="s">
        <v>117</v>
      </c>
      <c r="E165" s="14" t="s">
        <v>2231</v>
      </c>
      <c r="F165" s="15" t="s">
        <v>2219</v>
      </c>
      <c r="G165" s="14" t="s">
        <v>2101</v>
      </c>
      <c r="H165" s="14" t="s">
        <v>2232</v>
      </c>
      <c r="I165" s="14" t="s">
        <v>2233</v>
      </c>
      <c r="J165" s="14" t="s">
        <v>50</v>
      </c>
      <c r="K165" s="22" t="s">
        <v>1668</v>
      </c>
      <c r="L165" s="14" t="s">
        <v>2234</v>
      </c>
      <c r="M165" s="14" t="s">
        <v>2235</v>
      </c>
      <c r="N165" s="14" t="s">
        <v>2236</v>
      </c>
      <c r="O165" s="14"/>
      <c r="P165" s="14" t="s">
        <v>2237</v>
      </c>
      <c r="Q165" s="14" t="s">
        <v>2238</v>
      </c>
      <c r="R165" s="14" t="s">
        <v>191</v>
      </c>
      <c r="S165" s="17" t="s">
        <v>107</v>
      </c>
      <c r="T165" s="17" t="s">
        <v>107</v>
      </c>
      <c r="U165" s="14" t="s">
        <v>2239</v>
      </c>
      <c r="V165" s="14" t="s">
        <v>109</v>
      </c>
      <c r="W165" s="18" t="s">
        <v>110</v>
      </c>
      <c r="X165" s="14" t="s">
        <v>2240</v>
      </c>
      <c r="Y165" s="14" t="s">
        <v>194</v>
      </c>
      <c r="Z165" s="14" t="s">
        <v>107</v>
      </c>
      <c r="AA165" s="14" t="s">
        <v>107</v>
      </c>
      <c r="AB165" s="14" t="s">
        <v>131</v>
      </c>
      <c r="AC165" s="14" t="s">
        <v>113</v>
      </c>
      <c r="AD165" s="14" t="s">
        <v>114</v>
      </c>
    </row>
    <row r="166" customFormat="false" ht="78" hidden="false" customHeight="true" outlineLevel="0" collapsed="false">
      <c r="A166" s="14" t="s">
        <v>2241</v>
      </c>
      <c r="B166" s="14" t="s">
        <v>43</v>
      </c>
      <c r="C166" s="14" t="s">
        <v>2242</v>
      </c>
      <c r="D166" s="14" t="s">
        <v>117</v>
      </c>
      <c r="E166" s="14" t="s">
        <v>2243</v>
      </c>
      <c r="F166" s="15" t="s">
        <v>2219</v>
      </c>
      <c r="G166" s="14" t="s">
        <v>2101</v>
      </c>
      <c r="H166" s="14" t="s">
        <v>2244</v>
      </c>
      <c r="I166" s="14" t="s">
        <v>2245</v>
      </c>
      <c r="J166" s="14" t="s">
        <v>54</v>
      </c>
      <c r="K166" s="22" t="s">
        <v>1668</v>
      </c>
      <c r="L166" s="14" t="s">
        <v>2246</v>
      </c>
      <c r="M166" s="14" t="s">
        <v>2247</v>
      </c>
      <c r="N166" s="14" t="s">
        <v>2248</v>
      </c>
      <c r="O166" s="14"/>
      <c r="P166" s="14" t="s">
        <v>2249</v>
      </c>
      <c r="Q166" s="14" t="s">
        <v>2250</v>
      </c>
      <c r="R166" s="14" t="s">
        <v>542</v>
      </c>
      <c r="S166" s="17" t="s">
        <v>107</v>
      </c>
      <c r="T166" s="20" t="s">
        <v>324</v>
      </c>
      <c r="U166" s="14" t="s">
        <v>2251</v>
      </c>
      <c r="V166" s="14" t="s">
        <v>109</v>
      </c>
      <c r="W166" s="21" t="s">
        <v>429</v>
      </c>
      <c r="X166" s="14" t="s">
        <v>2252</v>
      </c>
      <c r="Y166" s="14" t="s">
        <v>194</v>
      </c>
      <c r="Z166" s="14" t="s">
        <v>107</v>
      </c>
      <c r="AA166" s="14" t="s">
        <v>107</v>
      </c>
      <c r="AB166" s="14" t="s">
        <v>131</v>
      </c>
      <c r="AC166" s="14" t="s">
        <v>560</v>
      </c>
      <c r="AD166" s="14" t="s">
        <v>561</v>
      </c>
    </row>
    <row r="167" customFormat="false" ht="78" hidden="false" customHeight="true" outlineLevel="0" collapsed="false">
      <c r="A167" s="14" t="s">
        <v>2253</v>
      </c>
      <c r="B167" s="14" t="s">
        <v>46</v>
      </c>
      <c r="C167" s="14" t="s">
        <v>2254</v>
      </c>
      <c r="D167" s="14" t="s">
        <v>564</v>
      </c>
      <c r="E167" s="14" t="s">
        <v>2255</v>
      </c>
      <c r="F167" s="15" t="s">
        <v>2256</v>
      </c>
      <c r="G167" s="14" t="s">
        <v>2257</v>
      </c>
      <c r="H167" s="14" t="s">
        <v>2258</v>
      </c>
      <c r="I167" s="14" t="s">
        <v>2259</v>
      </c>
      <c r="J167" s="14" t="s">
        <v>55</v>
      </c>
      <c r="K167" s="22" t="s">
        <v>1668</v>
      </c>
      <c r="L167" s="14" t="s">
        <v>2260</v>
      </c>
      <c r="M167" s="14" t="s">
        <v>2261</v>
      </c>
      <c r="N167" s="14" t="s">
        <v>2262</v>
      </c>
      <c r="O167" s="14"/>
      <c r="P167" s="14" t="s">
        <v>2263</v>
      </c>
      <c r="Q167" s="14" t="s">
        <v>2264</v>
      </c>
      <c r="R167" s="14" t="s">
        <v>144</v>
      </c>
      <c r="S167" s="17" t="s">
        <v>107</v>
      </c>
      <c r="T167" s="17" t="s">
        <v>107</v>
      </c>
      <c r="U167" s="14" t="s">
        <v>2265</v>
      </c>
      <c r="V167" s="14" t="s">
        <v>109</v>
      </c>
      <c r="W167" s="21" t="s">
        <v>429</v>
      </c>
      <c r="X167" s="14" t="s">
        <v>2266</v>
      </c>
      <c r="Y167" s="14" t="s">
        <v>100</v>
      </c>
      <c r="Z167" s="14" t="s">
        <v>107</v>
      </c>
      <c r="AA167" s="14" t="s">
        <v>107</v>
      </c>
      <c r="AB167" s="14" t="s">
        <v>147</v>
      </c>
      <c r="AC167" s="14" t="s">
        <v>113</v>
      </c>
      <c r="AD167" s="14" t="s">
        <v>114</v>
      </c>
    </row>
    <row r="168" customFormat="false" ht="78" hidden="false" customHeight="true" outlineLevel="0" collapsed="false">
      <c r="A168" s="14" t="s">
        <v>2267</v>
      </c>
      <c r="B168" s="14" t="s">
        <v>44</v>
      </c>
      <c r="C168" s="14" t="s">
        <v>2268</v>
      </c>
      <c r="D168" s="14" t="s">
        <v>564</v>
      </c>
      <c r="E168" s="14" t="s">
        <v>2269</v>
      </c>
      <c r="F168" s="15" t="s">
        <v>1111</v>
      </c>
      <c r="G168" s="14" t="s">
        <v>2270</v>
      </c>
      <c r="H168" s="14" t="s">
        <v>2271</v>
      </c>
      <c r="I168" s="14" t="s">
        <v>2272</v>
      </c>
      <c r="J168" s="14" t="s">
        <v>53</v>
      </c>
      <c r="K168" s="22" t="s">
        <v>1668</v>
      </c>
      <c r="L168" s="14" t="s">
        <v>2273</v>
      </c>
      <c r="M168" s="14" t="s">
        <v>2274</v>
      </c>
      <c r="N168" s="14" t="s">
        <v>2275</v>
      </c>
      <c r="O168" s="14"/>
      <c r="P168" s="14" t="s">
        <v>2276</v>
      </c>
      <c r="Q168" s="14" t="s">
        <v>2277</v>
      </c>
      <c r="R168" s="14" t="s">
        <v>589</v>
      </c>
      <c r="S168" s="17" t="s">
        <v>107</v>
      </c>
      <c r="T168" s="17" t="s">
        <v>107</v>
      </c>
      <c r="U168" s="14" t="s">
        <v>2278</v>
      </c>
      <c r="V168" s="14" t="s">
        <v>109</v>
      </c>
      <c r="W168" s="21" t="s">
        <v>429</v>
      </c>
      <c r="X168" s="14" t="s">
        <v>2279</v>
      </c>
      <c r="Y168" s="14" t="s">
        <v>194</v>
      </c>
      <c r="Z168" s="14" t="s">
        <v>107</v>
      </c>
      <c r="AA168" s="14" t="s">
        <v>107</v>
      </c>
      <c r="AB168" s="14" t="s">
        <v>112</v>
      </c>
      <c r="AC168" s="14" t="s">
        <v>113</v>
      </c>
      <c r="AD168" s="14" t="s">
        <v>114</v>
      </c>
    </row>
    <row r="169" customFormat="false" ht="78" hidden="false" customHeight="true" outlineLevel="0" collapsed="false">
      <c r="A169" s="14" t="s">
        <v>2280</v>
      </c>
      <c r="B169" s="14" t="s">
        <v>44</v>
      </c>
      <c r="C169" s="14" t="s">
        <v>2281</v>
      </c>
      <c r="D169" s="14" t="s">
        <v>564</v>
      </c>
      <c r="E169" s="14" t="s">
        <v>2282</v>
      </c>
      <c r="F169" s="15" t="s">
        <v>2283</v>
      </c>
      <c r="G169" s="14" t="s">
        <v>168</v>
      </c>
      <c r="H169" s="14" t="s">
        <v>2284</v>
      </c>
      <c r="I169" s="14" t="s">
        <v>2285</v>
      </c>
      <c r="J169" s="14" t="s">
        <v>400</v>
      </c>
      <c r="K169" s="22" t="s">
        <v>1668</v>
      </c>
      <c r="L169" s="14" t="s">
        <v>2286</v>
      </c>
      <c r="M169" s="14" t="s">
        <v>2287</v>
      </c>
      <c r="N169" s="14" t="s">
        <v>2288</v>
      </c>
      <c r="O169" s="14"/>
      <c r="P169" s="14" t="s">
        <v>2289</v>
      </c>
      <c r="Q169" s="14" t="s">
        <v>2290</v>
      </c>
      <c r="R169" s="14" t="s">
        <v>589</v>
      </c>
      <c r="S169" s="20" t="s">
        <v>324</v>
      </c>
      <c r="T169" s="17" t="s">
        <v>107</v>
      </c>
      <c r="U169" s="14" t="s">
        <v>2291</v>
      </c>
      <c r="V169" s="14" t="s">
        <v>109</v>
      </c>
      <c r="W169" s="18" t="s">
        <v>110</v>
      </c>
      <c r="X169" s="14" t="s">
        <v>2292</v>
      </c>
      <c r="Y169" s="14" t="s">
        <v>194</v>
      </c>
      <c r="Z169" s="14" t="s">
        <v>107</v>
      </c>
      <c r="AA169" s="14" t="s">
        <v>107</v>
      </c>
      <c r="AB169" s="14" t="s">
        <v>112</v>
      </c>
      <c r="AC169" s="14" t="s">
        <v>113</v>
      </c>
      <c r="AD169" s="14" t="s">
        <v>114</v>
      </c>
    </row>
    <row r="170" customFormat="false" ht="78" hidden="false" customHeight="true" outlineLevel="0" collapsed="false">
      <c r="A170" s="14" t="s">
        <v>2293</v>
      </c>
      <c r="B170" s="14" t="s">
        <v>44</v>
      </c>
      <c r="C170" s="14" t="s">
        <v>2294</v>
      </c>
      <c r="D170" s="14" t="s">
        <v>564</v>
      </c>
      <c r="E170" s="14" t="s">
        <v>2282</v>
      </c>
      <c r="F170" s="15" t="s">
        <v>2283</v>
      </c>
      <c r="G170" s="14" t="s">
        <v>168</v>
      </c>
      <c r="H170" s="14" t="s">
        <v>2295</v>
      </c>
      <c r="I170" s="14" t="s">
        <v>2296</v>
      </c>
      <c r="J170" s="14" t="s">
        <v>57</v>
      </c>
      <c r="K170" s="22" t="s">
        <v>1668</v>
      </c>
      <c r="L170" s="14" t="s">
        <v>2297</v>
      </c>
      <c r="M170" s="14" t="s">
        <v>2298</v>
      </c>
      <c r="N170" s="14" t="s">
        <v>2299</v>
      </c>
      <c r="O170" s="14"/>
      <c r="P170" s="14" t="s">
        <v>2300</v>
      </c>
      <c r="Q170" s="14" t="s">
        <v>2301</v>
      </c>
      <c r="R170" s="14" t="s">
        <v>589</v>
      </c>
      <c r="S170" s="20" t="s">
        <v>324</v>
      </c>
      <c r="T170" s="17" t="s">
        <v>107</v>
      </c>
      <c r="U170" s="14" t="s">
        <v>2302</v>
      </c>
      <c r="V170" s="14" t="s">
        <v>109</v>
      </c>
      <c r="W170" s="18" t="s">
        <v>110</v>
      </c>
      <c r="X170" s="14" t="s">
        <v>2303</v>
      </c>
      <c r="Y170" s="14" t="s">
        <v>194</v>
      </c>
      <c r="Z170" s="14" t="s">
        <v>107</v>
      </c>
      <c r="AA170" s="14" t="s">
        <v>107</v>
      </c>
      <c r="AB170" s="14" t="s">
        <v>112</v>
      </c>
      <c r="AC170" s="14" t="s">
        <v>113</v>
      </c>
      <c r="AD170" s="14" t="s">
        <v>114</v>
      </c>
    </row>
    <row r="171" customFormat="false" ht="78" hidden="false" customHeight="true" outlineLevel="0" collapsed="false">
      <c r="A171" s="14" t="s">
        <v>2304</v>
      </c>
      <c r="B171" s="14" t="s">
        <v>44</v>
      </c>
      <c r="C171" s="14" t="s">
        <v>2305</v>
      </c>
      <c r="D171" s="14" t="s">
        <v>564</v>
      </c>
      <c r="E171" s="14" t="s">
        <v>2306</v>
      </c>
      <c r="F171" s="15" t="s">
        <v>2307</v>
      </c>
      <c r="G171" s="14" t="s">
        <v>2308</v>
      </c>
      <c r="H171" s="14" t="s">
        <v>2309</v>
      </c>
      <c r="I171" s="14" t="s">
        <v>2310</v>
      </c>
      <c r="J171" s="14" t="s">
        <v>55</v>
      </c>
      <c r="K171" s="22" t="s">
        <v>1668</v>
      </c>
      <c r="L171" s="14" t="s">
        <v>2311</v>
      </c>
      <c r="M171" s="14" t="s">
        <v>2312</v>
      </c>
      <c r="N171" s="14" t="s">
        <v>2313</v>
      </c>
      <c r="O171" s="14"/>
      <c r="P171" s="14" t="s">
        <v>2314</v>
      </c>
      <c r="Q171" s="14" t="s">
        <v>2315</v>
      </c>
      <c r="R171" s="14" t="s">
        <v>589</v>
      </c>
      <c r="S171" s="20" t="s">
        <v>324</v>
      </c>
      <c r="T171" s="20" t="s">
        <v>324</v>
      </c>
      <c r="U171" s="14" t="s">
        <v>2316</v>
      </c>
      <c r="V171" s="14" t="s">
        <v>109</v>
      </c>
      <c r="W171" s="18" t="s">
        <v>110</v>
      </c>
      <c r="X171" s="14" t="s">
        <v>2317</v>
      </c>
      <c r="Y171" s="14" t="s">
        <v>1668</v>
      </c>
      <c r="Z171" s="14" t="s">
        <v>107</v>
      </c>
      <c r="AA171" s="14" t="s">
        <v>107</v>
      </c>
      <c r="AB171" s="14" t="s">
        <v>112</v>
      </c>
      <c r="AC171" s="14" t="s">
        <v>113</v>
      </c>
      <c r="AD171" s="14" t="s">
        <v>114</v>
      </c>
    </row>
    <row r="172" customFormat="false" ht="78" hidden="false" customHeight="true" outlineLevel="0" collapsed="false">
      <c r="A172" s="14" t="s">
        <v>2318</v>
      </c>
      <c r="B172" s="14" t="s">
        <v>45</v>
      </c>
      <c r="C172" s="14" t="s">
        <v>2319</v>
      </c>
      <c r="D172" s="14" t="s">
        <v>564</v>
      </c>
      <c r="E172" s="14" t="s">
        <v>2320</v>
      </c>
      <c r="F172" s="15" t="s">
        <v>581</v>
      </c>
      <c r="G172" s="14" t="s">
        <v>2321</v>
      </c>
      <c r="H172" s="14" t="s">
        <v>2322</v>
      </c>
      <c r="I172" s="14" t="s">
        <v>2323</v>
      </c>
      <c r="J172" s="14" t="s">
        <v>536</v>
      </c>
      <c r="K172" s="22" t="s">
        <v>1668</v>
      </c>
      <c r="L172" s="14" t="s">
        <v>2324</v>
      </c>
      <c r="M172" s="14" t="s">
        <v>2325</v>
      </c>
      <c r="N172" s="14" t="s">
        <v>2326</v>
      </c>
      <c r="O172" s="14"/>
      <c r="P172" s="14" t="s">
        <v>2327</v>
      </c>
      <c r="Q172" s="14" t="s">
        <v>2328</v>
      </c>
      <c r="R172" s="14" t="s">
        <v>589</v>
      </c>
      <c r="S172" s="17" t="s">
        <v>107</v>
      </c>
      <c r="T172" s="17" t="s">
        <v>107</v>
      </c>
      <c r="U172" s="14" t="s">
        <v>2329</v>
      </c>
      <c r="V172" s="14" t="s">
        <v>109</v>
      </c>
      <c r="W172" s="18" t="s">
        <v>110</v>
      </c>
      <c r="X172" s="14" t="s">
        <v>2330</v>
      </c>
      <c r="Y172" s="14" t="s">
        <v>194</v>
      </c>
      <c r="Z172" s="14" t="s">
        <v>107</v>
      </c>
      <c r="AA172" s="14" t="s">
        <v>107</v>
      </c>
      <c r="AB172" s="14" t="s">
        <v>921</v>
      </c>
      <c r="AC172" s="14" t="s">
        <v>113</v>
      </c>
      <c r="AD172" s="14" t="s">
        <v>114</v>
      </c>
    </row>
    <row r="173" customFormat="false" ht="78" hidden="false" customHeight="true" outlineLevel="0" collapsed="false">
      <c r="A173" s="14" t="s">
        <v>2331</v>
      </c>
      <c r="B173" s="14" t="s">
        <v>45</v>
      </c>
      <c r="C173" s="14" t="s">
        <v>2332</v>
      </c>
      <c r="D173" s="14" t="s">
        <v>564</v>
      </c>
      <c r="E173" s="14" t="s">
        <v>533</v>
      </c>
      <c r="F173" s="15" t="s">
        <v>2333</v>
      </c>
      <c r="G173" s="14" t="s">
        <v>533</v>
      </c>
      <c r="H173" s="14" t="s">
        <v>2334</v>
      </c>
      <c r="I173" s="14" t="s">
        <v>2335</v>
      </c>
      <c r="J173" s="14" t="s">
        <v>56</v>
      </c>
      <c r="K173" s="22" t="s">
        <v>1668</v>
      </c>
      <c r="L173" s="14" t="s">
        <v>2336</v>
      </c>
      <c r="M173" s="14" t="s">
        <v>2337</v>
      </c>
      <c r="N173" s="14" t="s">
        <v>2338</v>
      </c>
      <c r="O173" s="14"/>
      <c r="P173" s="14" t="s">
        <v>2339</v>
      </c>
      <c r="Q173" s="14" t="s">
        <v>2340</v>
      </c>
      <c r="R173" s="14" t="s">
        <v>2341</v>
      </c>
      <c r="S173" s="20" t="s">
        <v>324</v>
      </c>
      <c r="T173" s="17" t="s">
        <v>107</v>
      </c>
      <c r="U173" s="14" t="s">
        <v>2342</v>
      </c>
      <c r="V173" s="14" t="s">
        <v>109</v>
      </c>
      <c r="W173" s="18" t="s">
        <v>110</v>
      </c>
      <c r="X173" s="14" t="s">
        <v>2343</v>
      </c>
      <c r="Y173" s="14" t="s">
        <v>1668</v>
      </c>
      <c r="Z173" s="14" t="s">
        <v>107</v>
      </c>
      <c r="AA173" s="14" t="s">
        <v>107</v>
      </c>
      <c r="AB173" s="14" t="s">
        <v>921</v>
      </c>
      <c r="AC173" s="14" t="s">
        <v>1314</v>
      </c>
      <c r="AD173" s="14" t="s">
        <v>1315</v>
      </c>
    </row>
    <row r="174" customFormat="false" ht="78" hidden="false" customHeight="true" outlineLevel="0" collapsed="false">
      <c r="A174" s="14" t="s">
        <v>2344</v>
      </c>
      <c r="B174" s="14" t="s">
        <v>48</v>
      </c>
      <c r="C174" s="14" t="s">
        <v>2345</v>
      </c>
      <c r="D174" s="14" t="s">
        <v>564</v>
      </c>
      <c r="E174" s="14" t="s">
        <v>2346</v>
      </c>
      <c r="F174" s="15" t="s">
        <v>2347</v>
      </c>
      <c r="G174" s="14" t="s">
        <v>285</v>
      </c>
      <c r="H174" s="14" t="s">
        <v>2348</v>
      </c>
      <c r="I174" s="14" t="s">
        <v>2349</v>
      </c>
      <c r="J174" s="14" t="s">
        <v>54</v>
      </c>
      <c r="K174" s="22" t="s">
        <v>1668</v>
      </c>
      <c r="L174" s="14" t="s">
        <v>2350</v>
      </c>
      <c r="M174" s="14" t="s">
        <v>2351</v>
      </c>
      <c r="N174" s="14" t="s">
        <v>2352</v>
      </c>
      <c r="O174" s="14"/>
      <c r="P174" s="14" t="s">
        <v>2353</v>
      </c>
      <c r="Q174" s="14" t="s">
        <v>2354</v>
      </c>
      <c r="R174" s="14" t="s">
        <v>2341</v>
      </c>
      <c r="S174" s="17" t="s">
        <v>107</v>
      </c>
      <c r="T174" s="20" t="s">
        <v>324</v>
      </c>
      <c r="U174" s="14" t="s">
        <v>2355</v>
      </c>
      <c r="V174" s="14" t="s">
        <v>109</v>
      </c>
      <c r="W174" s="18" t="s">
        <v>110</v>
      </c>
      <c r="X174" s="14" t="s">
        <v>2356</v>
      </c>
      <c r="Y174" s="14" t="s">
        <v>1668</v>
      </c>
      <c r="Z174" s="14" t="s">
        <v>107</v>
      </c>
      <c r="AA174" s="14" t="s">
        <v>107</v>
      </c>
      <c r="AB174" s="14" t="s">
        <v>559</v>
      </c>
      <c r="AC174" s="14" t="s">
        <v>560</v>
      </c>
      <c r="AD174" s="14" t="s">
        <v>561</v>
      </c>
    </row>
    <row r="175" customFormat="false" ht="78" hidden="false" customHeight="true" outlineLevel="0" collapsed="false">
      <c r="A175" s="14" t="s">
        <v>2357</v>
      </c>
      <c r="B175" s="14" t="s">
        <v>43</v>
      </c>
      <c r="C175" s="14" t="s">
        <v>2358</v>
      </c>
      <c r="D175" s="14" t="s">
        <v>564</v>
      </c>
      <c r="E175" s="14" t="s">
        <v>2359</v>
      </c>
      <c r="F175" s="14"/>
      <c r="G175" s="14" t="s">
        <v>285</v>
      </c>
      <c r="H175" s="14" t="s">
        <v>2360</v>
      </c>
      <c r="I175" s="14" t="s">
        <v>2361</v>
      </c>
      <c r="J175" s="14" t="s">
        <v>53</v>
      </c>
      <c r="K175" s="22" t="s">
        <v>1668</v>
      </c>
      <c r="L175" s="14" t="s">
        <v>2362</v>
      </c>
      <c r="M175" s="14" t="s">
        <v>2363</v>
      </c>
      <c r="N175" s="14" t="s">
        <v>2364</v>
      </c>
      <c r="O175" s="14"/>
      <c r="P175" s="14" t="s">
        <v>2365</v>
      </c>
      <c r="Q175" s="14" t="s">
        <v>2366</v>
      </c>
      <c r="R175" s="14" t="s">
        <v>161</v>
      </c>
      <c r="S175" s="20" t="s">
        <v>324</v>
      </c>
      <c r="T175" s="17" t="s">
        <v>107</v>
      </c>
      <c r="U175" s="14" t="s">
        <v>2367</v>
      </c>
      <c r="V175" s="14" t="s">
        <v>109</v>
      </c>
      <c r="W175" s="18" t="s">
        <v>110</v>
      </c>
      <c r="X175" s="14" t="s">
        <v>2368</v>
      </c>
      <c r="Y175" s="14" t="s">
        <v>1668</v>
      </c>
      <c r="Z175" s="14" t="s">
        <v>946</v>
      </c>
      <c r="AA175" s="14" t="s">
        <v>107</v>
      </c>
      <c r="AB175" s="14" t="s">
        <v>131</v>
      </c>
      <c r="AC175" s="14" t="s">
        <v>113</v>
      </c>
      <c r="AD175" s="14" t="s">
        <v>114</v>
      </c>
    </row>
    <row r="176" customFormat="false" ht="78" hidden="false" customHeight="true" outlineLevel="0" collapsed="false">
      <c r="A176" s="14" t="s">
        <v>2369</v>
      </c>
      <c r="B176" s="14" t="s">
        <v>43</v>
      </c>
      <c r="C176" s="14" t="s">
        <v>2370</v>
      </c>
      <c r="D176" s="14" t="s">
        <v>564</v>
      </c>
      <c r="E176" s="14" t="s">
        <v>2282</v>
      </c>
      <c r="F176" s="15" t="s">
        <v>2283</v>
      </c>
      <c r="G176" s="14" t="s">
        <v>168</v>
      </c>
      <c r="H176" s="14" t="s">
        <v>2371</v>
      </c>
      <c r="I176" s="14" t="s">
        <v>2372</v>
      </c>
      <c r="J176" s="14" t="s">
        <v>50</v>
      </c>
      <c r="K176" s="22" t="s">
        <v>1668</v>
      </c>
      <c r="L176" s="14" t="s">
        <v>2373</v>
      </c>
      <c r="M176" s="14" t="s">
        <v>2374</v>
      </c>
      <c r="N176" s="14" t="s">
        <v>2375</v>
      </c>
      <c r="O176" s="14"/>
      <c r="P176" s="14" t="s">
        <v>2376</v>
      </c>
      <c r="Q176" s="14" t="s">
        <v>2377</v>
      </c>
      <c r="R176" s="14" t="s">
        <v>161</v>
      </c>
      <c r="S176" s="17" t="s">
        <v>107</v>
      </c>
      <c r="T176" s="20" t="s">
        <v>324</v>
      </c>
      <c r="U176" s="14" t="s">
        <v>2378</v>
      </c>
      <c r="V176" s="14" t="s">
        <v>109</v>
      </c>
      <c r="W176" s="18" t="s">
        <v>110</v>
      </c>
      <c r="X176" s="14" t="s">
        <v>2379</v>
      </c>
      <c r="Y176" s="14" t="s">
        <v>194</v>
      </c>
      <c r="Z176" s="14" t="s">
        <v>107</v>
      </c>
      <c r="AA176" s="14" t="s">
        <v>107</v>
      </c>
      <c r="AB176" s="14" t="s">
        <v>131</v>
      </c>
      <c r="AC176" s="14" t="s">
        <v>113</v>
      </c>
      <c r="AD176" s="14" t="s">
        <v>114</v>
      </c>
    </row>
    <row r="177" customFormat="false" ht="78" hidden="false" customHeight="true" outlineLevel="0" collapsed="false">
      <c r="A177" s="14" t="s">
        <v>2380</v>
      </c>
      <c r="B177" s="14" t="s">
        <v>43</v>
      </c>
      <c r="C177" s="14" t="s">
        <v>2381</v>
      </c>
      <c r="D177" s="14" t="s">
        <v>564</v>
      </c>
      <c r="E177" s="14" t="s">
        <v>2282</v>
      </c>
      <c r="F177" s="15" t="s">
        <v>2283</v>
      </c>
      <c r="G177" s="14" t="s">
        <v>168</v>
      </c>
      <c r="H177" s="14" t="s">
        <v>2382</v>
      </c>
      <c r="I177" s="14" t="s">
        <v>2383</v>
      </c>
      <c r="J177" s="14" t="s">
        <v>51</v>
      </c>
      <c r="K177" s="22" t="s">
        <v>1668</v>
      </c>
      <c r="L177" s="14" t="s">
        <v>2384</v>
      </c>
      <c r="M177" s="14" t="s">
        <v>2385</v>
      </c>
      <c r="N177" s="14" t="s">
        <v>2386</v>
      </c>
      <c r="O177" s="14"/>
      <c r="P177" s="14" t="s">
        <v>2387</v>
      </c>
      <c r="Q177" s="14" t="s">
        <v>2388</v>
      </c>
      <c r="R177" s="14" t="s">
        <v>589</v>
      </c>
      <c r="S177" s="17" t="s">
        <v>107</v>
      </c>
      <c r="T177" s="20" t="s">
        <v>324</v>
      </c>
      <c r="U177" s="14" t="s">
        <v>2389</v>
      </c>
      <c r="V177" s="14" t="s">
        <v>109</v>
      </c>
      <c r="W177" s="18" t="s">
        <v>110</v>
      </c>
      <c r="X177" s="14" t="s">
        <v>2390</v>
      </c>
      <c r="Y177" s="14" t="s">
        <v>194</v>
      </c>
      <c r="Z177" s="14" t="s">
        <v>107</v>
      </c>
      <c r="AA177" s="14" t="s">
        <v>107</v>
      </c>
      <c r="AB177" s="14" t="s">
        <v>131</v>
      </c>
      <c r="AC177" s="14" t="s">
        <v>113</v>
      </c>
      <c r="AD177" s="14" t="s">
        <v>114</v>
      </c>
    </row>
    <row r="178" customFormat="false" ht="78" hidden="false" customHeight="true" outlineLevel="0" collapsed="false">
      <c r="A178" s="14" t="s">
        <v>2391</v>
      </c>
      <c r="B178" s="14" t="s">
        <v>43</v>
      </c>
      <c r="C178" s="14" t="s">
        <v>2392</v>
      </c>
      <c r="D178" s="14" t="s">
        <v>564</v>
      </c>
      <c r="E178" s="14" t="s">
        <v>2282</v>
      </c>
      <c r="F178" s="15" t="s">
        <v>2283</v>
      </c>
      <c r="G178" s="14" t="s">
        <v>168</v>
      </c>
      <c r="H178" s="14" t="s">
        <v>2393</v>
      </c>
      <c r="I178" s="14" t="s">
        <v>2394</v>
      </c>
      <c r="J178" s="14" t="s">
        <v>50</v>
      </c>
      <c r="K178" s="22" t="s">
        <v>1668</v>
      </c>
      <c r="L178" s="14" t="s">
        <v>2395</v>
      </c>
      <c r="M178" s="14" t="s">
        <v>2396</v>
      </c>
      <c r="N178" s="14" t="s">
        <v>2397</v>
      </c>
      <c r="O178" s="14"/>
      <c r="P178" s="14" t="s">
        <v>2398</v>
      </c>
      <c r="Q178" s="14" t="s">
        <v>2399</v>
      </c>
      <c r="R178" s="14" t="s">
        <v>161</v>
      </c>
      <c r="S178" s="20" t="s">
        <v>324</v>
      </c>
      <c r="T178" s="17" t="s">
        <v>107</v>
      </c>
      <c r="U178" s="14" t="s">
        <v>2400</v>
      </c>
      <c r="V178" s="14" t="s">
        <v>109</v>
      </c>
      <c r="W178" s="18" t="s">
        <v>110</v>
      </c>
      <c r="X178" s="14" t="s">
        <v>2401</v>
      </c>
      <c r="Y178" s="14" t="s">
        <v>1668</v>
      </c>
      <c r="Z178" s="14" t="s">
        <v>107</v>
      </c>
      <c r="AA178" s="14" t="s">
        <v>107</v>
      </c>
      <c r="AB178" s="14" t="s">
        <v>131</v>
      </c>
      <c r="AC178" s="14" t="s">
        <v>113</v>
      </c>
      <c r="AD178" s="14" t="s">
        <v>114</v>
      </c>
    </row>
    <row r="179" customFormat="false" ht="78" hidden="false" customHeight="true" outlineLevel="0" collapsed="false">
      <c r="A179" s="14" t="s">
        <v>2402</v>
      </c>
      <c r="B179" s="14" t="s">
        <v>46</v>
      </c>
      <c r="C179" s="14" t="s">
        <v>2403</v>
      </c>
      <c r="D179" s="14" t="s">
        <v>34</v>
      </c>
      <c r="E179" s="14" t="s">
        <v>2404</v>
      </c>
      <c r="F179" s="15" t="s">
        <v>609</v>
      </c>
      <c r="G179" s="14" t="s">
        <v>596</v>
      </c>
      <c r="H179" s="14" t="s">
        <v>2405</v>
      </c>
      <c r="I179" s="14" t="s">
        <v>2406</v>
      </c>
      <c r="J179" s="14" t="s">
        <v>51</v>
      </c>
      <c r="K179" s="22" t="s">
        <v>1668</v>
      </c>
      <c r="L179" s="14" t="s">
        <v>2407</v>
      </c>
      <c r="M179" s="14" t="s">
        <v>2408</v>
      </c>
      <c r="N179" s="14" t="s">
        <v>2409</v>
      </c>
      <c r="O179" s="14"/>
      <c r="P179" s="14" t="s">
        <v>2410</v>
      </c>
      <c r="Q179" s="14" t="s">
        <v>2411</v>
      </c>
      <c r="R179" s="14" t="s">
        <v>575</v>
      </c>
      <c r="S179" s="17" t="s">
        <v>107</v>
      </c>
      <c r="T179" s="17" t="s">
        <v>107</v>
      </c>
      <c r="U179" s="14" t="s">
        <v>2412</v>
      </c>
      <c r="V179" s="14" t="s">
        <v>109</v>
      </c>
      <c r="W179" s="21" t="s">
        <v>429</v>
      </c>
      <c r="X179" s="14" t="s">
        <v>2413</v>
      </c>
      <c r="Y179" s="14" t="s">
        <v>100</v>
      </c>
      <c r="Z179" s="14" t="s">
        <v>107</v>
      </c>
      <c r="AA179" s="14" t="s">
        <v>107</v>
      </c>
      <c r="AB179" s="14" t="s">
        <v>147</v>
      </c>
      <c r="AC179" s="14" t="s">
        <v>113</v>
      </c>
      <c r="AD179" s="14" t="s">
        <v>114</v>
      </c>
    </row>
    <row r="180" customFormat="false" ht="78" hidden="false" customHeight="true" outlineLevel="0" collapsed="false">
      <c r="A180" s="14" t="s">
        <v>2414</v>
      </c>
      <c r="B180" s="14" t="s">
        <v>46</v>
      </c>
      <c r="C180" s="14" t="s">
        <v>2415</v>
      </c>
      <c r="D180" s="14" t="s">
        <v>34</v>
      </c>
      <c r="E180" s="14" t="s">
        <v>647</v>
      </c>
      <c r="F180" s="15" t="s">
        <v>648</v>
      </c>
      <c r="G180" s="14" t="s">
        <v>533</v>
      </c>
      <c r="H180" s="14" t="s">
        <v>2416</v>
      </c>
      <c r="I180" s="14" t="s">
        <v>2417</v>
      </c>
      <c r="J180" s="14" t="s">
        <v>51</v>
      </c>
      <c r="K180" s="22" t="s">
        <v>1668</v>
      </c>
      <c r="L180" s="14" t="s">
        <v>2418</v>
      </c>
      <c r="M180" s="14" t="s">
        <v>2419</v>
      </c>
      <c r="N180" s="14" t="s">
        <v>2420</v>
      </c>
      <c r="O180" s="14"/>
      <c r="P180" s="14" t="s">
        <v>2421</v>
      </c>
      <c r="Q180" s="14" t="s">
        <v>2422</v>
      </c>
      <c r="R180" s="14" t="s">
        <v>575</v>
      </c>
      <c r="S180" s="17" t="s">
        <v>107</v>
      </c>
      <c r="T180" s="17" t="s">
        <v>107</v>
      </c>
      <c r="U180" s="14" t="s">
        <v>2423</v>
      </c>
      <c r="V180" s="14" t="s">
        <v>109</v>
      </c>
      <c r="W180" s="21" t="s">
        <v>429</v>
      </c>
      <c r="X180" s="14" t="s">
        <v>2424</v>
      </c>
      <c r="Y180" s="14" t="s">
        <v>100</v>
      </c>
      <c r="Z180" s="14" t="s">
        <v>107</v>
      </c>
      <c r="AA180" s="14" t="s">
        <v>107</v>
      </c>
      <c r="AB180" s="14" t="s">
        <v>147</v>
      </c>
      <c r="AC180" s="14" t="s">
        <v>113</v>
      </c>
      <c r="AD180" s="14" t="s">
        <v>114</v>
      </c>
    </row>
    <row r="181" customFormat="false" ht="78" hidden="false" customHeight="true" outlineLevel="0" collapsed="false">
      <c r="A181" s="14" t="s">
        <v>2425</v>
      </c>
      <c r="B181" s="14" t="s">
        <v>46</v>
      </c>
      <c r="C181" s="14" t="s">
        <v>2426</v>
      </c>
      <c r="D181" s="14" t="s">
        <v>34</v>
      </c>
      <c r="E181" s="14" t="s">
        <v>660</v>
      </c>
      <c r="F181" s="15" t="s">
        <v>661</v>
      </c>
      <c r="G181" s="14" t="s">
        <v>662</v>
      </c>
      <c r="H181" s="14" t="s">
        <v>2427</v>
      </c>
      <c r="I181" s="14" t="s">
        <v>2428</v>
      </c>
      <c r="J181" s="14" t="s">
        <v>51</v>
      </c>
      <c r="K181" s="22" t="s">
        <v>1668</v>
      </c>
      <c r="L181" s="14" t="s">
        <v>2429</v>
      </c>
      <c r="M181" s="14" t="s">
        <v>2430</v>
      </c>
      <c r="N181" s="14" t="s">
        <v>2431</v>
      </c>
      <c r="O181" s="14"/>
      <c r="P181" s="14" t="s">
        <v>2432</v>
      </c>
      <c r="Q181" s="14" t="s">
        <v>2433</v>
      </c>
      <c r="R181" s="14" t="s">
        <v>575</v>
      </c>
      <c r="S181" s="17" t="s">
        <v>107</v>
      </c>
      <c r="T181" s="17" t="s">
        <v>107</v>
      </c>
      <c r="U181" s="14" t="s">
        <v>2434</v>
      </c>
      <c r="V181" s="14" t="s">
        <v>109</v>
      </c>
      <c r="W181" s="21" t="s">
        <v>429</v>
      </c>
      <c r="X181" s="14" t="s">
        <v>2435</v>
      </c>
      <c r="Y181" s="14" t="s">
        <v>100</v>
      </c>
      <c r="Z181" s="14" t="s">
        <v>107</v>
      </c>
      <c r="AA181" s="14" t="s">
        <v>107</v>
      </c>
      <c r="AB181" s="14" t="s">
        <v>147</v>
      </c>
      <c r="AC181" s="14" t="s">
        <v>113</v>
      </c>
      <c r="AD181" s="14" t="s">
        <v>114</v>
      </c>
    </row>
    <row r="182" customFormat="false" ht="78" hidden="false" customHeight="true" outlineLevel="0" collapsed="false">
      <c r="A182" s="14" t="s">
        <v>2436</v>
      </c>
      <c r="B182" s="14" t="s">
        <v>46</v>
      </c>
      <c r="C182" s="14" t="s">
        <v>2437</v>
      </c>
      <c r="D182" s="14" t="s">
        <v>34</v>
      </c>
      <c r="E182" s="14" t="s">
        <v>594</v>
      </c>
      <c r="F182" s="15" t="s">
        <v>595</v>
      </c>
      <c r="G182" s="14" t="s">
        <v>596</v>
      </c>
      <c r="H182" s="14" t="s">
        <v>2438</v>
      </c>
      <c r="I182" s="14" t="s">
        <v>2439</v>
      </c>
      <c r="J182" s="14" t="s">
        <v>51</v>
      </c>
      <c r="K182" s="22" t="s">
        <v>1668</v>
      </c>
      <c r="L182" s="14" t="s">
        <v>2440</v>
      </c>
      <c r="M182" s="14" t="s">
        <v>2441</v>
      </c>
      <c r="N182" s="14" t="s">
        <v>2442</v>
      </c>
      <c r="O182" s="14"/>
      <c r="P182" s="14" t="s">
        <v>2443</v>
      </c>
      <c r="Q182" s="14" t="s">
        <v>2444</v>
      </c>
      <c r="R182" s="14" t="s">
        <v>575</v>
      </c>
      <c r="S182" s="17" t="s">
        <v>107</v>
      </c>
      <c r="T182" s="17" t="s">
        <v>107</v>
      </c>
      <c r="U182" s="14" t="s">
        <v>2445</v>
      </c>
      <c r="V182" s="14" t="s">
        <v>109</v>
      </c>
      <c r="W182" s="21" t="s">
        <v>429</v>
      </c>
      <c r="X182" s="14" t="s">
        <v>2446</v>
      </c>
      <c r="Y182" s="14" t="s">
        <v>194</v>
      </c>
      <c r="Z182" s="14" t="s">
        <v>107</v>
      </c>
      <c r="AA182" s="14" t="s">
        <v>107</v>
      </c>
      <c r="AB182" s="14" t="s">
        <v>147</v>
      </c>
      <c r="AC182" s="14" t="s">
        <v>113</v>
      </c>
      <c r="AD182" s="14" t="s">
        <v>114</v>
      </c>
    </row>
    <row r="183" customFormat="false" ht="78" hidden="false" customHeight="true" outlineLevel="0" collapsed="false">
      <c r="A183" s="14" t="s">
        <v>2447</v>
      </c>
      <c r="B183" s="14" t="s">
        <v>46</v>
      </c>
      <c r="C183" s="14" t="s">
        <v>2448</v>
      </c>
      <c r="D183" s="14" t="s">
        <v>34</v>
      </c>
      <c r="E183" s="14" t="s">
        <v>2449</v>
      </c>
      <c r="F183" s="15" t="s">
        <v>2450</v>
      </c>
      <c r="G183" s="14" t="s">
        <v>2451</v>
      </c>
      <c r="H183" s="14" t="s">
        <v>2452</v>
      </c>
      <c r="I183" s="14" t="s">
        <v>2453</v>
      </c>
      <c r="J183" s="14" t="s">
        <v>51</v>
      </c>
      <c r="K183" s="22" t="s">
        <v>1668</v>
      </c>
      <c r="L183" s="14" t="s">
        <v>2454</v>
      </c>
      <c r="M183" s="14" t="s">
        <v>2455</v>
      </c>
      <c r="N183" s="14" t="s">
        <v>2456</v>
      </c>
      <c r="O183" s="14"/>
      <c r="P183" s="14" t="s">
        <v>2457</v>
      </c>
      <c r="Q183" s="14" t="s">
        <v>2458</v>
      </c>
      <c r="R183" s="14" t="s">
        <v>575</v>
      </c>
      <c r="S183" s="17" t="s">
        <v>107</v>
      </c>
      <c r="T183" s="17" t="s">
        <v>107</v>
      </c>
      <c r="U183" s="14" t="s">
        <v>2459</v>
      </c>
      <c r="V183" s="14" t="s">
        <v>109</v>
      </c>
      <c r="W183" s="18" t="s">
        <v>110</v>
      </c>
      <c r="X183" s="14" t="s">
        <v>2460</v>
      </c>
      <c r="Y183" s="14" t="s">
        <v>194</v>
      </c>
      <c r="Z183" s="14" t="s">
        <v>107</v>
      </c>
      <c r="AA183" s="14" t="s">
        <v>107</v>
      </c>
      <c r="AB183" s="14" t="s">
        <v>147</v>
      </c>
      <c r="AC183" s="14" t="s">
        <v>113</v>
      </c>
      <c r="AD183" s="14" t="s">
        <v>114</v>
      </c>
    </row>
    <row r="184" customFormat="false" ht="78" hidden="false" customHeight="true" outlineLevel="0" collapsed="false">
      <c r="A184" s="14" t="s">
        <v>2461</v>
      </c>
      <c r="B184" s="14" t="s">
        <v>46</v>
      </c>
      <c r="C184" s="14" t="s">
        <v>2462</v>
      </c>
      <c r="D184" s="14" t="s">
        <v>34</v>
      </c>
      <c r="E184" s="14" t="s">
        <v>2463</v>
      </c>
      <c r="F184" s="15" t="s">
        <v>595</v>
      </c>
      <c r="G184" s="14" t="s">
        <v>596</v>
      </c>
      <c r="H184" s="14" t="s">
        <v>2464</v>
      </c>
      <c r="I184" s="14" t="s">
        <v>2465</v>
      </c>
      <c r="J184" s="14" t="s">
        <v>51</v>
      </c>
      <c r="K184" s="22" t="s">
        <v>1668</v>
      </c>
      <c r="L184" s="14" t="s">
        <v>2466</v>
      </c>
      <c r="M184" s="14" t="s">
        <v>2467</v>
      </c>
      <c r="N184" s="14" t="s">
        <v>2468</v>
      </c>
      <c r="O184" s="14"/>
      <c r="P184" s="14" t="s">
        <v>2469</v>
      </c>
      <c r="Q184" s="14" t="s">
        <v>2470</v>
      </c>
      <c r="R184" s="14" t="s">
        <v>575</v>
      </c>
      <c r="S184" s="17" t="s">
        <v>107</v>
      </c>
      <c r="T184" s="17" t="s">
        <v>107</v>
      </c>
      <c r="U184" s="14" t="s">
        <v>2471</v>
      </c>
      <c r="V184" s="14" t="s">
        <v>109</v>
      </c>
      <c r="W184" s="21" t="s">
        <v>429</v>
      </c>
      <c r="X184" s="14" t="s">
        <v>2472</v>
      </c>
      <c r="Y184" s="14" t="s">
        <v>194</v>
      </c>
      <c r="Z184" s="14" t="s">
        <v>107</v>
      </c>
      <c r="AA184" s="14" t="s">
        <v>107</v>
      </c>
      <c r="AB184" s="14" t="s">
        <v>147</v>
      </c>
      <c r="AC184" s="14" t="s">
        <v>113</v>
      </c>
      <c r="AD184" s="14" t="s">
        <v>114</v>
      </c>
    </row>
    <row r="185" customFormat="false" ht="78" hidden="false" customHeight="true" outlineLevel="0" collapsed="false">
      <c r="A185" s="14" t="s">
        <v>2473</v>
      </c>
      <c r="B185" s="14" t="s">
        <v>46</v>
      </c>
      <c r="C185" s="14" t="s">
        <v>2474</v>
      </c>
      <c r="D185" s="14" t="s">
        <v>34</v>
      </c>
      <c r="E185" s="14" t="s">
        <v>2463</v>
      </c>
      <c r="F185" s="15" t="s">
        <v>661</v>
      </c>
      <c r="G185" s="14" t="s">
        <v>662</v>
      </c>
      <c r="H185" s="14" t="s">
        <v>2475</v>
      </c>
      <c r="I185" s="14" t="s">
        <v>2476</v>
      </c>
      <c r="J185" s="14" t="s">
        <v>57</v>
      </c>
      <c r="K185" s="22" t="s">
        <v>1668</v>
      </c>
      <c r="L185" s="14" t="s">
        <v>2477</v>
      </c>
      <c r="M185" s="14" t="s">
        <v>2478</v>
      </c>
      <c r="N185" s="14" t="s">
        <v>2479</v>
      </c>
      <c r="O185" s="14"/>
      <c r="P185" s="14" t="s">
        <v>2480</v>
      </c>
      <c r="Q185" s="14" t="s">
        <v>2481</v>
      </c>
      <c r="R185" s="14" t="s">
        <v>575</v>
      </c>
      <c r="S185" s="17" t="s">
        <v>107</v>
      </c>
      <c r="T185" s="20" t="s">
        <v>324</v>
      </c>
      <c r="U185" s="14" t="s">
        <v>2482</v>
      </c>
      <c r="V185" s="14" t="s">
        <v>109</v>
      </c>
      <c r="W185" s="18" t="s">
        <v>110</v>
      </c>
      <c r="X185" s="14" t="s">
        <v>2483</v>
      </c>
      <c r="Y185" s="14" t="s">
        <v>194</v>
      </c>
      <c r="Z185" s="14" t="s">
        <v>107</v>
      </c>
      <c r="AA185" s="14" t="s">
        <v>107</v>
      </c>
      <c r="AB185" s="14" t="s">
        <v>147</v>
      </c>
      <c r="AC185" s="14" t="s">
        <v>113</v>
      </c>
      <c r="AD185" s="14" t="s">
        <v>114</v>
      </c>
    </row>
    <row r="186" customFormat="false" ht="78" hidden="false" customHeight="true" outlineLevel="0" collapsed="false">
      <c r="A186" s="14" t="s">
        <v>2484</v>
      </c>
      <c r="B186" s="14" t="s">
        <v>46</v>
      </c>
      <c r="C186" s="14" t="s">
        <v>2485</v>
      </c>
      <c r="D186" s="14" t="s">
        <v>34</v>
      </c>
      <c r="E186" s="14" t="s">
        <v>2486</v>
      </c>
      <c r="F186" s="15" t="s">
        <v>609</v>
      </c>
      <c r="G186" s="14" t="s">
        <v>596</v>
      </c>
      <c r="H186" s="14" t="s">
        <v>2487</v>
      </c>
      <c r="I186" s="14" t="s">
        <v>2488</v>
      </c>
      <c r="J186" s="14" t="s">
        <v>1269</v>
      </c>
      <c r="K186" s="22" t="s">
        <v>1668</v>
      </c>
      <c r="L186" s="14" t="s">
        <v>2489</v>
      </c>
      <c r="M186" s="14" t="s">
        <v>2490</v>
      </c>
      <c r="N186" s="14" t="s">
        <v>2491</v>
      </c>
      <c r="O186" s="14"/>
      <c r="P186" s="14" t="s">
        <v>2492</v>
      </c>
      <c r="Q186" s="14" t="s">
        <v>2493</v>
      </c>
      <c r="R186" s="14" t="s">
        <v>575</v>
      </c>
      <c r="S186" s="17" t="s">
        <v>107</v>
      </c>
      <c r="T186" s="17" t="s">
        <v>107</v>
      </c>
      <c r="U186" s="14" t="s">
        <v>2494</v>
      </c>
      <c r="V186" s="14" t="s">
        <v>109</v>
      </c>
      <c r="W186" s="18" t="s">
        <v>110</v>
      </c>
      <c r="X186" s="14" t="s">
        <v>2495</v>
      </c>
      <c r="Y186" s="14" t="s">
        <v>194</v>
      </c>
      <c r="Z186" s="14" t="s">
        <v>107</v>
      </c>
      <c r="AA186" s="14" t="s">
        <v>107</v>
      </c>
      <c r="AB186" s="14" t="s">
        <v>147</v>
      </c>
      <c r="AC186" s="14" t="s">
        <v>113</v>
      </c>
      <c r="AD186" s="14" t="s">
        <v>114</v>
      </c>
    </row>
    <row r="187" customFormat="false" ht="78" hidden="false" customHeight="true" outlineLevel="0" collapsed="false">
      <c r="A187" s="14" t="s">
        <v>2496</v>
      </c>
      <c r="B187" s="14" t="s">
        <v>44</v>
      </c>
      <c r="C187" s="14" t="s">
        <v>2497</v>
      </c>
      <c r="D187" s="14" t="s">
        <v>34</v>
      </c>
      <c r="E187" s="14" t="s">
        <v>2498</v>
      </c>
      <c r="F187" s="15" t="s">
        <v>686</v>
      </c>
      <c r="G187" s="14" t="s">
        <v>687</v>
      </c>
      <c r="H187" s="14" t="s">
        <v>2499</v>
      </c>
      <c r="I187" s="14" t="s">
        <v>2500</v>
      </c>
      <c r="J187" s="14" t="s">
        <v>51</v>
      </c>
      <c r="K187" s="22" t="s">
        <v>1668</v>
      </c>
      <c r="L187" s="14" t="s">
        <v>2501</v>
      </c>
      <c r="M187" s="14" t="s">
        <v>2502</v>
      </c>
      <c r="N187" s="14" t="s">
        <v>2503</v>
      </c>
      <c r="O187" s="14"/>
      <c r="P187" s="14" t="s">
        <v>2504</v>
      </c>
      <c r="Q187" s="14" t="s">
        <v>2505</v>
      </c>
      <c r="R187" s="14" t="s">
        <v>575</v>
      </c>
      <c r="S187" s="20" t="s">
        <v>324</v>
      </c>
      <c r="T187" s="20" t="s">
        <v>324</v>
      </c>
      <c r="U187" s="14" t="s">
        <v>2506</v>
      </c>
      <c r="V187" s="14" t="s">
        <v>109</v>
      </c>
      <c r="W187" s="18" t="s">
        <v>110</v>
      </c>
      <c r="X187" s="14" t="s">
        <v>2507</v>
      </c>
      <c r="Y187" s="14" t="s">
        <v>1668</v>
      </c>
      <c r="Z187" s="14" t="s">
        <v>107</v>
      </c>
      <c r="AA187" s="14" t="s">
        <v>107</v>
      </c>
      <c r="AB187" s="14" t="s">
        <v>112</v>
      </c>
      <c r="AC187" s="14" t="s">
        <v>113</v>
      </c>
      <c r="AD187" s="14" t="s">
        <v>114</v>
      </c>
    </row>
    <row r="188" customFormat="false" ht="78" hidden="false" customHeight="true" outlineLevel="0" collapsed="false">
      <c r="A188" s="14" t="s">
        <v>2508</v>
      </c>
      <c r="B188" s="14" t="s">
        <v>44</v>
      </c>
      <c r="C188" s="14" t="s">
        <v>2509</v>
      </c>
      <c r="D188" s="14" t="s">
        <v>34</v>
      </c>
      <c r="E188" s="14" t="s">
        <v>2510</v>
      </c>
      <c r="F188" s="15" t="s">
        <v>622</v>
      </c>
      <c r="G188" s="14" t="s">
        <v>623</v>
      </c>
      <c r="H188" s="14" t="s">
        <v>2511</v>
      </c>
      <c r="I188" s="14" t="s">
        <v>2512</v>
      </c>
      <c r="J188" s="14" t="s">
        <v>99</v>
      </c>
      <c r="K188" s="22" t="s">
        <v>1668</v>
      </c>
      <c r="L188" s="14" t="s">
        <v>2513</v>
      </c>
      <c r="M188" s="14" t="s">
        <v>2514</v>
      </c>
      <c r="N188" s="14" t="s">
        <v>2515</v>
      </c>
      <c r="O188" s="14"/>
      <c r="P188" s="14" t="s">
        <v>2516</v>
      </c>
      <c r="Q188" s="14" t="s">
        <v>2517</v>
      </c>
      <c r="R188" s="14" t="s">
        <v>2341</v>
      </c>
      <c r="S188" s="20" t="s">
        <v>324</v>
      </c>
      <c r="T188" s="17" t="s">
        <v>107</v>
      </c>
      <c r="U188" s="14" t="s">
        <v>2518</v>
      </c>
      <c r="V188" s="14" t="s">
        <v>109</v>
      </c>
      <c r="W188" s="18" t="s">
        <v>110</v>
      </c>
      <c r="X188" s="14" t="s">
        <v>2519</v>
      </c>
      <c r="Y188" s="14" t="s">
        <v>194</v>
      </c>
      <c r="Z188" s="14" t="s">
        <v>107</v>
      </c>
      <c r="AA188" s="14" t="s">
        <v>107</v>
      </c>
      <c r="AB188" s="14" t="s">
        <v>112</v>
      </c>
      <c r="AC188" s="14" t="s">
        <v>113</v>
      </c>
      <c r="AD188" s="14" t="s">
        <v>114</v>
      </c>
    </row>
    <row r="189" customFormat="false" ht="78" hidden="false" customHeight="true" outlineLevel="0" collapsed="false">
      <c r="A189" s="14" t="s">
        <v>2520</v>
      </c>
      <c r="B189" s="14" t="s">
        <v>44</v>
      </c>
      <c r="C189" s="14" t="s">
        <v>2521</v>
      </c>
      <c r="D189" s="14" t="s">
        <v>34</v>
      </c>
      <c r="E189" s="14" t="s">
        <v>2522</v>
      </c>
      <c r="F189" s="15" t="s">
        <v>609</v>
      </c>
      <c r="G189" s="14" t="s">
        <v>596</v>
      </c>
      <c r="H189" s="14" t="s">
        <v>2523</v>
      </c>
      <c r="I189" s="14" t="s">
        <v>2524</v>
      </c>
      <c r="J189" s="14" t="s">
        <v>51</v>
      </c>
      <c r="K189" s="22" t="s">
        <v>1668</v>
      </c>
      <c r="L189" s="14" t="s">
        <v>2525</v>
      </c>
      <c r="M189" s="14" t="s">
        <v>2526</v>
      </c>
      <c r="N189" s="14" t="s">
        <v>2527</v>
      </c>
      <c r="O189" s="14"/>
      <c r="P189" s="14" t="s">
        <v>2528</v>
      </c>
      <c r="Q189" s="14" t="s">
        <v>2529</v>
      </c>
      <c r="R189" s="14" t="s">
        <v>575</v>
      </c>
      <c r="S189" s="20" t="s">
        <v>324</v>
      </c>
      <c r="T189" s="20" t="s">
        <v>324</v>
      </c>
      <c r="U189" s="14" t="s">
        <v>2530</v>
      </c>
      <c r="V189" s="14" t="s">
        <v>109</v>
      </c>
      <c r="W189" s="18" t="s">
        <v>110</v>
      </c>
      <c r="X189" s="14" t="s">
        <v>2531</v>
      </c>
      <c r="Y189" s="14" t="s">
        <v>1668</v>
      </c>
      <c r="Z189" s="14" t="s">
        <v>107</v>
      </c>
      <c r="AA189" s="14" t="s">
        <v>107</v>
      </c>
      <c r="AB189" s="14" t="s">
        <v>112</v>
      </c>
      <c r="AC189" s="14" t="s">
        <v>113</v>
      </c>
      <c r="AD189" s="14" t="s">
        <v>114</v>
      </c>
    </row>
    <row r="190" customFormat="false" ht="78" hidden="false" customHeight="true" outlineLevel="0" collapsed="false">
      <c r="A190" s="14" t="s">
        <v>2532</v>
      </c>
      <c r="B190" s="14" t="s">
        <v>45</v>
      </c>
      <c r="C190" s="14" t="s">
        <v>2533</v>
      </c>
      <c r="D190" s="14" t="s">
        <v>34</v>
      </c>
      <c r="E190" s="14" t="s">
        <v>2534</v>
      </c>
      <c r="F190" s="15" t="s">
        <v>648</v>
      </c>
      <c r="G190" s="14" t="s">
        <v>533</v>
      </c>
      <c r="H190" s="14" t="s">
        <v>2535</v>
      </c>
      <c r="I190" s="14" t="s">
        <v>2536</v>
      </c>
      <c r="J190" s="14" t="s">
        <v>505</v>
      </c>
      <c r="K190" s="22" t="s">
        <v>1668</v>
      </c>
      <c r="L190" s="14" t="s">
        <v>2537</v>
      </c>
      <c r="M190" s="14" t="s">
        <v>2538</v>
      </c>
      <c r="N190" s="14" t="s">
        <v>2539</v>
      </c>
      <c r="O190" s="14"/>
      <c r="P190" s="14" t="s">
        <v>2540</v>
      </c>
      <c r="Q190" s="14" t="s">
        <v>2541</v>
      </c>
      <c r="R190" s="14" t="s">
        <v>2542</v>
      </c>
      <c r="S190" s="20" t="s">
        <v>324</v>
      </c>
      <c r="T190" s="17" t="s">
        <v>107</v>
      </c>
      <c r="U190" s="14" t="s">
        <v>2543</v>
      </c>
      <c r="V190" s="14" t="s">
        <v>109</v>
      </c>
      <c r="W190" s="18" t="s">
        <v>110</v>
      </c>
      <c r="X190" s="14" t="s">
        <v>2544</v>
      </c>
      <c r="Y190" s="14" t="s">
        <v>194</v>
      </c>
      <c r="Z190" s="14" t="s">
        <v>107</v>
      </c>
      <c r="AA190" s="14" t="s">
        <v>107</v>
      </c>
      <c r="AB190" s="14" t="s">
        <v>921</v>
      </c>
      <c r="AC190" s="14" t="s">
        <v>113</v>
      </c>
      <c r="AD190" s="14" t="s">
        <v>114</v>
      </c>
    </row>
    <row r="191" customFormat="false" ht="78" hidden="false" customHeight="true" outlineLevel="0" collapsed="false">
      <c r="A191" s="14" t="s">
        <v>2545</v>
      </c>
      <c r="B191" s="14" t="s">
        <v>45</v>
      </c>
      <c r="C191" s="14" t="s">
        <v>2546</v>
      </c>
      <c r="D191" s="14" t="s">
        <v>34</v>
      </c>
      <c r="E191" s="14" t="s">
        <v>2547</v>
      </c>
      <c r="F191" s="15" t="s">
        <v>609</v>
      </c>
      <c r="G191" s="14" t="s">
        <v>596</v>
      </c>
      <c r="H191" s="14" t="s">
        <v>2548</v>
      </c>
      <c r="I191" s="14" t="s">
        <v>2549</v>
      </c>
      <c r="J191" s="14" t="s">
        <v>52</v>
      </c>
      <c r="K191" s="22" t="s">
        <v>1668</v>
      </c>
      <c r="L191" s="14" t="s">
        <v>2550</v>
      </c>
      <c r="M191" s="14" t="s">
        <v>2551</v>
      </c>
      <c r="N191" s="14" t="s">
        <v>2552</v>
      </c>
      <c r="O191" s="14"/>
      <c r="P191" s="14" t="s">
        <v>2553</v>
      </c>
      <c r="Q191" s="14" t="s">
        <v>2554</v>
      </c>
      <c r="R191" s="14" t="s">
        <v>2542</v>
      </c>
      <c r="S191" s="20" t="s">
        <v>324</v>
      </c>
      <c r="T191" s="17" t="s">
        <v>107</v>
      </c>
      <c r="U191" s="14" t="s">
        <v>2555</v>
      </c>
      <c r="V191" s="14" t="s">
        <v>109</v>
      </c>
      <c r="W191" s="18" t="s">
        <v>110</v>
      </c>
      <c r="X191" s="14" t="s">
        <v>2556</v>
      </c>
      <c r="Y191" s="14" t="s">
        <v>1668</v>
      </c>
      <c r="Z191" s="14" t="s">
        <v>107</v>
      </c>
      <c r="AA191" s="14" t="s">
        <v>107</v>
      </c>
      <c r="AB191" s="14" t="s">
        <v>921</v>
      </c>
      <c r="AC191" s="14" t="s">
        <v>113</v>
      </c>
      <c r="AD191" s="14" t="s">
        <v>114</v>
      </c>
    </row>
    <row r="192" customFormat="false" ht="78" hidden="false" customHeight="true" outlineLevel="0" collapsed="false">
      <c r="A192" s="14" t="s">
        <v>2557</v>
      </c>
      <c r="B192" s="14" t="s">
        <v>45</v>
      </c>
      <c r="C192" s="14" t="s">
        <v>2558</v>
      </c>
      <c r="D192" s="14" t="s">
        <v>34</v>
      </c>
      <c r="E192" s="14" t="s">
        <v>2559</v>
      </c>
      <c r="F192" s="15" t="s">
        <v>2560</v>
      </c>
      <c r="G192" s="14" t="s">
        <v>285</v>
      </c>
      <c r="H192" s="14" t="s">
        <v>2561</v>
      </c>
      <c r="I192" s="14" t="s">
        <v>2562</v>
      </c>
      <c r="J192" s="14" t="s">
        <v>53</v>
      </c>
      <c r="K192" s="22" t="s">
        <v>1668</v>
      </c>
      <c r="L192" s="14" t="s">
        <v>2563</v>
      </c>
      <c r="M192" s="14" t="s">
        <v>2564</v>
      </c>
      <c r="N192" s="14" t="s">
        <v>2565</v>
      </c>
      <c r="O192" s="14"/>
      <c r="P192" s="14" t="s">
        <v>2566</v>
      </c>
      <c r="Q192" s="14" t="s">
        <v>2567</v>
      </c>
      <c r="R192" s="14" t="s">
        <v>2341</v>
      </c>
      <c r="S192" s="17" t="s">
        <v>107</v>
      </c>
      <c r="T192" s="17" t="s">
        <v>107</v>
      </c>
      <c r="U192" s="14" t="s">
        <v>2568</v>
      </c>
      <c r="V192" s="14" t="s">
        <v>109</v>
      </c>
      <c r="W192" s="21" t="s">
        <v>429</v>
      </c>
      <c r="X192" s="14" t="s">
        <v>2569</v>
      </c>
      <c r="Y192" s="14" t="s">
        <v>194</v>
      </c>
      <c r="Z192" s="14" t="s">
        <v>107</v>
      </c>
      <c r="AA192" s="14" t="s">
        <v>107</v>
      </c>
      <c r="AB192" s="14" t="s">
        <v>921</v>
      </c>
      <c r="AC192" s="14" t="s">
        <v>113</v>
      </c>
      <c r="AD192" s="14" t="s">
        <v>114</v>
      </c>
    </row>
    <row r="193" customFormat="false" ht="78" hidden="false" customHeight="true" outlineLevel="0" collapsed="false">
      <c r="A193" s="14" t="s">
        <v>2570</v>
      </c>
      <c r="B193" s="14" t="s">
        <v>45</v>
      </c>
      <c r="C193" s="14" t="s">
        <v>2571</v>
      </c>
      <c r="D193" s="14" t="s">
        <v>34</v>
      </c>
      <c r="E193" s="14" t="s">
        <v>2572</v>
      </c>
      <c r="F193" s="15" t="s">
        <v>2573</v>
      </c>
      <c r="G193" s="14" t="s">
        <v>533</v>
      </c>
      <c r="H193" s="14" t="s">
        <v>2574</v>
      </c>
      <c r="I193" s="14" t="s">
        <v>2575</v>
      </c>
      <c r="J193" s="14" t="s">
        <v>56</v>
      </c>
      <c r="K193" s="22" t="s">
        <v>1668</v>
      </c>
      <c r="L193" s="14" t="s">
        <v>2576</v>
      </c>
      <c r="M193" s="14" t="s">
        <v>2577</v>
      </c>
      <c r="N193" s="14" t="s">
        <v>2578</v>
      </c>
      <c r="O193" s="14"/>
      <c r="P193" s="14" t="s">
        <v>2579</v>
      </c>
      <c r="Q193" s="14" t="s">
        <v>2580</v>
      </c>
      <c r="R193" s="14" t="s">
        <v>2341</v>
      </c>
      <c r="S193" s="20" t="s">
        <v>324</v>
      </c>
      <c r="T193" s="17" t="s">
        <v>107</v>
      </c>
      <c r="U193" s="14" t="s">
        <v>2581</v>
      </c>
      <c r="V193" s="14" t="s">
        <v>109</v>
      </c>
      <c r="W193" s="21" t="s">
        <v>429</v>
      </c>
      <c r="X193" s="14" t="s">
        <v>2582</v>
      </c>
      <c r="Y193" s="14" t="s">
        <v>194</v>
      </c>
      <c r="Z193" s="14" t="s">
        <v>107</v>
      </c>
      <c r="AA193" s="14" t="s">
        <v>107</v>
      </c>
      <c r="AB193" s="14" t="s">
        <v>921</v>
      </c>
      <c r="AC193" s="14" t="s">
        <v>1314</v>
      </c>
      <c r="AD193" s="14" t="s">
        <v>1315</v>
      </c>
    </row>
    <row r="194" customFormat="false" ht="78" hidden="false" customHeight="true" outlineLevel="0" collapsed="false">
      <c r="A194" s="14" t="s">
        <v>2583</v>
      </c>
      <c r="B194" s="14" t="s">
        <v>45</v>
      </c>
      <c r="C194" s="14" t="s">
        <v>2584</v>
      </c>
      <c r="D194" s="14" t="s">
        <v>34</v>
      </c>
      <c r="E194" s="14" t="s">
        <v>2547</v>
      </c>
      <c r="F194" s="15" t="s">
        <v>609</v>
      </c>
      <c r="G194" s="14" t="s">
        <v>596</v>
      </c>
      <c r="H194" s="14" t="s">
        <v>2585</v>
      </c>
      <c r="I194" s="14" t="s">
        <v>2586</v>
      </c>
      <c r="J194" s="14" t="s">
        <v>52</v>
      </c>
      <c r="K194" s="22" t="s">
        <v>1668</v>
      </c>
      <c r="L194" s="14" t="s">
        <v>2587</v>
      </c>
      <c r="M194" s="14" t="s">
        <v>2588</v>
      </c>
      <c r="N194" s="14" t="s">
        <v>2589</v>
      </c>
      <c r="O194" s="14"/>
      <c r="P194" s="14" t="s">
        <v>2590</v>
      </c>
      <c r="Q194" s="14" t="s">
        <v>2591</v>
      </c>
      <c r="R194" s="14" t="s">
        <v>2542</v>
      </c>
      <c r="S194" s="20" t="s">
        <v>324</v>
      </c>
      <c r="T194" s="17" t="s">
        <v>107</v>
      </c>
      <c r="U194" s="14" t="s">
        <v>2592</v>
      </c>
      <c r="V194" s="14" t="s">
        <v>109</v>
      </c>
      <c r="W194" s="18" t="s">
        <v>110</v>
      </c>
      <c r="X194" s="14" t="s">
        <v>2593</v>
      </c>
      <c r="Y194" s="14" t="s">
        <v>1668</v>
      </c>
      <c r="Z194" s="14" t="s">
        <v>107</v>
      </c>
      <c r="AA194" s="14" t="s">
        <v>107</v>
      </c>
      <c r="AB194" s="14" t="s">
        <v>921</v>
      </c>
      <c r="AC194" s="14" t="s">
        <v>113</v>
      </c>
      <c r="AD194" s="14" t="s">
        <v>114</v>
      </c>
    </row>
    <row r="195" customFormat="false" ht="78" hidden="false" customHeight="true" outlineLevel="0" collapsed="false">
      <c r="A195" s="14" t="s">
        <v>2594</v>
      </c>
      <c r="B195" s="14" t="s">
        <v>47</v>
      </c>
      <c r="C195" s="14" t="s">
        <v>2595</v>
      </c>
      <c r="D195" s="14" t="s">
        <v>34</v>
      </c>
      <c r="E195" s="14" t="s">
        <v>2547</v>
      </c>
      <c r="F195" s="15" t="s">
        <v>595</v>
      </c>
      <c r="G195" s="14" t="s">
        <v>596</v>
      </c>
      <c r="H195" s="14" t="s">
        <v>2596</v>
      </c>
      <c r="I195" s="14" t="s">
        <v>2597</v>
      </c>
      <c r="J195" s="14" t="s">
        <v>52</v>
      </c>
      <c r="K195" s="22" t="s">
        <v>1668</v>
      </c>
      <c r="L195" s="14" t="s">
        <v>2598</v>
      </c>
      <c r="M195" s="14" t="s">
        <v>2599</v>
      </c>
      <c r="N195" s="14" t="s">
        <v>2600</v>
      </c>
      <c r="O195" s="14"/>
      <c r="P195" s="14" t="s">
        <v>2601</v>
      </c>
      <c r="Q195" s="14" t="s">
        <v>2602</v>
      </c>
      <c r="R195" s="14" t="s">
        <v>2542</v>
      </c>
      <c r="S195" s="17" t="s">
        <v>107</v>
      </c>
      <c r="T195" s="17" t="s">
        <v>107</v>
      </c>
      <c r="U195" s="14" t="s">
        <v>2603</v>
      </c>
      <c r="V195" s="14" t="s">
        <v>109</v>
      </c>
      <c r="W195" s="18" t="s">
        <v>110</v>
      </c>
      <c r="X195" s="14" t="s">
        <v>2604</v>
      </c>
      <c r="Y195" s="14" t="s">
        <v>194</v>
      </c>
      <c r="Z195" s="14" t="s">
        <v>107</v>
      </c>
      <c r="AA195" s="14" t="s">
        <v>107</v>
      </c>
      <c r="AB195" s="14" t="s">
        <v>2204</v>
      </c>
      <c r="AC195" s="14" t="s">
        <v>113</v>
      </c>
      <c r="AD195" s="14" t="s">
        <v>114</v>
      </c>
    </row>
    <row r="196" customFormat="false" ht="78" hidden="false" customHeight="true" outlineLevel="0" collapsed="false">
      <c r="A196" s="14" t="s">
        <v>2605</v>
      </c>
      <c r="B196" s="14" t="s">
        <v>48</v>
      </c>
      <c r="C196" s="14" t="s">
        <v>2606</v>
      </c>
      <c r="D196" s="14" t="s">
        <v>34</v>
      </c>
      <c r="E196" s="14" t="s">
        <v>2607</v>
      </c>
      <c r="F196" s="15" t="s">
        <v>609</v>
      </c>
      <c r="G196" s="14" t="s">
        <v>596</v>
      </c>
      <c r="H196" s="14" t="s">
        <v>2608</v>
      </c>
      <c r="I196" s="14" t="s">
        <v>2609</v>
      </c>
      <c r="J196" s="14" t="s">
        <v>54</v>
      </c>
      <c r="K196" s="22" t="s">
        <v>1668</v>
      </c>
      <c r="L196" s="14" t="s">
        <v>2610</v>
      </c>
      <c r="M196" s="14" t="s">
        <v>2611</v>
      </c>
      <c r="N196" s="14" t="s">
        <v>2612</v>
      </c>
      <c r="O196" s="14"/>
      <c r="P196" s="14" t="s">
        <v>2613</v>
      </c>
      <c r="Q196" s="14" t="s">
        <v>2614</v>
      </c>
      <c r="R196" s="14" t="s">
        <v>2615</v>
      </c>
      <c r="S196" s="17" t="s">
        <v>107</v>
      </c>
      <c r="T196" s="20" t="s">
        <v>324</v>
      </c>
      <c r="U196" s="14" t="s">
        <v>2616</v>
      </c>
      <c r="V196" s="14" t="s">
        <v>109</v>
      </c>
      <c r="W196" s="18" t="s">
        <v>110</v>
      </c>
      <c r="X196" s="14" t="s">
        <v>2617</v>
      </c>
      <c r="Y196" s="14" t="s">
        <v>194</v>
      </c>
      <c r="Z196" s="14" t="s">
        <v>107</v>
      </c>
      <c r="AA196" s="14" t="s">
        <v>107</v>
      </c>
      <c r="AB196" s="14" t="s">
        <v>559</v>
      </c>
      <c r="AC196" s="14" t="s">
        <v>560</v>
      </c>
      <c r="AD196" s="14" t="s">
        <v>561</v>
      </c>
    </row>
    <row r="197" customFormat="false" ht="78" hidden="false" customHeight="true" outlineLevel="0" collapsed="false">
      <c r="A197" s="14" t="s">
        <v>2618</v>
      </c>
      <c r="B197" s="14" t="s">
        <v>48</v>
      </c>
      <c r="C197" s="14" t="s">
        <v>2619</v>
      </c>
      <c r="D197" s="14" t="s">
        <v>34</v>
      </c>
      <c r="E197" s="14" t="s">
        <v>2620</v>
      </c>
      <c r="F197" s="15" t="s">
        <v>595</v>
      </c>
      <c r="G197" s="14" t="s">
        <v>596</v>
      </c>
      <c r="H197" s="14" t="s">
        <v>2621</v>
      </c>
      <c r="I197" s="14" t="s">
        <v>2622</v>
      </c>
      <c r="J197" s="14" t="s">
        <v>551</v>
      </c>
      <c r="K197" s="22" t="s">
        <v>1668</v>
      </c>
      <c r="L197" s="14" t="s">
        <v>2623</v>
      </c>
      <c r="M197" s="14" t="s">
        <v>2624</v>
      </c>
      <c r="N197" s="14" t="s">
        <v>2625</v>
      </c>
      <c r="O197" s="14"/>
      <c r="P197" s="14" t="s">
        <v>2626</v>
      </c>
      <c r="Q197" s="14" t="s">
        <v>2627</v>
      </c>
      <c r="R197" s="14" t="s">
        <v>2628</v>
      </c>
      <c r="S197" s="17" t="s">
        <v>107</v>
      </c>
      <c r="T197" s="20" t="s">
        <v>324</v>
      </c>
      <c r="U197" s="14" t="s">
        <v>2629</v>
      </c>
      <c r="V197" s="14" t="s">
        <v>109</v>
      </c>
      <c r="W197" s="21" t="s">
        <v>429</v>
      </c>
      <c r="X197" s="14" t="s">
        <v>2630</v>
      </c>
      <c r="Y197" s="14" t="s">
        <v>194</v>
      </c>
      <c r="Z197" s="14" t="s">
        <v>946</v>
      </c>
      <c r="AA197" s="14" t="s">
        <v>946</v>
      </c>
      <c r="AB197" s="14" t="s">
        <v>559</v>
      </c>
      <c r="AC197" s="14" t="s">
        <v>560</v>
      </c>
      <c r="AD197" s="14" t="s">
        <v>561</v>
      </c>
    </row>
    <row r="198" customFormat="false" ht="78" hidden="false" customHeight="true" outlineLevel="0" collapsed="false">
      <c r="A198" s="14" t="s">
        <v>2631</v>
      </c>
      <c r="B198" s="14" t="s">
        <v>43</v>
      </c>
      <c r="C198" s="14" t="s">
        <v>2381</v>
      </c>
      <c r="D198" s="14" t="s">
        <v>34</v>
      </c>
      <c r="E198" s="14" t="s">
        <v>647</v>
      </c>
      <c r="F198" s="15" t="s">
        <v>648</v>
      </c>
      <c r="G198" s="14" t="s">
        <v>533</v>
      </c>
      <c r="H198" s="14" t="s">
        <v>2632</v>
      </c>
      <c r="I198" s="14" t="s">
        <v>2633</v>
      </c>
      <c r="J198" s="14" t="s">
        <v>51</v>
      </c>
      <c r="K198" s="22" t="s">
        <v>1668</v>
      </c>
      <c r="L198" s="14" t="s">
        <v>2634</v>
      </c>
      <c r="M198" s="14" t="s">
        <v>2635</v>
      </c>
      <c r="N198" s="14" t="s">
        <v>2636</v>
      </c>
      <c r="O198" s="14"/>
      <c r="P198" s="14" t="s">
        <v>2637</v>
      </c>
      <c r="Q198" s="14" t="s">
        <v>2638</v>
      </c>
      <c r="R198" s="14" t="s">
        <v>575</v>
      </c>
      <c r="S198" s="17" t="s">
        <v>107</v>
      </c>
      <c r="T198" s="20" t="s">
        <v>324</v>
      </c>
      <c r="U198" s="14" t="s">
        <v>2639</v>
      </c>
      <c r="V198" s="14" t="s">
        <v>109</v>
      </c>
      <c r="W198" s="21" t="s">
        <v>429</v>
      </c>
      <c r="X198" s="14" t="s">
        <v>2640</v>
      </c>
      <c r="Y198" s="14" t="s">
        <v>194</v>
      </c>
      <c r="Z198" s="14" t="s">
        <v>107</v>
      </c>
      <c r="AA198" s="14" t="s">
        <v>107</v>
      </c>
      <c r="AB198" s="14" t="s">
        <v>131</v>
      </c>
      <c r="AC198" s="14" t="s">
        <v>113</v>
      </c>
      <c r="AD198" s="14" t="s">
        <v>114</v>
      </c>
    </row>
    <row r="199" customFormat="false" ht="78" hidden="false" customHeight="true" outlineLevel="0" collapsed="false">
      <c r="A199" s="14" t="s">
        <v>2641</v>
      </c>
      <c r="B199" s="14" t="s">
        <v>43</v>
      </c>
      <c r="C199" s="14" t="s">
        <v>2642</v>
      </c>
      <c r="D199" s="14" t="s">
        <v>34</v>
      </c>
      <c r="E199" s="14" t="s">
        <v>2643</v>
      </c>
      <c r="F199" s="15" t="s">
        <v>1425</v>
      </c>
      <c r="G199" s="14" t="s">
        <v>623</v>
      </c>
      <c r="H199" s="14" t="s">
        <v>2644</v>
      </c>
      <c r="I199" s="14" t="s">
        <v>2645</v>
      </c>
      <c r="J199" s="14" t="s">
        <v>50</v>
      </c>
      <c r="K199" s="22" t="s">
        <v>1668</v>
      </c>
      <c r="L199" s="14" t="s">
        <v>2646</v>
      </c>
      <c r="M199" s="14" t="s">
        <v>2647</v>
      </c>
      <c r="N199" s="14" t="s">
        <v>2648</v>
      </c>
      <c r="O199" s="14"/>
      <c r="P199" s="14" t="s">
        <v>2649</v>
      </c>
      <c r="Q199" s="14" t="s">
        <v>2650</v>
      </c>
      <c r="R199" s="14" t="s">
        <v>575</v>
      </c>
      <c r="S199" s="17" t="s">
        <v>107</v>
      </c>
      <c r="T199" s="17" t="s">
        <v>107</v>
      </c>
      <c r="U199" s="14" t="s">
        <v>2651</v>
      </c>
      <c r="V199" s="14" t="s">
        <v>109</v>
      </c>
      <c r="W199" s="18" t="s">
        <v>110</v>
      </c>
      <c r="X199" s="14" t="s">
        <v>2652</v>
      </c>
      <c r="Y199" s="14" t="s">
        <v>194</v>
      </c>
      <c r="Z199" s="14" t="s">
        <v>107</v>
      </c>
      <c r="AA199" s="14" t="s">
        <v>107</v>
      </c>
      <c r="AB199" s="14" t="s">
        <v>131</v>
      </c>
      <c r="AC199" s="14" t="s">
        <v>113</v>
      </c>
      <c r="AD199" s="14" t="s">
        <v>114</v>
      </c>
    </row>
    <row r="200" customFormat="false" ht="78" hidden="false" customHeight="true" outlineLevel="0" collapsed="false">
      <c r="A200" s="14" t="s">
        <v>2653</v>
      </c>
      <c r="B200" s="14" t="s">
        <v>43</v>
      </c>
      <c r="C200" s="14" t="s">
        <v>2654</v>
      </c>
      <c r="D200" s="14" t="s">
        <v>34</v>
      </c>
      <c r="E200" s="14" t="s">
        <v>685</v>
      </c>
      <c r="F200" s="15" t="s">
        <v>686</v>
      </c>
      <c r="G200" s="14" t="s">
        <v>687</v>
      </c>
      <c r="H200" s="14" t="s">
        <v>2655</v>
      </c>
      <c r="I200" s="14" t="s">
        <v>2656</v>
      </c>
      <c r="J200" s="14" t="s">
        <v>51</v>
      </c>
      <c r="K200" s="22" t="s">
        <v>1668</v>
      </c>
      <c r="L200" s="14" t="s">
        <v>2657</v>
      </c>
      <c r="M200" s="14" t="s">
        <v>2658</v>
      </c>
      <c r="N200" s="14" t="s">
        <v>2659</v>
      </c>
      <c r="O200" s="14"/>
      <c r="P200" s="14" t="s">
        <v>2660</v>
      </c>
      <c r="Q200" s="14" t="s">
        <v>2661</v>
      </c>
      <c r="R200" s="14" t="s">
        <v>575</v>
      </c>
      <c r="S200" s="17" t="s">
        <v>107</v>
      </c>
      <c r="T200" s="20" t="s">
        <v>324</v>
      </c>
      <c r="U200" s="14" t="s">
        <v>2662</v>
      </c>
      <c r="V200" s="14" t="s">
        <v>109</v>
      </c>
      <c r="W200" s="18" t="s">
        <v>110</v>
      </c>
      <c r="X200" s="14" t="s">
        <v>2663</v>
      </c>
      <c r="Y200" s="14" t="s">
        <v>194</v>
      </c>
      <c r="Z200" s="14" t="s">
        <v>107</v>
      </c>
      <c r="AA200" s="14" t="s">
        <v>107</v>
      </c>
      <c r="AB200" s="14" t="s">
        <v>131</v>
      </c>
      <c r="AC200" s="14" t="s">
        <v>113</v>
      </c>
      <c r="AD200" s="14" t="s">
        <v>114</v>
      </c>
    </row>
    <row r="201" customFormat="false" ht="78" hidden="false" customHeight="true" outlineLevel="0" collapsed="false">
      <c r="A201" s="14" t="s">
        <v>2664</v>
      </c>
      <c r="B201" s="14" t="s">
        <v>43</v>
      </c>
      <c r="C201" s="14" t="s">
        <v>2665</v>
      </c>
      <c r="D201" s="14" t="s">
        <v>34</v>
      </c>
      <c r="E201" s="14" t="s">
        <v>2463</v>
      </c>
      <c r="F201" s="15" t="s">
        <v>609</v>
      </c>
      <c r="G201" s="14" t="s">
        <v>596</v>
      </c>
      <c r="H201" s="14" t="s">
        <v>2666</v>
      </c>
      <c r="I201" s="14" t="s">
        <v>2667</v>
      </c>
      <c r="J201" s="14" t="s">
        <v>51</v>
      </c>
      <c r="K201" s="22" t="s">
        <v>1668</v>
      </c>
      <c r="L201" s="14" t="s">
        <v>2668</v>
      </c>
      <c r="M201" s="14" t="s">
        <v>2669</v>
      </c>
      <c r="N201" s="14" t="s">
        <v>2670</v>
      </c>
      <c r="O201" s="14"/>
      <c r="P201" s="14" t="s">
        <v>2671</v>
      </c>
      <c r="Q201" s="14" t="s">
        <v>2672</v>
      </c>
      <c r="R201" s="14" t="s">
        <v>575</v>
      </c>
      <c r="S201" s="17" t="s">
        <v>107</v>
      </c>
      <c r="T201" s="20" t="s">
        <v>324</v>
      </c>
      <c r="U201" s="14" t="s">
        <v>2673</v>
      </c>
      <c r="V201" s="14" t="s">
        <v>109</v>
      </c>
      <c r="W201" s="21" t="s">
        <v>429</v>
      </c>
      <c r="X201" s="14" t="s">
        <v>2674</v>
      </c>
      <c r="Y201" s="14" t="s">
        <v>194</v>
      </c>
      <c r="Z201" s="14" t="s">
        <v>107</v>
      </c>
      <c r="AA201" s="14" t="s">
        <v>107</v>
      </c>
      <c r="AB201" s="14" t="s">
        <v>131</v>
      </c>
      <c r="AC201" s="14" t="s">
        <v>113</v>
      </c>
      <c r="AD201" s="14" t="s">
        <v>114</v>
      </c>
    </row>
    <row r="202" customFormat="false" ht="78" hidden="false" customHeight="true" outlineLevel="0" collapsed="false">
      <c r="A202" s="14" t="s">
        <v>2675</v>
      </c>
      <c r="B202" s="14" t="s">
        <v>43</v>
      </c>
      <c r="C202" s="14" t="s">
        <v>2676</v>
      </c>
      <c r="D202" s="14" t="s">
        <v>34</v>
      </c>
      <c r="E202" s="14" t="s">
        <v>2677</v>
      </c>
      <c r="F202" s="15" t="s">
        <v>661</v>
      </c>
      <c r="G202" s="14" t="s">
        <v>662</v>
      </c>
      <c r="H202" s="14" t="s">
        <v>2678</v>
      </c>
      <c r="I202" s="14" t="s">
        <v>2679</v>
      </c>
      <c r="J202" s="14" t="s">
        <v>1269</v>
      </c>
      <c r="K202" s="22" t="s">
        <v>1668</v>
      </c>
      <c r="L202" s="14" t="s">
        <v>2680</v>
      </c>
      <c r="M202" s="14" t="s">
        <v>2681</v>
      </c>
      <c r="N202" s="14" t="s">
        <v>2682</v>
      </c>
      <c r="O202" s="14"/>
      <c r="P202" s="14" t="s">
        <v>2683</v>
      </c>
      <c r="Q202" s="14" t="s">
        <v>2684</v>
      </c>
      <c r="R202" s="14" t="s">
        <v>161</v>
      </c>
      <c r="S202" s="20" t="s">
        <v>324</v>
      </c>
      <c r="T202" s="20" t="s">
        <v>324</v>
      </c>
      <c r="U202" s="14" t="s">
        <v>2685</v>
      </c>
      <c r="V202" s="14" t="s">
        <v>109</v>
      </c>
      <c r="W202" s="18" t="s">
        <v>110</v>
      </c>
      <c r="X202" s="14" t="s">
        <v>2686</v>
      </c>
      <c r="Y202" s="14" t="s">
        <v>1668</v>
      </c>
      <c r="Z202" s="14" t="s">
        <v>107</v>
      </c>
      <c r="AA202" s="14" t="s">
        <v>107</v>
      </c>
      <c r="AB202" s="14" t="s">
        <v>131</v>
      </c>
      <c r="AC202" s="14" t="s">
        <v>113</v>
      </c>
      <c r="AD202" s="14" t="s">
        <v>114</v>
      </c>
    </row>
    <row r="203" customFormat="false" ht="78" hidden="false" customHeight="true" outlineLevel="0" collapsed="false">
      <c r="A203" s="14" t="s">
        <v>2687</v>
      </c>
      <c r="B203" s="14" t="s">
        <v>43</v>
      </c>
      <c r="C203" s="14" t="s">
        <v>2688</v>
      </c>
      <c r="D203" s="14" t="s">
        <v>34</v>
      </c>
      <c r="E203" s="14" t="s">
        <v>2689</v>
      </c>
      <c r="F203" s="15" t="s">
        <v>2690</v>
      </c>
      <c r="G203" s="14" t="s">
        <v>2691</v>
      </c>
      <c r="H203" s="14" t="s">
        <v>2692</v>
      </c>
      <c r="I203" s="14" t="s">
        <v>2693</v>
      </c>
      <c r="J203" s="14" t="s">
        <v>50</v>
      </c>
      <c r="K203" s="22" t="s">
        <v>1668</v>
      </c>
      <c r="L203" s="14" t="s">
        <v>2694</v>
      </c>
      <c r="M203" s="14" t="s">
        <v>2695</v>
      </c>
      <c r="N203" s="14" t="s">
        <v>2696</v>
      </c>
      <c r="O203" s="14"/>
      <c r="P203" s="14" t="s">
        <v>2697</v>
      </c>
      <c r="Q203" s="14" t="s">
        <v>2698</v>
      </c>
      <c r="R203" s="14" t="s">
        <v>161</v>
      </c>
      <c r="S203" s="17" t="s">
        <v>107</v>
      </c>
      <c r="T203" s="20" t="s">
        <v>324</v>
      </c>
      <c r="U203" s="14" t="s">
        <v>2699</v>
      </c>
      <c r="V203" s="14" t="s">
        <v>109</v>
      </c>
      <c r="W203" s="18" t="s">
        <v>110</v>
      </c>
      <c r="X203" s="14" t="s">
        <v>2700</v>
      </c>
      <c r="Y203" s="14" t="s">
        <v>194</v>
      </c>
      <c r="Z203" s="14" t="s">
        <v>107</v>
      </c>
      <c r="AA203" s="14" t="s">
        <v>107</v>
      </c>
      <c r="AB203" s="14" t="s">
        <v>131</v>
      </c>
      <c r="AC203" s="14" t="s">
        <v>113</v>
      </c>
      <c r="AD203" s="14" t="s">
        <v>114</v>
      </c>
    </row>
    <row r="204" customFormat="false" ht="78" hidden="false" customHeight="true" outlineLevel="0" collapsed="false">
      <c r="A204" s="14" t="s">
        <v>2701</v>
      </c>
      <c r="B204" s="14" t="s">
        <v>43</v>
      </c>
      <c r="C204" s="14" t="s">
        <v>2702</v>
      </c>
      <c r="D204" s="14" t="s">
        <v>34</v>
      </c>
      <c r="E204" s="14" t="s">
        <v>2703</v>
      </c>
      <c r="F204" s="15" t="s">
        <v>2450</v>
      </c>
      <c r="G204" s="14" t="s">
        <v>2451</v>
      </c>
      <c r="H204" s="14" t="s">
        <v>2704</v>
      </c>
      <c r="I204" s="14" t="s">
        <v>2705</v>
      </c>
      <c r="J204" s="14" t="s">
        <v>505</v>
      </c>
      <c r="K204" s="22" t="s">
        <v>1668</v>
      </c>
      <c r="L204" s="14" t="s">
        <v>2706</v>
      </c>
      <c r="M204" s="14" t="s">
        <v>2707</v>
      </c>
      <c r="N204" s="14" t="s">
        <v>2708</v>
      </c>
      <c r="O204" s="14"/>
      <c r="P204" s="14" t="s">
        <v>2709</v>
      </c>
      <c r="Q204" s="14" t="s">
        <v>2710</v>
      </c>
      <c r="R204" s="14" t="s">
        <v>161</v>
      </c>
      <c r="S204" s="20" t="s">
        <v>324</v>
      </c>
      <c r="T204" s="20" t="s">
        <v>324</v>
      </c>
      <c r="U204" s="14" t="s">
        <v>2711</v>
      </c>
      <c r="V204" s="14" t="s">
        <v>109</v>
      </c>
      <c r="W204" s="18" t="s">
        <v>110</v>
      </c>
      <c r="X204" s="14" t="s">
        <v>2712</v>
      </c>
      <c r="Y204" s="14" t="s">
        <v>1668</v>
      </c>
      <c r="Z204" s="14" t="s">
        <v>107</v>
      </c>
      <c r="AA204" s="14" t="s">
        <v>107</v>
      </c>
      <c r="AB204" s="14" t="s">
        <v>131</v>
      </c>
      <c r="AC204" s="14" t="s">
        <v>113</v>
      </c>
      <c r="AD204" s="14" t="s">
        <v>114</v>
      </c>
    </row>
    <row r="205" customFormat="false" ht="78" hidden="false" customHeight="true" outlineLevel="0" collapsed="false">
      <c r="A205" s="14" t="s">
        <v>2713</v>
      </c>
      <c r="B205" s="14" t="s">
        <v>43</v>
      </c>
      <c r="C205" s="14" t="s">
        <v>2714</v>
      </c>
      <c r="D205" s="14" t="s">
        <v>34</v>
      </c>
      <c r="E205" s="14" t="s">
        <v>2715</v>
      </c>
      <c r="F205" s="15" t="s">
        <v>2716</v>
      </c>
      <c r="G205" s="14" t="s">
        <v>285</v>
      </c>
      <c r="H205" s="14" t="s">
        <v>2717</v>
      </c>
      <c r="I205" s="14" t="s">
        <v>2718</v>
      </c>
      <c r="J205" s="14" t="s">
        <v>53</v>
      </c>
      <c r="K205" s="22" t="s">
        <v>1668</v>
      </c>
      <c r="L205" s="14" t="s">
        <v>2719</v>
      </c>
      <c r="M205" s="14" t="s">
        <v>2720</v>
      </c>
      <c r="N205" s="14" t="s">
        <v>2721</v>
      </c>
      <c r="O205" s="14"/>
      <c r="P205" s="14" t="s">
        <v>2722</v>
      </c>
      <c r="Q205" s="14" t="s">
        <v>2723</v>
      </c>
      <c r="R205" s="14" t="s">
        <v>2341</v>
      </c>
      <c r="S205" s="20" t="s">
        <v>324</v>
      </c>
      <c r="T205" s="17" t="s">
        <v>107</v>
      </c>
      <c r="U205" s="14" t="s">
        <v>2724</v>
      </c>
      <c r="V205" s="14" t="s">
        <v>109</v>
      </c>
      <c r="W205" s="18" t="s">
        <v>110</v>
      </c>
      <c r="X205" s="14" t="s">
        <v>2725</v>
      </c>
      <c r="Y205" s="14" t="s">
        <v>1668</v>
      </c>
      <c r="Z205" s="14" t="s">
        <v>107</v>
      </c>
      <c r="AA205" s="14" t="s">
        <v>107</v>
      </c>
      <c r="AB205" s="14" t="s">
        <v>131</v>
      </c>
      <c r="AC205" s="14" t="s">
        <v>113</v>
      </c>
      <c r="AD205" s="14" t="s">
        <v>114</v>
      </c>
    </row>
    <row r="206" customFormat="false" ht="78" hidden="false" customHeight="true" outlineLevel="0" collapsed="false">
      <c r="A206" s="14" t="s">
        <v>2726</v>
      </c>
      <c r="B206" s="14" t="s">
        <v>43</v>
      </c>
      <c r="C206" s="14" t="s">
        <v>2727</v>
      </c>
      <c r="D206" s="14" t="s">
        <v>34</v>
      </c>
      <c r="E206" s="14" t="s">
        <v>2728</v>
      </c>
      <c r="F206" s="14"/>
      <c r="G206" s="14" t="s">
        <v>285</v>
      </c>
      <c r="H206" s="14" t="s">
        <v>2729</v>
      </c>
      <c r="I206" s="14" t="s">
        <v>2730</v>
      </c>
      <c r="J206" s="14" t="s">
        <v>50</v>
      </c>
      <c r="K206" s="22" t="s">
        <v>1668</v>
      </c>
      <c r="L206" s="14" t="s">
        <v>2731</v>
      </c>
      <c r="M206" s="14" t="s">
        <v>2732</v>
      </c>
      <c r="N206" s="14" t="s">
        <v>2733</v>
      </c>
      <c r="O206" s="14"/>
      <c r="P206" s="14" t="s">
        <v>2734</v>
      </c>
      <c r="Q206" s="14" t="s">
        <v>2735</v>
      </c>
      <c r="R206" s="14" t="s">
        <v>2736</v>
      </c>
      <c r="S206" s="17" t="s">
        <v>107</v>
      </c>
      <c r="T206" s="20" t="s">
        <v>324</v>
      </c>
      <c r="U206" s="14" t="s">
        <v>2737</v>
      </c>
      <c r="V206" s="14" t="s">
        <v>109</v>
      </c>
      <c r="W206" s="18" t="s">
        <v>110</v>
      </c>
      <c r="X206" s="14" t="s">
        <v>2738</v>
      </c>
      <c r="Y206" s="14" t="s">
        <v>100</v>
      </c>
      <c r="Z206" s="14" t="s">
        <v>107</v>
      </c>
      <c r="AA206" s="14" t="s">
        <v>107</v>
      </c>
      <c r="AB206" s="14" t="s">
        <v>131</v>
      </c>
      <c r="AC206" s="14" t="s">
        <v>113</v>
      </c>
      <c r="AD206" s="14" t="s">
        <v>114</v>
      </c>
    </row>
    <row r="207" customFormat="false" ht="78" hidden="false" customHeight="true" outlineLevel="0" collapsed="false">
      <c r="A207" s="14" t="s">
        <v>2739</v>
      </c>
      <c r="B207" s="14" t="s">
        <v>46</v>
      </c>
      <c r="C207" s="14" t="s">
        <v>2740</v>
      </c>
      <c r="D207" s="14" t="s">
        <v>32</v>
      </c>
      <c r="E207" s="14" t="s">
        <v>828</v>
      </c>
      <c r="F207" s="15" t="s">
        <v>829</v>
      </c>
      <c r="G207" s="14" t="s">
        <v>754</v>
      </c>
      <c r="H207" s="14" t="s">
        <v>2741</v>
      </c>
      <c r="I207" s="14" t="s">
        <v>2742</v>
      </c>
      <c r="J207" s="14" t="s">
        <v>55</v>
      </c>
      <c r="K207" s="22" t="s">
        <v>1668</v>
      </c>
      <c r="L207" s="14" t="s">
        <v>2743</v>
      </c>
      <c r="M207" s="14" t="s">
        <v>2744</v>
      </c>
      <c r="N207" s="14" t="s">
        <v>2745</v>
      </c>
      <c r="O207" s="14"/>
      <c r="P207" s="14" t="s">
        <v>2746</v>
      </c>
      <c r="Q207" s="14" t="s">
        <v>2747</v>
      </c>
      <c r="R207" s="14" t="s">
        <v>144</v>
      </c>
      <c r="S207" s="17" t="s">
        <v>107</v>
      </c>
      <c r="T207" s="17" t="s">
        <v>107</v>
      </c>
      <c r="U207" s="14" t="s">
        <v>2748</v>
      </c>
      <c r="V207" s="14" t="s">
        <v>109</v>
      </c>
      <c r="W207" s="21" t="s">
        <v>429</v>
      </c>
      <c r="X207" s="14" t="s">
        <v>2749</v>
      </c>
      <c r="Y207" s="14" t="s">
        <v>100</v>
      </c>
      <c r="Z207" s="14" t="s">
        <v>107</v>
      </c>
      <c r="AA207" s="14" t="s">
        <v>107</v>
      </c>
      <c r="AB207" s="14" t="s">
        <v>147</v>
      </c>
      <c r="AC207" s="14" t="s">
        <v>113</v>
      </c>
      <c r="AD207" s="14" t="s">
        <v>114</v>
      </c>
    </row>
    <row r="208" customFormat="false" ht="78" hidden="false" customHeight="true" outlineLevel="0" collapsed="false">
      <c r="A208" s="14" t="s">
        <v>2750</v>
      </c>
      <c r="B208" s="14" t="s">
        <v>44</v>
      </c>
      <c r="C208" s="14" t="s">
        <v>2751</v>
      </c>
      <c r="D208" s="14" t="s">
        <v>32</v>
      </c>
      <c r="E208" s="14" t="s">
        <v>738</v>
      </c>
      <c r="F208" s="15" t="s">
        <v>739</v>
      </c>
      <c r="G208" s="14" t="s">
        <v>740</v>
      </c>
      <c r="H208" s="14" t="s">
        <v>2752</v>
      </c>
      <c r="I208" s="14" t="s">
        <v>2753</v>
      </c>
      <c r="J208" s="14" t="s">
        <v>57</v>
      </c>
      <c r="K208" s="22" t="s">
        <v>1668</v>
      </c>
      <c r="L208" s="14" t="s">
        <v>2754</v>
      </c>
      <c r="M208" s="14" t="s">
        <v>2755</v>
      </c>
      <c r="N208" s="14" t="s">
        <v>2756</v>
      </c>
      <c r="O208" s="14"/>
      <c r="P208" s="14" t="s">
        <v>2757</v>
      </c>
      <c r="Q208" s="14" t="s">
        <v>2758</v>
      </c>
      <c r="R208" s="14" t="s">
        <v>144</v>
      </c>
      <c r="S208" s="17" t="s">
        <v>107</v>
      </c>
      <c r="T208" s="17" t="s">
        <v>107</v>
      </c>
      <c r="U208" s="14" t="s">
        <v>2759</v>
      </c>
      <c r="V208" s="14" t="s">
        <v>109</v>
      </c>
      <c r="W208" s="18" t="s">
        <v>110</v>
      </c>
      <c r="X208" s="14" t="s">
        <v>2760</v>
      </c>
      <c r="Y208" s="14" t="s">
        <v>194</v>
      </c>
      <c r="Z208" s="14" t="s">
        <v>107</v>
      </c>
      <c r="AA208" s="14" t="s">
        <v>107</v>
      </c>
      <c r="AB208" s="14" t="s">
        <v>112</v>
      </c>
      <c r="AC208" s="14" t="s">
        <v>113</v>
      </c>
      <c r="AD208" s="14" t="s">
        <v>114</v>
      </c>
    </row>
    <row r="209" customFormat="false" ht="78" hidden="false" customHeight="true" outlineLevel="0" collapsed="false">
      <c r="A209" s="14" t="s">
        <v>2761</v>
      </c>
      <c r="B209" s="14" t="s">
        <v>44</v>
      </c>
      <c r="C209" s="14" t="s">
        <v>2762</v>
      </c>
      <c r="D209" s="14" t="s">
        <v>32</v>
      </c>
      <c r="E209" s="14" t="s">
        <v>2763</v>
      </c>
      <c r="F209" s="15" t="s">
        <v>767</v>
      </c>
      <c r="G209" s="14" t="s">
        <v>768</v>
      </c>
      <c r="H209" s="14" t="s">
        <v>2764</v>
      </c>
      <c r="I209" s="14" t="s">
        <v>2765</v>
      </c>
      <c r="J209" s="14" t="s">
        <v>400</v>
      </c>
      <c r="K209" s="22" t="s">
        <v>1668</v>
      </c>
      <c r="L209" s="14" t="s">
        <v>2766</v>
      </c>
      <c r="M209" s="14" t="s">
        <v>2767</v>
      </c>
      <c r="N209" s="14" t="s">
        <v>2768</v>
      </c>
      <c r="O209" s="14"/>
      <c r="P209" s="14" t="s">
        <v>2769</v>
      </c>
      <c r="Q209" s="14" t="s">
        <v>2770</v>
      </c>
      <c r="R209" s="14" t="s">
        <v>144</v>
      </c>
      <c r="S209" s="20" t="s">
        <v>324</v>
      </c>
      <c r="T209" s="17" t="s">
        <v>107</v>
      </c>
      <c r="U209" s="14" t="s">
        <v>2771</v>
      </c>
      <c r="V209" s="14" t="s">
        <v>109</v>
      </c>
      <c r="W209" s="18" t="s">
        <v>110</v>
      </c>
      <c r="X209" s="14" t="s">
        <v>2772</v>
      </c>
      <c r="Y209" s="14" t="s">
        <v>194</v>
      </c>
      <c r="Z209" s="14" t="s">
        <v>107</v>
      </c>
      <c r="AA209" s="14" t="s">
        <v>107</v>
      </c>
      <c r="AB209" s="14" t="s">
        <v>112</v>
      </c>
      <c r="AC209" s="14" t="s">
        <v>113</v>
      </c>
      <c r="AD209" s="14" t="s">
        <v>114</v>
      </c>
    </row>
    <row r="210" customFormat="false" ht="78" hidden="false" customHeight="true" outlineLevel="0" collapsed="false">
      <c r="A210" s="14" t="s">
        <v>2773</v>
      </c>
      <c r="B210" s="14" t="s">
        <v>44</v>
      </c>
      <c r="C210" s="14" t="s">
        <v>2774</v>
      </c>
      <c r="D210" s="14" t="s">
        <v>32</v>
      </c>
      <c r="E210" s="14" t="s">
        <v>2775</v>
      </c>
      <c r="F210" s="15" t="s">
        <v>767</v>
      </c>
      <c r="G210" s="14" t="s">
        <v>768</v>
      </c>
      <c r="H210" s="14" t="s">
        <v>2776</v>
      </c>
      <c r="I210" s="14" t="s">
        <v>2777</v>
      </c>
      <c r="J210" s="14" t="s">
        <v>51</v>
      </c>
      <c r="K210" s="22" t="s">
        <v>1668</v>
      </c>
      <c r="L210" s="14" t="s">
        <v>2778</v>
      </c>
      <c r="M210" s="14" t="s">
        <v>2779</v>
      </c>
      <c r="N210" s="14" t="s">
        <v>2780</v>
      </c>
      <c r="O210" s="14"/>
      <c r="P210" s="14" t="s">
        <v>2781</v>
      </c>
      <c r="Q210" s="14" t="s">
        <v>2782</v>
      </c>
      <c r="R210" s="14" t="s">
        <v>144</v>
      </c>
      <c r="S210" s="20" t="s">
        <v>324</v>
      </c>
      <c r="T210" s="20" t="s">
        <v>324</v>
      </c>
      <c r="U210" s="14" t="s">
        <v>2783</v>
      </c>
      <c r="V210" s="14" t="s">
        <v>109</v>
      </c>
      <c r="W210" s="18" t="s">
        <v>110</v>
      </c>
      <c r="X210" s="14" t="s">
        <v>2784</v>
      </c>
      <c r="Y210" s="14" t="s">
        <v>1668</v>
      </c>
      <c r="Z210" s="14" t="s">
        <v>107</v>
      </c>
      <c r="AA210" s="14" t="s">
        <v>107</v>
      </c>
      <c r="AB210" s="14" t="s">
        <v>112</v>
      </c>
      <c r="AC210" s="14" t="s">
        <v>113</v>
      </c>
      <c r="AD210" s="14" t="s">
        <v>114</v>
      </c>
    </row>
    <row r="211" customFormat="false" ht="78" hidden="false" customHeight="true" outlineLevel="0" collapsed="false">
      <c r="A211" s="14" t="s">
        <v>2785</v>
      </c>
      <c r="B211" s="14" t="s">
        <v>44</v>
      </c>
      <c r="C211" s="14" t="s">
        <v>2786</v>
      </c>
      <c r="D211" s="14" t="s">
        <v>32</v>
      </c>
      <c r="E211" s="14" t="s">
        <v>2787</v>
      </c>
      <c r="F211" s="14"/>
      <c r="G211" s="14" t="s">
        <v>285</v>
      </c>
      <c r="H211" s="14" t="s">
        <v>2788</v>
      </c>
      <c r="I211" s="14" t="s">
        <v>2789</v>
      </c>
      <c r="J211" s="14" t="s">
        <v>53</v>
      </c>
      <c r="K211" s="22" t="s">
        <v>1668</v>
      </c>
      <c r="L211" s="14" t="s">
        <v>2790</v>
      </c>
      <c r="M211" s="14" t="s">
        <v>2791</v>
      </c>
      <c r="N211" s="14" t="s">
        <v>2792</v>
      </c>
      <c r="O211" s="14"/>
      <c r="P211" s="14" t="s">
        <v>2793</v>
      </c>
      <c r="Q211" s="14" t="s">
        <v>2794</v>
      </c>
      <c r="R211" s="14" t="s">
        <v>2341</v>
      </c>
      <c r="S211" s="20" t="s">
        <v>324</v>
      </c>
      <c r="T211" s="17" t="s">
        <v>107</v>
      </c>
      <c r="U211" s="14" t="s">
        <v>2795</v>
      </c>
      <c r="V211" s="14" t="s">
        <v>109</v>
      </c>
      <c r="W211" s="18" t="s">
        <v>110</v>
      </c>
      <c r="X211" s="14" t="s">
        <v>2796</v>
      </c>
      <c r="Y211" s="14" t="s">
        <v>194</v>
      </c>
      <c r="Z211" s="14" t="s">
        <v>107</v>
      </c>
      <c r="AA211" s="14" t="s">
        <v>107</v>
      </c>
      <c r="AB211" s="14" t="s">
        <v>112</v>
      </c>
      <c r="AC211" s="14" t="s">
        <v>113</v>
      </c>
      <c r="AD211" s="14" t="s">
        <v>114</v>
      </c>
    </row>
    <row r="212" customFormat="false" ht="78" hidden="false" customHeight="true" outlineLevel="0" collapsed="false">
      <c r="A212" s="14" t="s">
        <v>2797</v>
      </c>
      <c r="B212" s="14" t="s">
        <v>44</v>
      </c>
      <c r="C212" s="14" t="s">
        <v>2798</v>
      </c>
      <c r="D212" s="14" t="s">
        <v>32</v>
      </c>
      <c r="E212" s="14" t="s">
        <v>2799</v>
      </c>
      <c r="F212" s="14"/>
      <c r="G212" s="14" t="s">
        <v>533</v>
      </c>
      <c r="H212" s="14" t="s">
        <v>2800</v>
      </c>
      <c r="I212" s="14" t="s">
        <v>2801</v>
      </c>
      <c r="J212" s="14" t="s">
        <v>53</v>
      </c>
      <c r="K212" s="22" t="s">
        <v>1668</v>
      </c>
      <c r="L212" s="14" t="s">
        <v>2802</v>
      </c>
      <c r="M212" s="14" t="s">
        <v>2803</v>
      </c>
      <c r="N212" s="14" t="s">
        <v>2804</v>
      </c>
      <c r="O212" s="14"/>
      <c r="P212" s="14" t="s">
        <v>2805</v>
      </c>
      <c r="Q212" s="14" t="s">
        <v>2806</v>
      </c>
      <c r="R212" s="14" t="s">
        <v>144</v>
      </c>
      <c r="S212" s="20" t="s">
        <v>324</v>
      </c>
      <c r="T212" s="17" t="s">
        <v>107</v>
      </c>
      <c r="U212" s="14" t="s">
        <v>2807</v>
      </c>
      <c r="V212" s="14" t="s">
        <v>109</v>
      </c>
      <c r="W212" s="18" t="s">
        <v>110</v>
      </c>
      <c r="X212" s="14" t="s">
        <v>2808</v>
      </c>
      <c r="Y212" s="14" t="s">
        <v>1668</v>
      </c>
      <c r="Z212" s="14" t="s">
        <v>107</v>
      </c>
      <c r="AA212" s="14" t="s">
        <v>107</v>
      </c>
      <c r="AB212" s="14" t="s">
        <v>112</v>
      </c>
      <c r="AC212" s="14" t="s">
        <v>1314</v>
      </c>
      <c r="AD212" s="14" t="s">
        <v>1315</v>
      </c>
    </row>
    <row r="213" customFormat="false" ht="78" hidden="false" customHeight="true" outlineLevel="0" collapsed="false">
      <c r="A213" s="14" t="s">
        <v>2809</v>
      </c>
      <c r="B213" s="14" t="s">
        <v>45</v>
      </c>
      <c r="C213" s="14" t="s">
        <v>2810</v>
      </c>
      <c r="D213" s="14" t="s">
        <v>32</v>
      </c>
      <c r="E213" s="14" t="s">
        <v>2811</v>
      </c>
      <c r="F213" s="15" t="s">
        <v>739</v>
      </c>
      <c r="G213" s="14" t="s">
        <v>740</v>
      </c>
      <c r="H213" s="14" t="s">
        <v>2812</v>
      </c>
      <c r="I213" s="14" t="s">
        <v>2813</v>
      </c>
      <c r="J213" s="14" t="s">
        <v>52</v>
      </c>
      <c r="K213" s="22" t="s">
        <v>1668</v>
      </c>
      <c r="L213" s="14" t="s">
        <v>2814</v>
      </c>
      <c r="M213" s="14" t="s">
        <v>2815</v>
      </c>
      <c r="N213" s="14" t="s">
        <v>2816</v>
      </c>
      <c r="O213" s="14"/>
      <c r="P213" s="14" t="s">
        <v>2817</v>
      </c>
      <c r="Q213" s="14" t="s">
        <v>2818</v>
      </c>
      <c r="R213" s="14" t="s">
        <v>2542</v>
      </c>
      <c r="S213" s="20" t="s">
        <v>324</v>
      </c>
      <c r="T213" s="17" t="s">
        <v>107</v>
      </c>
      <c r="U213" s="14" t="s">
        <v>2819</v>
      </c>
      <c r="V213" s="14" t="s">
        <v>109</v>
      </c>
      <c r="W213" s="18" t="s">
        <v>110</v>
      </c>
      <c r="X213" s="14" t="s">
        <v>2820</v>
      </c>
      <c r="Y213" s="14" t="s">
        <v>1668</v>
      </c>
      <c r="Z213" s="14" t="s">
        <v>107</v>
      </c>
      <c r="AA213" s="14" t="s">
        <v>107</v>
      </c>
      <c r="AB213" s="14" t="s">
        <v>921</v>
      </c>
      <c r="AC213" s="14" t="s">
        <v>113</v>
      </c>
      <c r="AD213" s="14" t="s">
        <v>114</v>
      </c>
    </row>
    <row r="214" customFormat="false" ht="78" hidden="false" customHeight="true" outlineLevel="0" collapsed="false">
      <c r="A214" s="14" t="s">
        <v>2821</v>
      </c>
      <c r="B214" s="14" t="s">
        <v>48</v>
      </c>
      <c r="C214" s="14" t="s">
        <v>2822</v>
      </c>
      <c r="D214" s="14" t="s">
        <v>32</v>
      </c>
      <c r="E214" s="14" t="s">
        <v>2823</v>
      </c>
      <c r="F214" s="15" t="s">
        <v>753</v>
      </c>
      <c r="G214" s="14" t="s">
        <v>754</v>
      </c>
      <c r="H214" s="14" t="s">
        <v>2824</v>
      </c>
      <c r="I214" s="14" t="s">
        <v>2825</v>
      </c>
      <c r="J214" s="14" t="s">
        <v>54</v>
      </c>
      <c r="K214" s="22" t="s">
        <v>1668</v>
      </c>
      <c r="L214" s="14" t="s">
        <v>2826</v>
      </c>
      <c r="M214" s="14" t="s">
        <v>2827</v>
      </c>
      <c r="N214" s="14" t="s">
        <v>2828</v>
      </c>
      <c r="O214" s="14"/>
      <c r="P214" s="14" t="s">
        <v>2829</v>
      </c>
      <c r="Q214" s="14" t="s">
        <v>2830</v>
      </c>
      <c r="R214" s="14" t="s">
        <v>2628</v>
      </c>
      <c r="S214" s="17" t="s">
        <v>107</v>
      </c>
      <c r="T214" s="20" t="s">
        <v>324</v>
      </c>
      <c r="U214" s="14" t="s">
        <v>2831</v>
      </c>
      <c r="V214" s="14" t="s">
        <v>109</v>
      </c>
      <c r="W214" s="18" t="s">
        <v>110</v>
      </c>
      <c r="X214" s="14" t="s">
        <v>2832</v>
      </c>
      <c r="Y214" s="14" t="s">
        <v>194</v>
      </c>
      <c r="Z214" s="14" t="s">
        <v>107</v>
      </c>
      <c r="AA214" s="14" t="s">
        <v>107</v>
      </c>
      <c r="AB214" s="14" t="s">
        <v>559</v>
      </c>
      <c r="AC214" s="14" t="s">
        <v>560</v>
      </c>
      <c r="AD214" s="14" t="s">
        <v>561</v>
      </c>
    </row>
    <row r="215" customFormat="false" ht="78" hidden="false" customHeight="true" outlineLevel="0" collapsed="false">
      <c r="A215" s="14" t="s">
        <v>2833</v>
      </c>
      <c r="B215" s="14" t="s">
        <v>43</v>
      </c>
      <c r="C215" s="14" t="s">
        <v>2834</v>
      </c>
      <c r="D215" s="14" t="s">
        <v>32</v>
      </c>
      <c r="E215" s="14" t="s">
        <v>2835</v>
      </c>
      <c r="F215" s="14"/>
      <c r="G215" s="14" t="s">
        <v>285</v>
      </c>
      <c r="H215" s="14" t="s">
        <v>2836</v>
      </c>
      <c r="I215" s="14" t="s">
        <v>2837</v>
      </c>
      <c r="J215" s="14" t="s">
        <v>53</v>
      </c>
      <c r="K215" s="22" t="s">
        <v>1668</v>
      </c>
      <c r="L215" s="14" t="s">
        <v>2838</v>
      </c>
      <c r="M215" s="14" t="s">
        <v>2839</v>
      </c>
      <c r="N215" s="14" t="s">
        <v>2840</v>
      </c>
      <c r="O215" s="14"/>
      <c r="P215" s="14" t="s">
        <v>2841</v>
      </c>
      <c r="Q215" s="14" t="s">
        <v>2842</v>
      </c>
      <c r="R215" s="14" t="s">
        <v>161</v>
      </c>
      <c r="S215" s="20" t="s">
        <v>324</v>
      </c>
      <c r="T215" s="17" t="s">
        <v>107</v>
      </c>
      <c r="U215" s="14" t="s">
        <v>2843</v>
      </c>
      <c r="V215" s="14" t="s">
        <v>109</v>
      </c>
      <c r="W215" s="18" t="s">
        <v>110</v>
      </c>
      <c r="X215" s="14" t="s">
        <v>2844</v>
      </c>
      <c r="Y215" s="14" t="s">
        <v>1668</v>
      </c>
      <c r="Z215" s="14" t="s">
        <v>107</v>
      </c>
      <c r="AA215" s="14" t="s">
        <v>107</v>
      </c>
      <c r="AB215" s="14" t="s">
        <v>131</v>
      </c>
      <c r="AC215" s="14" t="s">
        <v>113</v>
      </c>
      <c r="AD215" s="14" t="s">
        <v>114</v>
      </c>
    </row>
    <row r="216" customFormat="false" ht="78" hidden="false" customHeight="true" outlineLevel="0" collapsed="false">
      <c r="A216" s="14" t="s">
        <v>2845</v>
      </c>
      <c r="B216" s="14" t="s">
        <v>43</v>
      </c>
      <c r="C216" s="14" t="s">
        <v>2846</v>
      </c>
      <c r="D216" s="14" t="s">
        <v>32</v>
      </c>
      <c r="E216" s="14" t="s">
        <v>2847</v>
      </c>
      <c r="F216" s="15" t="s">
        <v>712</v>
      </c>
      <c r="G216" s="14" t="s">
        <v>136</v>
      </c>
      <c r="H216" s="14" t="s">
        <v>2848</v>
      </c>
      <c r="I216" s="14" t="s">
        <v>2849</v>
      </c>
      <c r="J216" s="14" t="s">
        <v>54</v>
      </c>
      <c r="K216" s="22" t="s">
        <v>1668</v>
      </c>
      <c r="L216" s="14" t="s">
        <v>2850</v>
      </c>
      <c r="M216" s="14" t="s">
        <v>2851</v>
      </c>
      <c r="N216" s="14" t="s">
        <v>2852</v>
      </c>
      <c r="O216" s="14"/>
      <c r="P216" s="14" t="s">
        <v>2853</v>
      </c>
      <c r="Q216" s="14" t="s">
        <v>2854</v>
      </c>
      <c r="R216" s="14" t="s">
        <v>161</v>
      </c>
      <c r="S216" s="20" t="s">
        <v>324</v>
      </c>
      <c r="T216" s="20" t="s">
        <v>324</v>
      </c>
      <c r="U216" s="14" t="s">
        <v>2855</v>
      </c>
      <c r="V216" s="14" t="s">
        <v>109</v>
      </c>
      <c r="W216" s="18" t="s">
        <v>110</v>
      </c>
      <c r="X216" s="14" t="s">
        <v>2856</v>
      </c>
      <c r="Y216" s="14" t="s">
        <v>1668</v>
      </c>
      <c r="Z216" s="14" t="s">
        <v>107</v>
      </c>
      <c r="AA216" s="14" t="s">
        <v>107</v>
      </c>
      <c r="AB216" s="14" t="s">
        <v>131</v>
      </c>
      <c r="AC216" s="14" t="s">
        <v>560</v>
      </c>
      <c r="AD216" s="14" t="s">
        <v>561</v>
      </c>
    </row>
    <row r="217" customFormat="false" ht="78" hidden="false" customHeight="true" outlineLevel="0" collapsed="false">
      <c r="A217" s="14" t="s">
        <v>2857</v>
      </c>
      <c r="B217" s="14" t="s">
        <v>46</v>
      </c>
      <c r="C217" s="14" t="s">
        <v>2858</v>
      </c>
      <c r="D217" s="14" t="s">
        <v>150</v>
      </c>
      <c r="E217" s="14" t="s">
        <v>2859</v>
      </c>
      <c r="F217" s="15" t="s">
        <v>871</v>
      </c>
      <c r="G217" s="14" t="s">
        <v>153</v>
      </c>
      <c r="H217" s="14" t="s">
        <v>2860</v>
      </c>
      <c r="I217" s="14" t="s">
        <v>2861</v>
      </c>
      <c r="J217" s="14" t="s">
        <v>51</v>
      </c>
      <c r="K217" s="22" t="s">
        <v>1668</v>
      </c>
      <c r="L217" s="14" t="s">
        <v>2862</v>
      </c>
      <c r="M217" s="14" t="s">
        <v>2863</v>
      </c>
      <c r="N217" s="14" t="s">
        <v>2864</v>
      </c>
      <c r="O217" s="14"/>
      <c r="P217" s="14" t="s">
        <v>2865</v>
      </c>
      <c r="Q217" s="14" t="s">
        <v>2866</v>
      </c>
      <c r="R217" s="14" t="s">
        <v>851</v>
      </c>
      <c r="S217" s="17" t="s">
        <v>107</v>
      </c>
      <c r="T217" s="17" t="s">
        <v>107</v>
      </c>
      <c r="U217" s="14" t="s">
        <v>2867</v>
      </c>
      <c r="V217" s="14" t="s">
        <v>109</v>
      </c>
      <c r="W217" s="21" t="s">
        <v>429</v>
      </c>
      <c r="X217" s="14" t="s">
        <v>2868</v>
      </c>
      <c r="Y217" s="14" t="s">
        <v>100</v>
      </c>
      <c r="Z217" s="14" t="s">
        <v>107</v>
      </c>
      <c r="AA217" s="14" t="s">
        <v>107</v>
      </c>
      <c r="AB217" s="14" t="s">
        <v>147</v>
      </c>
      <c r="AC217" s="14" t="s">
        <v>113</v>
      </c>
      <c r="AD217" s="14" t="s">
        <v>114</v>
      </c>
    </row>
    <row r="218" customFormat="false" ht="78" hidden="false" customHeight="true" outlineLevel="0" collapsed="false">
      <c r="A218" s="14" t="s">
        <v>2869</v>
      </c>
      <c r="B218" s="14" t="s">
        <v>46</v>
      </c>
      <c r="C218" s="14" t="s">
        <v>133</v>
      </c>
      <c r="D218" s="14" t="s">
        <v>150</v>
      </c>
      <c r="E218" s="14" t="s">
        <v>2870</v>
      </c>
      <c r="F218" s="15" t="s">
        <v>2871</v>
      </c>
      <c r="G218" s="14" t="s">
        <v>153</v>
      </c>
      <c r="H218" s="14" t="s">
        <v>2872</v>
      </c>
      <c r="I218" s="14" t="s">
        <v>2873</v>
      </c>
      <c r="J218" s="14" t="s">
        <v>55</v>
      </c>
      <c r="K218" s="22" t="s">
        <v>1668</v>
      </c>
      <c r="L218" s="14" t="s">
        <v>2874</v>
      </c>
      <c r="M218" s="14" t="s">
        <v>2875</v>
      </c>
      <c r="N218" s="14" t="s">
        <v>2876</v>
      </c>
      <c r="O218" s="14"/>
      <c r="P218" s="14" t="s">
        <v>2877</v>
      </c>
      <c r="Q218" s="14" t="s">
        <v>2878</v>
      </c>
      <c r="R218" s="14" t="s">
        <v>851</v>
      </c>
      <c r="S218" s="17" t="s">
        <v>107</v>
      </c>
      <c r="T218" s="17" t="s">
        <v>107</v>
      </c>
      <c r="U218" s="14" t="s">
        <v>2879</v>
      </c>
      <c r="V218" s="14" t="s">
        <v>109</v>
      </c>
      <c r="W218" s="21" t="s">
        <v>429</v>
      </c>
      <c r="X218" s="14" t="s">
        <v>2880</v>
      </c>
      <c r="Y218" s="14" t="s">
        <v>100</v>
      </c>
      <c r="Z218" s="14" t="s">
        <v>107</v>
      </c>
      <c r="AA218" s="14" t="s">
        <v>107</v>
      </c>
      <c r="AB218" s="14" t="s">
        <v>147</v>
      </c>
      <c r="AC218" s="14" t="s">
        <v>113</v>
      </c>
      <c r="AD218" s="14" t="s">
        <v>114</v>
      </c>
    </row>
    <row r="219" customFormat="false" ht="78" hidden="false" customHeight="true" outlineLevel="0" collapsed="false">
      <c r="A219" s="14" t="s">
        <v>2881</v>
      </c>
      <c r="B219" s="14" t="s">
        <v>46</v>
      </c>
      <c r="C219" s="14" t="s">
        <v>2882</v>
      </c>
      <c r="D219" s="14" t="s">
        <v>150</v>
      </c>
      <c r="E219" s="14" t="s">
        <v>2870</v>
      </c>
      <c r="F219" s="15" t="s">
        <v>2871</v>
      </c>
      <c r="G219" s="14" t="s">
        <v>153</v>
      </c>
      <c r="H219" s="14" t="s">
        <v>2883</v>
      </c>
      <c r="I219" s="14" t="s">
        <v>2884</v>
      </c>
      <c r="J219" s="14" t="s">
        <v>57</v>
      </c>
      <c r="K219" s="22" t="s">
        <v>1668</v>
      </c>
      <c r="L219" s="14" t="s">
        <v>2885</v>
      </c>
      <c r="M219" s="14" t="s">
        <v>2886</v>
      </c>
      <c r="N219" s="14" t="s">
        <v>2887</v>
      </c>
      <c r="O219" s="14"/>
      <c r="P219" s="14" t="s">
        <v>2888</v>
      </c>
      <c r="Q219" s="14" t="s">
        <v>2889</v>
      </c>
      <c r="R219" s="14" t="s">
        <v>851</v>
      </c>
      <c r="S219" s="17" t="s">
        <v>107</v>
      </c>
      <c r="T219" s="20" t="s">
        <v>324</v>
      </c>
      <c r="U219" s="14" t="s">
        <v>2890</v>
      </c>
      <c r="V219" s="14" t="s">
        <v>109</v>
      </c>
      <c r="W219" s="18" t="s">
        <v>110</v>
      </c>
      <c r="X219" s="14" t="s">
        <v>2891</v>
      </c>
      <c r="Y219" s="14" t="s">
        <v>194</v>
      </c>
      <c r="Z219" s="14" t="s">
        <v>107</v>
      </c>
      <c r="AA219" s="14" t="s">
        <v>107</v>
      </c>
      <c r="AB219" s="14" t="s">
        <v>147</v>
      </c>
      <c r="AC219" s="14" t="s">
        <v>113</v>
      </c>
      <c r="AD219" s="14" t="s">
        <v>114</v>
      </c>
    </row>
    <row r="220" customFormat="false" ht="78" hidden="false" customHeight="true" outlineLevel="0" collapsed="false">
      <c r="A220" s="14" t="s">
        <v>2892</v>
      </c>
      <c r="B220" s="14" t="s">
        <v>44</v>
      </c>
      <c r="C220" s="14" t="s">
        <v>2893</v>
      </c>
      <c r="D220" s="14" t="s">
        <v>150</v>
      </c>
      <c r="E220" s="14" t="s">
        <v>2859</v>
      </c>
      <c r="F220" s="15" t="s">
        <v>871</v>
      </c>
      <c r="G220" s="14" t="s">
        <v>153</v>
      </c>
      <c r="H220" s="14" t="s">
        <v>2894</v>
      </c>
      <c r="I220" s="14" t="s">
        <v>2895</v>
      </c>
      <c r="J220" s="14" t="s">
        <v>57</v>
      </c>
      <c r="K220" s="22" t="s">
        <v>1668</v>
      </c>
      <c r="L220" s="14" t="s">
        <v>2896</v>
      </c>
      <c r="M220" s="14" t="s">
        <v>2897</v>
      </c>
      <c r="N220" s="14" t="s">
        <v>2898</v>
      </c>
      <c r="O220" s="14"/>
      <c r="P220" s="14" t="s">
        <v>2899</v>
      </c>
      <c r="Q220" s="14" t="s">
        <v>2900</v>
      </c>
      <c r="R220" s="14" t="s">
        <v>851</v>
      </c>
      <c r="S220" s="17" t="s">
        <v>107</v>
      </c>
      <c r="T220" s="17" t="s">
        <v>107</v>
      </c>
      <c r="U220" s="14" t="s">
        <v>2901</v>
      </c>
      <c r="V220" s="14" t="s">
        <v>109</v>
      </c>
      <c r="W220" s="18" t="s">
        <v>110</v>
      </c>
      <c r="X220" s="14" t="s">
        <v>2902</v>
      </c>
      <c r="Y220" s="14" t="s">
        <v>194</v>
      </c>
      <c r="Z220" s="14" t="s">
        <v>107</v>
      </c>
      <c r="AA220" s="14" t="s">
        <v>107</v>
      </c>
      <c r="AB220" s="14" t="s">
        <v>112</v>
      </c>
      <c r="AC220" s="14" t="s">
        <v>113</v>
      </c>
      <c r="AD220" s="14" t="s">
        <v>114</v>
      </c>
    </row>
    <row r="221" customFormat="false" ht="78" hidden="false" customHeight="true" outlineLevel="0" collapsed="false">
      <c r="A221" s="14" t="s">
        <v>2903</v>
      </c>
      <c r="B221" s="14" t="s">
        <v>44</v>
      </c>
      <c r="C221" s="14" t="s">
        <v>2904</v>
      </c>
      <c r="D221" s="14" t="s">
        <v>150</v>
      </c>
      <c r="E221" s="14" t="s">
        <v>2905</v>
      </c>
      <c r="F221" s="14"/>
      <c r="G221" s="14" t="s">
        <v>533</v>
      </c>
      <c r="H221" s="14" t="s">
        <v>2906</v>
      </c>
      <c r="I221" s="14" t="s">
        <v>2907</v>
      </c>
      <c r="J221" s="14" t="s">
        <v>53</v>
      </c>
      <c r="K221" s="22" t="s">
        <v>1668</v>
      </c>
      <c r="L221" s="14" t="s">
        <v>2908</v>
      </c>
      <c r="M221" s="14" t="s">
        <v>2803</v>
      </c>
      <c r="N221" s="14" t="s">
        <v>2909</v>
      </c>
      <c r="O221" s="14"/>
      <c r="P221" s="14" t="s">
        <v>2910</v>
      </c>
      <c r="Q221" s="14" t="s">
        <v>2911</v>
      </c>
      <c r="R221" s="14" t="s">
        <v>851</v>
      </c>
      <c r="S221" s="20" t="s">
        <v>324</v>
      </c>
      <c r="T221" s="17" t="s">
        <v>107</v>
      </c>
      <c r="U221" s="14" t="s">
        <v>2912</v>
      </c>
      <c r="V221" s="14" t="s">
        <v>109</v>
      </c>
      <c r="W221" s="18" t="s">
        <v>110</v>
      </c>
      <c r="X221" s="14" t="s">
        <v>2913</v>
      </c>
      <c r="Y221" s="14" t="s">
        <v>1668</v>
      </c>
      <c r="Z221" s="14" t="s">
        <v>107</v>
      </c>
      <c r="AA221" s="14" t="s">
        <v>107</v>
      </c>
      <c r="AB221" s="14" t="s">
        <v>112</v>
      </c>
      <c r="AC221" s="14" t="s">
        <v>1314</v>
      </c>
      <c r="AD221" s="14" t="s">
        <v>1315</v>
      </c>
    </row>
    <row r="222" customFormat="false" ht="78" hidden="false" customHeight="true" outlineLevel="0" collapsed="false">
      <c r="A222" s="14" t="s">
        <v>2914</v>
      </c>
      <c r="B222" s="14" t="s">
        <v>44</v>
      </c>
      <c r="C222" s="14" t="s">
        <v>2915</v>
      </c>
      <c r="D222" s="14" t="s">
        <v>150</v>
      </c>
      <c r="E222" s="14" t="s">
        <v>2916</v>
      </c>
      <c r="F222" s="15" t="s">
        <v>2917</v>
      </c>
      <c r="G222" s="14" t="s">
        <v>2916</v>
      </c>
      <c r="H222" s="14" t="s">
        <v>2918</v>
      </c>
      <c r="I222" s="14" t="s">
        <v>2919</v>
      </c>
      <c r="J222" s="14" t="s">
        <v>53</v>
      </c>
      <c r="K222" s="22" t="s">
        <v>1668</v>
      </c>
      <c r="L222" s="14" t="s">
        <v>2920</v>
      </c>
      <c r="M222" s="14" t="s">
        <v>2921</v>
      </c>
      <c r="N222" s="14" t="s">
        <v>2922</v>
      </c>
      <c r="O222" s="14"/>
      <c r="P222" s="14" t="s">
        <v>2923</v>
      </c>
      <c r="Q222" s="14" t="s">
        <v>2924</v>
      </c>
      <c r="R222" s="14" t="s">
        <v>851</v>
      </c>
      <c r="S222" s="17" t="s">
        <v>107</v>
      </c>
      <c r="T222" s="17" t="s">
        <v>107</v>
      </c>
      <c r="U222" s="14" t="s">
        <v>2925</v>
      </c>
      <c r="V222" s="14" t="s">
        <v>109</v>
      </c>
      <c r="W222" s="18" t="s">
        <v>110</v>
      </c>
      <c r="X222" s="14" t="s">
        <v>2926</v>
      </c>
      <c r="Y222" s="14" t="s">
        <v>194</v>
      </c>
      <c r="Z222" s="14" t="s">
        <v>107</v>
      </c>
      <c r="AA222" s="14" t="s">
        <v>107</v>
      </c>
      <c r="AB222" s="14" t="s">
        <v>112</v>
      </c>
      <c r="AC222" s="14" t="s">
        <v>113</v>
      </c>
      <c r="AD222" s="14" t="s">
        <v>114</v>
      </c>
    </row>
    <row r="223" customFormat="false" ht="78" hidden="false" customHeight="true" outlineLevel="0" collapsed="false">
      <c r="A223" s="14" t="s">
        <v>2927</v>
      </c>
      <c r="B223" s="14" t="s">
        <v>44</v>
      </c>
      <c r="C223" s="14" t="s">
        <v>2928</v>
      </c>
      <c r="D223" s="14" t="s">
        <v>150</v>
      </c>
      <c r="E223" s="14" t="s">
        <v>841</v>
      </c>
      <c r="F223" s="15" t="s">
        <v>842</v>
      </c>
      <c r="G223" s="14" t="s">
        <v>843</v>
      </c>
      <c r="H223" s="14" t="s">
        <v>2929</v>
      </c>
      <c r="I223" s="14" t="s">
        <v>2930</v>
      </c>
      <c r="J223" s="14" t="s">
        <v>99</v>
      </c>
      <c r="K223" s="22" t="s">
        <v>1668</v>
      </c>
      <c r="L223" s="14" t="s">
        <v>2931</v>
      </c>
      <c r="M223" s="14" t="s">
        <v>2932</v>
      </c>
      <c r="N223" s="14" t="s">
        <v>2933</v>
      </c>
      <c r="O223" s="14"/>
      <c r="P223" s="14" t="s">
        <v>2934</v>
      </c>
      <c r="Q223" s="14" t="s">
        <v>2935</v>
      </c>
      <c r="R223" s="14" t="s">
        <v>851</v>
      </c>
      <c r="S223" s="17" t="s">
        <v>107</v>
      </c>
      <c r="T223" s="17" t="s">
        <v>107</v>
      </c>
      <c r="U223" s="14" t="s">
        <v>2936</v>
      </c>
      <c r="V223" s="14" t="s">
        <v>109</v>
      </c>
      <c r="W223" s="21" t="s">
        <v>429</v>
      </c>
      <c r="X223" s="14" t="s">
        <v>2937</v>
      </c>
      <c r="Y223" s="14" t="s">
        <v>194</v>
      </c>
      <c r="Z223" s="14" t="s">
        <v>946</v>
      </c>
      <c r="AA223" s="14" t="s">
        <v>107</v>
      </c>
      <c r="AB223" s="14" t="s">
        <v>112</v>
      </c>
      <c r="AC223" s="14" t="s">
        <v>113</v>
      </c>
      <c r="AD223" s="14" t="s">
        <v>114</v>
      </c>
    </row>
    <row r="224" customFormat="false" ht="78" hidden="false" customHeight="true" outlineLevel="0" collapsed="false">
      <c r="A224" s="14" t="s">
        <v>2938</v>
      </c>
      <c r="B224" s="14" t="s">
        <v>45</v>
      </c>
      <c r="C224" s="14" t="s">
        <v>2939</v>
      </c>
      <c r="D224" s="14" t="s">
        <v>150</v>
      </c>
      <c r="E224" s="14" t="s">
        <v>2940</v>
      </c>
      <c r="F224" s="15" t="s">
        <v>152</v>
      </c>
      <c r="G224" s="14" t="s">
        <v>153</v>
      </c>
      <c r="H224" s="14" t="s">
        <v>2941</v>
      </c>
      <c r="I224" s="14" t="s">
        <v>2942</v>
      </c>
      <c r="J224" s="14" t="s">
        <v>52</v>
      </c>
      <c r="K224" s="22" t="s">
        <v>1668</v>
      </c>
      <c r="L224" s="14" t="s">
        <v>2943</v>
      </c>
      <c r="M224" s="14" t="s">
        <v>2944</v>
      </c>
      <c r="N224" s="14" t="s">
        <v>2945</v>
      </c>
      <c r="O224" s="14"/>
      <c r="P224" s="14" t="s">
        <v>2946</v>
      </c>
      <c r="Q224" s="14" t="s">
        <v>2947</v>
      </c>
      <c r="R224" s="14" t="s">
        <v>2542</v>
      </c>
      <c r="S224" s="20" t="s">
        <v>324</v>
      </c>
      <c r="T224" s="17" t="s">
        <v>107</v>
      </c>
      <c r="U224" s="14" t="s">
        <v>2948</v>
      </c>
      <c r="V224" s="14" t="s">
        <v>109</v>
      </c>
      <c r="W224" s="18" t="s">
        <v>110</v>
      </c>
      <c r="X224" s="14" t="s">
        <v>2949</v>
      </c>
      <c r="Y224" s="14" t="s">
        <v>1668</v>
      </c>
      <c r="Z224" s="14" t="s">
        <v>107</v>
      </c>
      <c r="AA224" s="14" t="s">
        <v>107</v>
      </c>
      <c r="AB224" s="14" t="s">
        <v>921</v>
      </c>
      <c r="AC224" s="14" t="s">
        <v>113</v>
      </c>
      <c r="AD224" s="14" t="s">
        <v>114</v>
      </c>
    </row>
    <row r="225" customFormat="false" ht="78" hidden="false" customHeight="true" outlineLevel="0" collapsed="false">
      <c r="A225" s="14" t="s">
        <v>2950</v>
      </c>
      <c r="B225" s="14" t="s">
        <v>45</v>
      </c>
      <c r="C225" s="14" t="s">
        <v>2332</v>
      </c>
      <c r="D225" s="14" t="s">
        <v>150</v>
      </c>
      <c r="E225" s="14" t="s">
        <v>2951</v>
      </c>
      <c r="F225" s="15" t="s">
        <v>2952</v>
      </c>
      <c r="G225" s="14" t="s">
        <v>533</v>
      </c>
      <c r="H225" s="14" t="s">
        <v>2953</v>
      </c>
      <c r="I225" s="14" t="s">
        <v>2954</v>
      </c>
      <c r="J225" s="14" t="s">
        <v>56</v>
      </c>
      <c r="K225" s="22" t="s">
        <v>1668</v>
      </c>
      <c r="L225" s="14" t="s">
        <v>2955</v>
      </c>
      <c r="M225" s="14" t="s">
        <v>2956</v>
      </c>
      <c r="N225" s="14" t="s">
        <v>2957</v>
      </c>
      <c r="O225" s="14"/>
      <c r="P225" s="14" t="s">
        <v>2958</v>
      </c>
      <c r="Q225" s="14" t="s">
        <v>2959</v>
      </c>
      <c r="R225" s="14" t="s">
        <v>2341</v>
      </c>
      <c r="S225" s="20" t="s">
        <v>324</v>
      </c>
      <c r="T225" s="17" t="s">
        <v>107</v>
      </c>
      <c r="U225" s="14" t="s">
        <v>2960</v>
      </c>
      <c r="V225" s="14" t="s">
        <v>109</v>
      </c>
      <c r="W225" s="18" t="s">
        <v>110</v>
      </c>
      <c r="X225" s="14" t="s">
        <v>2961</v>
      </c>
      <c r="Y225" s="14" t="s">
        <v>1668</v>
      </c>
      <c r="Z225" s="14" t="s">
        <v>107</v>
      </c>
      <c r="AA225" s="14" t="s">
        <v>107</v>
      </c>
      <c r="AB225" s="14" t="s">
        <v>921</v>
      </c>
      <c r="AC225" s="14" t="s">
        <v>1314</v>
      </c>
      <c r="AD225" s="14" t="s">
        <v>1315</v>
      </c>
    </row>
    <row r="226" customFormat="false" ht="78" hidden="false" customHeight="true" outlineLevel="0" collapsed="false">
      <c r="A226" s="14" t="s">
        <v>2962</v>
      </c>
      <c r="B226" s="14" t="s">
        <v>45</v>
      </c>
      <c r="C226" s="14" t="s">
        <v>2963</v>
      </c>
      <c r="D226" s="14" t="s">
        <v>150</v>
      </c>
      <c r="E226" s="14" t="s">
        <v>2964</v>
      </c>
      <c r="F226" s="15" t="s">
        <v>2965</v>
      </c>
      <c r="G226" s="14" t="s">
        <v>1932</v>
      </c>
      <c r="H226" s="14" t="s">
        <v>2966</v>
      </c>
      <c r="I226" s="14" t="s">
        <v>2967</v>
      </c>
      <c r="J226" s="14" t="s">
        <v>536</v>
      </c>
      <c r="K226" s="22" t="s">
        <v>1668</v>
      </c>
      <c r="L226" s="14" t="s">
        <v>2968</v>
      </c>
      <c r="M226" s="14" t="s">
        <v>2969</v>
      </c>
      <c r="N226" s="14" t="s">
        <v>2970</v>
      </c>
      <c r="O226" s="14"/>
      <c r="P226" s="14" t="s">
        <v>2971</v>
      </c>
      <c r="Q226" s="14" t="s">
        <v>2972</v>
      </c>
      <c r="R226" s="14" t="s">
        <v>2341</v>
      </c>
      <c r="S226" s="20" t="s">
        <v>324</v>
      </c>
      <c r="T226" s="17" t="s">
        <v>107</v>
      </c>
      <c r="U226" s="14" t="s">
        <v>2973</v>
      </c>
      <c r="V226" s="14" t="s">
        <v>109</v>
      </c>
      <c r="W226" s="18" t="s">
        <v>110</v>
      </c>
      <c r="X226" s="14" t="s">
        <v>2974</v>
      </c>
      <c r="Y226" s="14" t="s">
        <v>1668</v>
      </c>
      <c r="Z226" s="14" t="s">
        <v>107</v>
      </c>
      <c r="AA226" s="14" t="s">
        <v>107</v>
      </c>
      <c r="AB226" s="14" t="s">
        <v>921</v>
      </c>
      <c r="AC226" s="14" t="s">
        <v>113</v>
      </c>
      <c r="AD226" s="14" t="s">
        <v>114</v>
      </c>
    </row>
    <row r="227" customFormat="false" ht="78" hidden="false" customHeight="true" outlineLevel="0" collapsed="false">
      <c r="A227" s="14" t="s">
        <v>2975</v>
      </c>
      <c r="B227" s="14" t="s">
        <v>43</v>
      </c>
      <c r="C227" s="14" t="s">
        <v>2976</v>
      </c>
      <c r="D227" s="14" t="s">
        <v>150</v>
      </c>
      <c r="E227" s="14" t="s">
        <v>2977</v>
      </c>
      <c r="F227" s="15" t="s">
        <v>434</v>
      </c>
      <c r="G227" s="14" t="s">
        <v>2978</v>
      </c>
      <c r="H227" s="14" t="s">
        <v>2979</v>
      </c>
      <c r="I227" s="14" t="s">
        <v>2980</v>
      </c>
      <c r="J227" s="14" t="s">
        <v>1057</v>
      </c>
      <c r="K227" s="22" t="s">
        <v>1668</v>
      </c>
      <c r="L227" s="14" t="s">
        <v>2981</v>
      </c>
      <c r="M227" s="14" t="s">
        <v>2982</v>
      </c>
      <c r="N227" s="14" t="s">
        <v>2983</v>
      </c>
      <c r="O227" s="14"/>
      <c r="P227" s="14" t="s">
        <v>2984</v>
      </c>
      <c r="Q227" s="14" t="s">
        <v>2985</v>
      </c>
      <c r="R227" s="14" t="s">
        <v>2341</v>
      </c>
      <c r="S227" s="17" t="s">
        <v>107</v>
      </c>
      <c r="T227" s="17" t="s">
        <v>107</v>
      </c>
      <c r="U227" s="14" t="s">
        <v>2986</v>
      </c>
      <c r="V227" s="14" t="s">
        <v>109</v>
      </c>
      <c r="W227" s="18" t="s">
        <v>110</v>
      </c>
      <c r="X227" s="14" t="s">
        <v>2987</v>
      </c>
      <c r="Y227" s="14" t="s">
        <v>194</v>
      </c>
      <c r="Z227" s="14" t="s">
        <v>107</v>
      </c>
      <c r="AA227" s="14" t="s">
        <v>107</v>
      </c>
      <c r="AB227" s="14" t="s">
        <v>131</v>
      </c>
      <c r="AC227" s="14" t="s">
        <v>113</v>
      </c>
      <c r="AD227" s="14" t="s">
        <v>114</v>
      </c>
    </row>
    <row r="228" customFormat="false" ht="78" hidden="false" customHeight="true" outlineLevel="0" collapsed="false">
      <c r="A228" s="14" t="s">
        <v>2988</v>
      </c>
      <c r="B228" s="14" t="s">
        <v>43</v>
      </c>
      <c r="C228" s="14" t="s">
        <v>2834</v>
      </c>
      <c r="D228" s="14" t="s">
        <v>150</v>
      </c>
      <c r="E228" s="14" t="s">
        <v>2989</v>
      </c>
      <c r="F228" s="14"/>
      <c r="G228" s="14" t="s">
        <v>285</v>
      </c>
      <c r="H228" s="14" t="s">
        <v>2990</v>
      </c>
      <c r="I228" s="14" t="s">
        <v>2991</v>
      </c>
      <c r="J228" s="14" t="s">
        <v>50</v>
      </c>
      <c r="K228" s="22" t="s">
        <v>1668</v>
      </c>
      <c r="L228" s="14" t="s">
        <v>2992</v>
      </c>
      <c r="M228" s="14" t="s">
        <v>2993</v>
      </c>
      <c r="N228" s="14" t="s">
        <v>2994</v>
      </c>
      <c r="O228" s="14"/>
      <c r="P228" s="14" t="s">
        <v>2995</v>
      </c>
      <c r="Q228" s="14" t="s">
        <v>2996</v>
      </c>
      <c r="R228" s="14" t="s">
        <v>161</v>
      </c>
      <c r="S228" s="17" t="s">
        <v>107</v>
      </c>
      <c r="T228" s="17" t="s">
        <v>107</v>
      </c>
      <c r="U228" s="14" t="s">
        <v>2997</v>
      </c>
      <c r="V228" s="14" t="s">
        <v>109</v>
      </c>
      <c r="W228" s="18" t="s">
        <v>110</v>
      </c>
      <c r="X228" s="14" t="s">
        <v>2998</v>
      </c>
      <c r="Y228" s="14" t="s">
        <v>194</v>
      </c>
      <c r="Z228" s="14" t="s">
        <v>946</v>
      </c>
      <c r="AA228" s="14" t="s">
        <v>107</v>
      </c>
      <c r="AB228" s="14" t="s">
        <v>131</v>
      </c>
      <c r="AC228" s="14" t="s">
        <v>113</v>
      </c>
      <c r="AD228" s="14" t="s">
        <v>114</v>
      </c>
    </row>
    <row r="229" customFormat="false" ht="78" hidden="false" customHeight="true" outlineLevel="0" collapsed="false">
      <c r="A229" s="14" t="s">
        <v>2999</v>
      </c>
      <c r="B229" s="14" t="s">
        <v>43</v>
      </c>
      <c r="C229" s="14" t="s">
        <v>3000</v>
      </c>
      <c r="D229" s="14" t="s">
        <v>150</v>
      </c>
      <c r="E229" s="14" t="s">
        <v>3001</v>
      </c>
      <c r="F229" s="15" t="s">
        <v>2917</v>
      </c>
      <c r="G229" s="14" t="s">
        <v>2916</v>
      </c>
      <c r="H229" s="14" t="s">
        <v>3002</v>
      </c>
      <c r="I229" s="14" t="s">
        <v>3003</v>
      </c>
      <c r="J229" s="14" t="s">
        <v>50</v>
      </c>
      <c r="K229" s="22" t="s">
        <v>1668</v>
      </c>
      <c r="L229" s="14" t="s">
        <v>3004</v>
      </c>
      <c r="M229" s="14" t="s">
        <v>3005</v>
      </c>
      <c r="N229" s="14" t="s">
        <v>3006</v>
      </c>
      <c r="O229" s="14"/>
      <c r="P229" s="14" t="s">
        <v>3007</v>
      </c>
      <c r="Q229" s="14" t="s">
        <v>3008</v>
      </c>
      <c r="R229" s="14" t="s">
        <v>161</v>
      </c>
      <c r="S229" s="20" t="s">
        <v>324</v>
      </c>
      <c r="T229" s="17" t="s">
        <v>107</v>
      </c>
      <c r="U229" s="14" t="s">
        <v>3009</v>
      </c>
      <c r="V229" s="14" t="s">
        <v>109</v>
      </c>
      <c r="W229" s="18" t="s">
        <v>110</v>
      </c>
      <c r="X229" s="14" t="s">
        <v>3010</v>
      </c>
      <c r="Y229" s="14" t="s">
        <v>1668</v>
      </c>
      <c r="Z229" s="14" t="s">
        <v>107</v>
      </c>
      <c r="AA229" s="14" t="s">
        <v>107</v>
      </c>
      <c r="AB229" s="14" t="s">
        <v>131</v>
      </c>
      <c r="AC229" s="14" t="s">
        <v>113</v>
      </c>
      <c r="AD229" s="14" t="s">
        <v>114</v>
      </c>
    </row>
    <row r="230" customFormat="false" ht="78" hidden="false" customHeight="true" outlineLevel="0" collapsed="false">
      <c r="A230" s="14" t="s">
        <v>3011</v>
      </c>
      <c r="B230" s="14" t="s">
        <v>43</v>
      </c>
      <c r="C230" s="14" t="s">
        <v>3012</v>
      </c>
      <c r="D230" s="14" t="s">
        <v>150</v>
      </c>
      <c r="E230" s="14" t="s">
        <v>3013</v>
      </c>
      <c r="F230" s="15" t="s">
        <v>2952</v>
      </c>
      <c r="G230" s="14" t="s">
        <v>533</v>
      </c>
      <c r="H230" s="14" t="s">
        <v>3014</v>
      </c>
      <c r="I230" s="14" t="s">
        <v>3015</v>
      </c>
      <c r="J230" s="14" t="s">
        <v>51</v>
      </c>
      <c r="K230" s="22" t="s">
        <v>1668</v>
      </c>
      <c r="L230" s="14" t="s">
        <v>3016</v>
      </c>
      <c r="M230" s="14" t="s">
        <v>3017</v>
      </c>
      <c r="N230" s="14" t="s">
        <v>3018</v>
      </c>
      <c r="O230" s="14"/>
      <c r="P230" s="14" t="s">
        <v>3019</v>
      </c>
      <c r="Q230" s="14" t="s">
        <v>3020</v>
      </c>
      <c r="R230" s="14" t="s">
        <v>851</v>
      </c>
      <c r="S230" s="20" t="s">
        <v>324</v>
      </c>
      <c r="T230" s="20" t="s">
        <v>324</v>
      </c>
      <c r="U230" s="14" t="s">
        <v>3021</v>
      </c>
      <c r="V230" s="14" t="s">
        <v>109</v>
      </c>
      <c r="W230" s="18" t="s">
        <v>110</v>
      </c>
      <c r="X230" s="14" t="s">
        <v>3022</v>
      </c>
      <c r="Y230" s="14" t="s">
        <v>1668</v>
      </c>
      <c r="Z230" s="14" t="s">
        <v>107</v>
      </c>
      <c r="AA230" s="14" t="s">
        <v>107</v>
      </c>
      <c r="AB230" s="14" t="s">
        <v>131</v>
      </c>
      <c r="AC230" s="14" t="s">
        <v>113</v>
      </c>
      <c r="AD230" s="14" t="s">
        <v>114</v>
      </c>
    </row>
    <row r="231" customFormat="false" ht="78" hidden="false" customHeight="true" outlineLevel="0" collapsed="false">
      <c r="A231" s="14" t="s">
        <v>3023</v>
      </c>
      <c r="B231" s="14" t="s">
        <v>44</v>
      </c>
      <c r="C231" s="14" t="s">
        <v>3024</v>
      </c>
      <c r="D231" s="14" t="s">
        <v>30</v>
      </c>
      <c r="E231" s="14" t="s">
        <v>895</v>
      </c>
      <c r="F231" s="15" t="s">
        <v>896</v>
      </c>
      <c r="G231" s="14" t="s">
        <v>897</v>
      </c>
      <c r="H231" s="14" t="s">
        <v>3025</v>
      </c>
      <c r="I231" s="14" t="s">
        <v>3026</v>
      </c>
      <c r="J231" s="14" t="s">
        <v>400</v>
      </c>
      <c r="K231" s="22" t="s">
        <v>1668</v>
      </c>
      <c r="L231" s="14" t="s">
        <v>3027</v>
      </c>
      <c r="M231" s="14" t="s">
        <v>3028</v>
      </c>
      <c r="N231" s="14" t="s">
        <v>3029</v>
      </c>
      <c r="O231" s="14"/>
      <c r="P231" s="14" t="s">
        <v>3030</v>
      </c>
      <c r="Q231" s="14" t="s">
        <v>3031</v>
      </c>
      <c r="R231" s="14" t="s">
        <v>191</v>
      </c>
      <c r="S231" s="17" t="s">
        <v>107</v>
      </c>
      <c r="T231" s="20" t="s">
        <v>324</v>
      </c>
      <c r="U231" s="14" t="s">
        <v>3032</v>
      </c>
      <c r="V231" s="14" t="s">
        <v>109</v>
      </c>
      <c r="W231" s="18" t="s">
        <v>110</v>
      </c>
      <c r="X231" s="14" t="s">
        <v>3033</v>
      </c>
      <c r="Y231" s="14" t="s">
        <v>194</v>
      </c>
      <c r="Z231" s="14" t="s">
        <v>107</v>
      </c>
      <c r="AA231" s="14" t="s">
        <v>107</v>
      </c>
      <c r="AB231" s="14" t="s">
        <v>112</v>
      </c>
      <c r="AC231" s="14" t="s">
        <v>113</v>
      </c>
      <c r="AD231" s="14" t="s">
        <v>114</v>
      </c>
    </row>
    <row r="232" customFormat="false" ht="78" hidden="false" customHeight="true" outlineLevel="0" collapsed="false">
      <c r="A232" s="14" t="s">
        <v>3034</v>
      </c>
      <c r="B232" s="14" t="s">
        <v>44</v>
      </c>
      <c r="C232" s="14" t="s">
        <v>3035</v>
      </c>
      <c r="D232" s="14" t="s">
        <v>30</v>
      </c>
      <c r="E232" s="14" t="s">
        <v>3036</v>
      </c>
      <c r="F232" s="14"/>
      <c r="G232" s="14" t="s">
        <v>168</v>
      </c>
      <c r="H232" s="14" t="s">
        <v>3037</v>
      </c>
      <c r="I232" s="14" t="s">
        <v>3038</v>
      </c>
      <c r="J232" s="14" t="s">
        <v>57</v>
      </c>
      <c r="K232" s="22" t="s">
        <v>1668</v>
      </c>
      <c r="L232" s="14" t="s">
        <v>3039</v>
      </c>
      <c r="M232" s="14" t="s">
        <v>3040</v>
      </c>
      <c r="N232" s="14" t="s">
        <v>3041</v>
      </c>
      <c r="O232" s="14"/>
      <c r="P232" s="14" t="s">
        <v>3042</v>
      </c>
      <c r="Q232" s="14" t="s">
        <v>3043</v>
      </c>
      <c r="R232" s="14" t="s">
        <v>220</v>
      </c>
      <c r="S232" s="17" t="s">
        <v>107</v>
      </c>
      <c r="T232" s="20" t="s">
        <v>324</v>
      </c>
      <c r="U232" s="14" t="s">
        <v>3044</v>
      </c>
      <c r="V232" s="14" t="s">
        <v>109</v>
      </c>
      <c r="W232" s="18" t="s">
        <v>110</v>
      </c>
      <c r="X232" s="14" t="s">
        <v>3045</v>
      </c>
      <c r="Y232" s="14" t="s">
        <v>194</v>
      </c>
      <c r="Z232" s="14" t="s">
        <v>107</v>
      </c>
      <c r="AA232" s="14" t="s">
        <v>107</v>
      </c>
      <c r="AB232" s="14" t="s">
        <v>112</v>
      </c>
      <c r="AC232" s="14" t="s">
        <v>113</v>
      </c>
      <c r="AD232" s="14" t="s">
        <v>114</v>
      </c>
    </row>
    <row r="233" customFormat="false" ht="78" hidden="false" customHeight="true" outlineLevel="0" collapsed="false">
      <c r="A233" s="14" t="s">
        <v>3046</v>
      </c>
      <c r="B233" s="14" t="s">
        <v>45</v>
      </c>
      <c r="C233" s="14" t="s">
        <v>3047</v>
      </c>
      <c r="D233" s="14" t="s">
        <v>30</v>
      </c>
      <c r="E233" s="14" t="s">
        <v>3048</v>
      </c>
      <c r="F233" s="15" t="s">
        <v>3049</v>
      </c>
      <c r="G233" s="14" t="s">
        <v>285</v>
      </c>
      <c r="H233" s="14" t="s">
        <v>3050</v>
      </c>
      <c r="I233" s="14" t="s">
        <v>3051</v>
      </c>
      <c r="J233" s="14" t="s">
        <v>53</v>
      </c>
      <c r="K233" s="22" t="s">
        <v>1668</v>
      </c>
      <c r="L233" s="14" t="s">
        <v>3052</v>
      </c>
      <c r="M233" s="14" t="s">
        <v>3053</v>
      </c>
      <c r="N233" s="14" t="s">
        <v>3054</v>
      </c>
      <c r="O233" s="14"/>
      <c r="P233" s="14" t="s">
        <v>3055</v>
      </c>
      <c r="Q233" s="14" t="s">
        <v>3056</v>
      </c>
      <c r="R233" s="14" t="s">
        <v>3057</v>
      </c>
      <c r="S233" s="17" t="s">
        <v>107</v>
      </c>
      <c r="T233" s="17" t="s">
        <v>107</v>
      </c>
      <c r="U233" s="14" t="s">
        <v>3058</v>
      </c>
      <c r="V233" s="14" t="s">
        <v>109</v>
      </c>
      <c r="W233" s="21" t="s">
        <v>429</v>
      </c>
      <c r="X233" s="14" t="s">
        <v>3059</v>
      </c>
      <c r="Y233" s="14" t="s">
        <v>100</v>
      </c>
      <c r="Z233" s="14" t="s">
        <v>107</v>
      </c>
      <c r="AA233" s="14" t="s">
        <v>107</v>
      </c>
      <c r="AB233" s="14" t="s">
        <v>921</v>
      </c>
      <c r="AC233" s="14" t="s">
        <v>113</v>
      </c>
      <c r="AD233" s="14" t="s">
        <v>114</v>
      </c>
    </row>
    <row r="234" customFormat="false" ht="78" hidden="false" customHeight="true" outlineLevel="0" collapsed="false">
      <c r="A234" s="14" t="s">
        <v>3060</v>
      </c>
      <c r="B234" s="14" t="s">
        <v>45</v>
      </c>
      <c r="C234" s="14" t="s">
        <v>3061</v>
      </c>
      <c r="D234" s="14" t="s">
        <v>30</v>
      </c>
      <c r="E234" s="14" t="s">
        <v>3062</v>
      </c>
      <c r="F234" s="15" t="s">
        <v>3063</v>
      </c>
      <c r="G234" s="14" t="s">
        <v>285</v>
      </c>
      <c r="H234" s="14" t="s">
        <v>3064</v>
      </c>
      <c r="I234" s="14" t="s">
        <v>3065</v>
      </c>
      <c r="J234" s="14" t="s">
        <v>53</v>
      </c>
      <c r="K234" s="22" t="s">
        <v>1668</v>
      </c>
      <c r="L234" s="14" t="s">
        <v>3066</v>
      </c>
      <c r="M234" s="14" t="s">
        <v>3067</v>
      </c>
      <c r="N234" s="14" t="s">
        <v>3068</v>
      </c>
      <c r="O234" s="14"/>
      <c r="P234" s="14" t="s">
        <v>3069</v>
      </c>
      <c r="Q234" s="14" t="s">
        <v>3070</v>
      </c>
      <c r="R234" s="14" t="s">
        <v>3057</v>
      </c>
      <c r="S234" s="20" t="s">
        <v>324</v>
      </c>
      <c r="T234" s="20" t="s">
        <v>324</v>
      </c>
      <c r="U234" s="14" t="s">
        <v>3071</v>
      </c>
      <c r="V234" s="14" t="s">
        <v>109</v>
      </c>
      <c r="W234" s="18" t="s">
        <v>110</v>
      </c>
      <c r="X234" s="14" t="s">
        <v>3072</v>
      </c>
      <c r="Y234" s="14" t="s">
        <v>1668</v>
      </c>
      <c r="Z234" s="14" t="s">
        <v>107</v>
      </c>
      <c r="AA234" s="14" t="s">
        <v>107</v>
      </c>
      <c r="AB234" s="14" t="s">
        <v>921</v>
      </c>
      <c r="AC234" s="14" t="s">
        <v>113</v>
      </c>
      <c r="AD234" s="14" t="s">
        <v>114</v>
      </c>
    </row>
    <row r="235" customFormat="false" ht="78" hidden="false" customHeight="true" outlineLevel="0" collapsed="false">
      <c r="A235" s="14" t="s">
        <v>3073</v>
      </c>
      <c r="B235" s="14" t="s">
        <v>45</v>
      </c>
      <c r="C235" s="14" t="s">
        <v>3061</v>
      </c>
      <c r="D235" s="14" t="s">
        <v>30</v>
      </c>
      <c r="E235" s="14" t="s">
        <v>3074</v>
      </c>
      <c r="F235" s="15" t="s">
        <v>3075</v>
      </c>
      <c r="G235" s="14" t="s">
        <v>285</v>
      </c>
      <c r="H235" s="14" t="s">
        <v>3076</v>
      </c>
      <c r="I235" s="14" t="s">
        <v>3065</v>
      </c>
      <c r="J235" s="14" t="s">
        <v>53</v>
      </c>
      <c r="K235" s="22" t="s">
        <v>1668</v>
      </c>
      <c r="L235" s="14" t="s">
        <v>3077</v>
      </c>
      <c r="M235" s="14" t="s">
        <v>3067</v>
      </c>
      <c r="N235" s="14" t="s">
        <v>3078</v>
      </c>
      <c r="O235" s="14"/>
      <c r="P235" s="14" t="s">
        <v>3079</v>
      </c>
      <c r="Q235" s="14" t="s">
        <v>3080</v>
      </c>
      <c r="R235" s="14" t="s">
        <v>3057</v>
      </c>
      <c r="S235" s="20" t="s">
        <v>324</v>
      </c>
      <c r="T235" s="20" t="s">
        <v>324</v>
      </c>
      <c r="U235" s="14" t="s">
        <v>3071</v>
      </c>
      <c r="V235" s="14" t="s">
        <v>109</v>
      </c>
      <c r="W235" s="18" t="s">
        <v>110</v>
      </c>
      <c r="X235" s="14" t="s">
        <v>3081</v>
      </c>
      <c r="Y235" s="14" t="s">
        <v>1668</v>
      </c>
      <c r="Z235" s="14" t="s">
        <v>107</v>
      </c>
      <c r="AA235" s="14" t="s">
        <v>107</v>
      </c>
      <c r="AB235" s="14" t="s">
        <v>921</v>
      </c>
      <c r="AC235" s="14" t="s">
        <v>113</v>
      </c>
      <c r="AD235" s="14" t="s">
        <v>114</v>
      </c>
    </row>
    <row r="236" customFormat="false" ht="78" hidden="false" customHeight="true" outlineLevel="0" collapsed="false">
      <c r="A236" s="14" t="s">
        <v>3082</v>
      </c>
      <c r="B236" s="14" t="s">
        <v>45</v>
      </c>
      <c r="C236" s="14" t="s">
        <v>3083</v>
      </c>
      <c r="D236" s="14" t="s">
        <v>30</v>
      </c>
      <c r="E236" s="14" t="s">
        <v>1612</v>
      </c>
      <c r="F236" s="15" t="s">
        <v>1768</v>
      </c>
      <c r="G236" s="14" t="s">
        <v>285</v>
      </c>
      <c r="H236" s="14" t="s">
        <v>3084</v>
      </c>
      <c r="I236" s="14" t="s">
        <v>3085</v>
      </c>
      <c r="J236" s="14" t="s">
        <v>56</v>
      </c>
      <c r="K236" s="22" t="s">
        <v>1668</v>
      </c>
      <c r="L236" s="14" t="s">
        <v>3086</v>
      </c>
      <c r="M236" s="14" t="s">
        <v>3087</v>
      </c>
      <c r="N236" s="14" t="s">
        <v>3088</v>
      </c>
      <c r="O236" s="14"/>
      <c r="P236" s="14" t="s">
        <v>3089</v>
      </c>
      <c r="Q236" s="14" t="s">
        <v>3090</v>
      </c>
      <c r="R236" s="14" t="s">
        <v>1063</v>
      </c>
      <c r="S236" s="20" t="s">
        <v>324</v>
      </c>
      <c r="T236" s="17" t="s">
        <v>107</v>
      </c>
      <c r="U236" s="14" t="s">
        <v>3091</v>
      </c>
      <c r="V236" s="14" t="s">
        <v>109</v>
      </c>
      <c r="W236" s="18" t="s">
        <v>110</v>
      </c>
      <c r="X236" s="14" t="s">
        <v>3092</v>
      </c>
      <c r="Y236" s="14" t="s">
        <v>194</v>
      </c>
      <c r="Z236" s="14" t="s">
        <v>107</v>
      </c>
      <c r="AA236" s="14" t="s">
        <v>107</v>
      </c>
      <c r="AB236" s="14" t="s">
        <v>921</v>
      </c>
      <c r="AC236" s="14" t="s">
        <v>113</v>
      </c>
      <c r="AD236" s="14" t="s">
        <v>114</v>
      </c>
    </row>
    <row r="237" customFormat="false" ht="78" hidden="false" customHeight="true" outlineLevel="0" collapsed="false">
      <c r="A237" s="14" t="s">
        <v>3093</v>
      </c>
      <c r="B237" s="14" t="s">
        <v>45</v>
      </c>
      <c r="C237" s="14" t="s">
        <v>3094</v>
      </c>
      <c r="D237" s="14" t="s">
        <v>30</v>
      </c>
      <c r="E237" s="14" t="s">
        <v>3095</v>
      </c>
      <c r="F237" s="15" t="s">
        <v>3096</v>
      </c>
      <c r="G237" s="14" t="s">
        <v>3097</v>
      </c>
      <c r="H237" s="14" t="s">
        <v>3098</v>
      </c>
      <c r="I237" s="14" t="s">
        <v>3099</v>
      </c>
      <c r="J237" s="14" t="s">
        <v>202</v>
      </c>
      <c r="K237" s="22" t="s">
        <v>1668</v>
      </c>
      <c r="L237" s="14" t="s">
        <v>3100</v>
      </c>
      <c r="M237" s="14" t="s">
        <v>3101</v>
      </c>
      <c r="N237" s="14" t="s">
        <v>3102</v>
      </c>
      <c r="O237" s="14"/>
      <c r="P237" s="14" t="s">
        <v>3103</v>
      </c>
      <c r="Q237" s="14" t="s">
        <v>3104</v>
      </c>
      <c r="R237" s="14" t="s">
        <v>191</v>
      </c>
      <c r="S237" s="17" t="s">
        <v>107</v>
      </c>
      <c r="T237" s="17" t="s">
        <v>107</v>
      </c>
      <c r="U237" s="14" t="s">
        <v>3105</v>
      </c>
      <c r="V237" s="14" t="s">
        <v>109</v>
      </c>
      <c r="W237" s="18" t="s">
        <v>110</v>
      </c>
      <c r="X237" s="14" t="s">
        <v>3106</v>
      </c>
      <c r="Y237" s="14" t="s">
        <v>194</v>
      </c>
      <c r="Z237" s="14" t="s">
        <v>107</v>
      </c>
      <c r="AA237" s="14" t="s">
        <v>107</v>
      </c>
      <c r="AB237" s="14" t="s">
        <v>921</v>
      </c>
      <c r="AC237" s="14" t="s">
        <v>1314</v>
      </c>
      <c r="AD237" s="14" t="s">
        <v>1315</v>
      </c>
    </row>
    <row r="238" customFormat="false" ht="78" hidden="false" customHeight="true" outlineLevel="0" collapsed="false">
      <c r="A238" s="14" t="s">
        <v>3107</v>
      </c>
      <c r="B238" s="14" t="s">
        <v>45</v>
      </c>
      <c r="C238" s="14" t="s">
        <v>3108</v>
      </c>
      <c r="D238" s="14" t="s">
        <v>30</v>
      </c>
      <c r="E238" s="14" t="s">
        <v>3109</v>
      </c>
      <c r="F238" s="15" t="s">
        <v>3110</v>
      </c>
      <c r="G238" s="14" t="s">
        <v>3111</v>
      </c>
      <c r="H238" s="14" t="s">
        <v>3112</v>
      </c>
      <c r="I238" s="14" t="s">
        <v>3113</v>
      </c>
      <c r="J238" s="14" t="s">
        <v>202</v>
      </c>
      <c r="K238" s="22" t="s">
        <v>1668</v>
      </c>
      <c r="L238" s="14" t="s">
        <v>3114</v>
      </c>
      <c r="M238" s="14" t="s">
        <v>3115</v>
      </c>
      <c r="N238" s="14" t="s">
        <v>3116</v>
      </c>
      <c r="O238" s="14"/>
      <c r="P238" s="14" t="s">
        <v>3117</v>
      </c>
      <c r="Q238" s="14" t="s">
        <v>3118</v>
      </c>
      <c r="R238" s="14" t="s">
        <v>191</v>
      </c>
      <c r="S238" s="20" t="s">
        <v>324</v>
      </c>
      <c r="T238" s="17" t="s">
        <v>107</v>
      </c>
      <c r="U238" s="14" t="s">
        <v>3119</v>
      </c>
      <c r="V238" s="14" t="s">
        <v>109</v>
      </c>
      <c r="W238" s="21" t="s">
        <v>429</v>
      </c>
      <c r="X238" s="14" t="s">
        <v>3120</v>
      </c>
      <c r="Y238" s="14" t="s">
        <v>194</v>
      </c>
      <c r="Z238" s="14" t="s">
        <v>107</v>
      </c>
      <c r="AA238" s="14" t="s">
        <v>107</v>
      </c>
      <c r="AB238" s="14" t="s">
        <v>921</v>
      </c>
      <c r="AC238" s="14" t="s">
        <v>1314</v>
      </c>
      <c r="AD238" s="14" t="s">
        <v>1315</v>
      </c>
    </row>
    <row r="239" customFormat="false" ht="78" hidden="false" customHeight="true" outlineLevel="0" collapsed="false">
      <c r="A239" s="14" t="s">
        <v>3121</v>
      </c>
      <c r="B239" s="14" t="s">
        <v>47</v>
      </c>
      <c r="C239" s="14" t="s">
        <v>3122</v>
      </c>
      <c r="D239" s="14" t="s">
        <v>30</v>
      </c>
      <c r="E239" s="14" t="s">
        <v>3123</v>
      </c>
      <c r="F239" s="15" t="s">
        <v>3124</v>
      </c>
      <c r="G239" s="14" t="s">
        <v>1215</v>
      </c>
      <c r="H239" s="14" t="s">
        <v>3125</v>
      </c>
      <c r="I239" s="14" t="s">
        <v>3126</v>
      </c>
      <c r="J239" s="14" t="s">
        <v>52</v>
      </c>
      <c r="K239" s="22" t="s">
        <v>1668</v>
      </c>
      <c r="L239" s="14" t="s">
        <v>3127</v>
      </c>
      <c r="M239" s="14" t="s">
        <v>3128</v>
      </c>
      <c r="N239" s="14" t="s">
        <v>3129</v>
      </c>
      <c r="O239" s="14"/>
      <c r="P239" s="14" t="s">
        <v>3130</v>
      </c>
      <c r="Q239" s="14" t="s">
        <v>3131</v>
      </c>
      <c r="R239" s="14" t="s">
        <v>3057</v>
      </c>
      <c r="S239" s="20" t="s">
        <v>324</v>
      </c>
      <c r="T239" s="17" t="s">
        <v>107</v>
      </c>
      <c r="U239" s="14" t="s">
        <v>3132</v>
      </c>
      <c r="V239" s="14" t="s">
        <v>109</v>
      </c>
      <c r="W239" s="18" t="s">
        <v>110</v>
      </c>
      <c r="X239" s="14" t="s">
        <v>3133</v>
      </c>
      <c r="Y239" s="14" t="s">
        <v>1668</v>
      </c>
      <c r="Z239" s="14" t="s">
        <v>107</v>
      </c>
      <c r="AA239" s="14" t="s">
        <v>107</v>
      </c>
      <c r="AB239" s="14" t="s">
        <v>2204</v>
      </c>
      <c r="AC239" s="14" t="s">
        <v>113</v>
      </c>
      <c r="AD239" s="14" t="s">
        <v>114</v>
      </c>
    </row>
    <row r="240" customFormat="false" ht="78" hidden="false" customHeight="true" outlineLevel="0" collapsed="false">
      <c r="A240" s="14" t="s">
        <v>3134</v>
      </c>
      <c r="B240" s="14" t="s">
        <v>47</v>
      </c>
      <c r="C240" s="14" t="s">
        <v>3135</v>
      </c>
      <c r="D240" s="14" t="s">
        <v>30</v>
      </c>
      <c r="E240" s="14" t="s">
        <v>3136</v>
      </c>
      <c r="F240" s="15" t="s">
        <v>910</v>
      </c>
      <c r="G240" s="14" t="s">
        <v>168</v>
      </c>
      <c r="H240" s="14" t="s">
        <v>3137</v>
      </c>
      <c r="I240" s="14" t="s">
        <v>3138</v>
      </c>
      <c r="J240" s="14" t="s">
        <v>52</v>
      </c>
      <c r="K240" s="22" t="s">
        <v>1668</v>
      </c>
      <c r="L240" s="14" t="s">
        <v>3139</v>
      </c>
      <c r="M240" s="14" t="s">
        <v>3140</v>
      </c>
      <c r="N240" s="14" t="s">
        <v>3141</v>
      </c>
      <c r="O240" s="14"/>
      <c r="P240" s="14" t="s">
        <v>3142</v>
      </c>
      <c r="Q240" s="14" t="s">
        <v>3143</v>
      </c>
      <c r="R240" s="14" t="s">
        <v>3144</v>
      </c>
      <c r="S240" s="20" t="s">
        <v>324</v>
      </c>
      <c r="T240" s="17" t="s">
        <v>107</v>
      </c>
      <c r="U240" s="14" t="s">
        <v>3145</v>
      </c>
      <c r="V240" s="14" t="s">
        <v>109</v>
      </c>
      <c r="W240" s="18" t="s">
        <v>110</v>
      </c>
      <c r="X240" s="14" t="s">
        <v>3146</v>
      </c>
      <c r="Y240" s="14" t="s">
        <v>194</v>
      </c>
      <c r="Z240" s="14" t="s">
        <v>107</v>
      </c>
      <c r="AA240" s="14" t="s">
        <v>107</v>
      </c>
      <c r="AB240" s="14" t="s">
        <v>2204</v>
      </c>
      <c r="AC240" s="14" t="s">
        <v>113</v>
      </c>
      <c r="AD240" s="14" t="s">
        <v>114</v>
      </c>
    </row>
    <row r="241" customFormat="false" ht="78" hidden="false" customHeight="true" outlineLevel="0" collapsed="false">
      <c r="A241" s="14" t="s">
        <v>3147</v>
      </c>
      <c r="B241" s="14" t="s">
        <v>47</v>
      </c>
      <c r="C241" s="14" t="s">
        <v>3148</v>
      </c>
      <c r="D241" s="14" t="s">
        <v>30</v>
      </c>
      <c r="E241" s="14" t="s">
        <v>3149</v>
      </c>
      <c r="F241" s="14"/>
      <c r="G241" s="14" t="s">
        <v>168</v>
      </c>
      <c r="H241" s="14" t="s">
        <v>3150</v>
      </c>
      <c r="I241" s="14" t="s">
        <v>3151</v>
      </c>
      <c r="J241" s="14" t="s">
        <v>52</v>
      </c>
      <c r="K241" s="22" t="s">
        <v>1668</v>
      </c>
      <c r="L241" s="14" t="s">
        <v>3152</v>
      </c>
      <c r="M241" s="14" t="s">
        <v>3153</v>
      </c>
      <c r="N241" s="14" t="s">
        <v>3154</v>
      </c>
      <c r="O241" s="14"/>
      <c r="P241" s="14" t="s">
        <v>3155</v>
      </c>
      <c r="Q241" s="14" t="s">
        <v>3156</v>
      </c>
      <c r="R241" s="14" t="s">
        <v>3144</v>
      </c>
      <c r="S241" s="20" t="s">
        <v>324</v>
      </c>
      <c r="T241" s="17" t="s">
        <v>107</v>
      </c>
      <c r="U241" s="14" t="s">
        <v>3157</v>
      </c>
      <c r="V241" s="14" t="s">
        <v>109</v>
      </c>
      <c r="W241" s="18" t="s">
        <v>110</v>
      </c>
      <c r="X241" s="14" t="s">
        <v>3158</v>
      </c>
      <c r="Y241" s="14" t="s">
        <v>1668</v>
      </c>
      <c r="Z241" s="14" t="s">
        <v>107</v>
      </c>
      <c r="AA241" s="14" t="s">
        <v>107</v>
      </c>
      <c r="AB241" s="14" t="s">
        <v>2204</v>
      </c>
      <c r="AC241" s="14" t="s">
        <v>113</v>
      </c>
      <c r="AD241" s="14" t="s">
        <v>114</v>
      </c>
    </row>
    <row r="242" customFormat="false" ht="78" hidden="false" customHeight="true" outlineLevel="0" collapsed="false">
      <c r="A242" s="14" t="s">
        <v>3159</v>
      </c>
      <c r="B242" s="14" t="s">
        <v>47</v>
      </c>
      <c r="C242" s="14" t="s">
        <v>3160</v>
      </c>
      <c r="D242" s="14" t="s">
        <v>30</v>
      </c>
      <c r="E242" s="14" t="s">
        <v>3161</v>
      </c>
      <c r="F242" s="14"/>
      <c r="G242" s="14" t="s">
        <v>168</v>
      </c>
      <c r="H242" s="14" t="s">
        <v>3162</v>
      </c>
      <c r="I242" s="14" t="s">
        <v>3163</v>
      </c>
      <c r="J242" s="14" t="s">
        <v>52</v>
      </c>
      <c r="K242" s="22" t="s">
        <v>1668</v>
      </c>
      <c r="L242" s="14" t="s">
        <v>3164</v>
      </c>
      <c r="M242" s="14" t="s">
        <v>3165</v>
      </c>
      <c r="N242" s="14" t="s">
        <v>3166</v>
      </c>
      <c r="O242" s="14"/>
      <c r="P242" s="14" t="s">
        <v>3167</v>
      </c>
      <c r="Q242" s="14" t="s">
        <v>3168</v>
      </c>
      <c r="R242" s="14" t="s">
        <v>3144</v>
      </c>
      <c r="S242" s="20" t="s">
        <v>324</v>
      </c>
      <c r="T242" s="17" t="s">
        <v>107</v>
      </c>
      <c r="U242" s="14" t="s">
        <v>3169</v>
      </c>
      <c r="V242" s="14" t="s">
        <v>109</v>
      </c>
      <c r="W242" s="18" t="s">
        <v>110</v>
      </c>
      <c r="X242" s="14" t="s">
        <v>3170</v>
      </c>
      <c r="Y242" s="14" t="s">
        <v>1668</v>
      </c>
      <c r="Z242" s="14" t="s">
        <v>107</v>
      </c>
      <c r="AA242" s="14" t="s">
        <v>107</v>
      </c>
      <c r="AB242" s="14" t="s">
        <v>2204</v>
      </c>
      <c r="AC242" s="14" t="s">
        <v>113</v>
      </c>
      <c r="AD242" s="14" t="s">
        <v>114</v>
      </c>
    </row>
    <row r="243" customFormat="false" ht="78" hidden="false" customHeight="true" outlineLevel="0" collapsed="false">
      <c r="A243" s="14" t="s">
        <v>3171</v>
      </c>
      <c r="B243" s="14" t="s">
        <v>48</v>
      </c>
      <c r="C243" s="14" t="s">
        <v>3172</v>
      </c>
      <c r="D243" s="14" t="s">
        <v>30</v>
      </c>
      <c r="E243" s="14" t="s">
        <v>895</v>
      </c>
      <c r="F243" s="15" t="s">
        <v>896</v>
      </c>
      <c r="G243" s="14" t="s">
        <v>897</v>
      </c>
      <c r="H243" s="14" t="s">
        <v>3173</v>
      </c>
      <c r="I243" s="14" t="s">
        <v>3174</v>
      </c>
      <c r="J243" s="14" t="s">
        <v>54</v>
      </c>
      <c r="K243" s="22" t="s">
        <v>1668</v>
      </c>
      <c r="L243" s="14" t="s">
        <v>3175</v>
      </c>
      <c r="M243" s="14" t="s">
        <v>3176</v>
      </c>
      <c r="N243" s="14" t="s">
        <v>3177</v>
      </c>
      <c r="O243" s="14"/>
      <c r="P243" s="14" t="s">
        <v>3178</v>
      </c>
      <c r="Q243" s="14" t="s">
        <v>3179</v>
      </c>
      <c r="R243" s="14" t="s">
        <v>176</v>
      </c>
      <c r="S243" s="17" t="s">
        <v>107</v>
      </c>
      <c r="T243" s="20" t="s">
        <v>324</v>
      </c>
      <c r="U243" s="14" t="s">
        <v>3180</v>
      </c>
      <c r="V243" s="14" t="s">
        <v>109</v>
      </c>
      <c r="W243" s="18" t="s">
        <v>110</v>
      </c>
      <c r="X243" s="14" t="s">
        <v>3181</v>
      </c>
      <c r="Y243" s="14" t="s">
        <v>194</v>
      </c>
      <c r="Z243" s="14" t="s">
        <v>107</v>
      </c>
      <c r="AA243" s="14" t="s">
        <v>107</v>
      </c>
      <c r="AB243" s="14" t="s">
        <v>559</v>
      </c>
      <c r="AC243" s="14" t="s">
        <v>560</v>
      </c>
      <c r="AD243" s="14" t="s">
        <v>561</v>
      </c>
    </row>
    <row r="244" customFormat="false" ht="78" hidden="false" customHeight="true" outlineLevel="0" collapsed="false">
      <c r="A244" s="14" t="s">
        <v>3182</v>
      </c>
      <c r="B244" s="14" t="s">
        <v>48</v>
      </c>
      <c r="C244" s="14" t="s">
        <v>3183</v>
      </c>
      <c r="D244" s="14" t="s">
        <v>30</v>
      </c>
      <c r="E244" s="14" t="s">
        <v>3184</v>
      </c>
      <c r="F244" s="15" t="s">
        <v>3185</v>
      </c>
      <c r="G244" s="14" t="s">
        <v>168</v>
      </c>
      <c r="H244" s="14" t="s">
        <v>3186</v>
      </c>
      <c r="I244" s="14" t="s">
        <v>3187</v>
      </c>
      <c r="J244" s="14" t="s">
        <v>54</v>
      </c>
      <c r="K244" s="22" t="s">
        <v>1668</v>
      </c>
      <c r="L244" s="14" t="s">
        <v>3188</v>
      </c>
      <c r="M244" s="14" t="s">
        <v>3189</v>
      </c>
      <c r="N244" s="14" t="s">
        <v>3190</v>
      </c>
      <c r="O244" s="14"/>
      <c r="P244" s="14" t="s">
        <v>3191</v>
      </c>
      <c r="Q244" s="14" t="s">
        <v>3192</v>
      </c>
      <c r="R244" s="14" t="s">
        <v>176</v>
      </c>
      <c r="S244" s="17" t="s">
        <v>107</v>
      </c>
      <c r="T244" s="20" t="s">
        <v>324</v>
      </c>
      <c r="U244" s="14" t="s">
        <v>3193</v>
      </c>
      <c r="V244" s="14" t="s">
        <v>109</v>
      </c>
      <c r="W244" s="18" t="s">
        <v>110</v>
      </c>
      <c r="X244" s="14" t="s">
        <v>3194</v>
      </c>
      <c r="Y244" s="14" t="s">
        <v>194</v>
      </c>
      <c r="Z244" s="14" t="s">
        <v>107</v>
      </c>
      <c r="AA244" s="14" t="s">
        <v>107</v>
      </c>
      <c r="AB244" s="14" t="s">
        <v>559</v>
      </c>
      <c r="AC244" s="14" t="s">
        <v>560</v>
      </c>
      <c r="AD244" s="14" t="s">
        <v>561</v>
      </c>
    </row>
    <row r="245" customFormat="false" ht="78" hidden="false" customHeight="true" outlineLevel="0" collapsed="false">
      <c r="A245" s="14" t="s">
        <v>3195</v>
      </c>
      <c r="B245" s="14" t="s">
        <v>48</v>
      </c>
      <c r="C245" s="14" t="s">
        <v>3196</v>
      </c>
      <c r="D245" s="14" t="s">
        <v>30</v>
      </c>
      <c r="E245" s="14" t="s">
        <v>3197</v>
      </c>
      <c r="F245" s="14"/>
      <c r="G245" s="14" t="s">
        <v>168</v>
      </c>
      <c r="H245" s="14" t="s">
        <v>3198</v>
      </c>
      <c r="I245" s="14" t="s">
        <v>3199</v>
      </c>
      <c r="J245" s="14" t="s">
        <v>54</v>
      </c>
      <c r="K245" s="22" t="s">
        <v>1668</v>
      </c>
      <c r="L245" s="14" t="s">
        <v>3200</v>
      </c>
      <c r="M245" s="14" t="s">
        <v>3201</v>
      </c>
      <c r="N245" s="14" t="s">
        <v>3202</v>
      </c>
      <c r="O245" s="14"/>
      <c r="P245" s="14" t="s">
        <v>3203</v>
      </c>
      <c r="Q245" s="14" t="s">
        <v>3204</v>
      </c>
      <c r="R245" s="14" t="s">
        <v>220</v>
      </c>
      <c r="S245" s="17" t="s">
        <v>107</v>
      </c>
      <c r="T245" s="17" t="s">
        <v>107</v>
      </c>
      <c r="U245" s="14" t="s">
        <v>3205</v>
      </c>
      <c r="V245" s="14" t="s">
        <v>109</v>
      </c>
      <c r="W245" s="21" t="s">
        <v>429</v>
      </c>
      <c r="X245" s="14" t="s">
        <v>3206</v>
      </c>
      <c r="Y245" s="14" t="s">
        <v>100</v>
      </c>
      <c r="Z245" s="14" t="s">
        <v>107</v>
      </c>
      <c r="AA245" s="14" t="s">
        <v>107</v>
      </c>
      <c r="AB245" s="14" t="s">
        <v>559</v>
      </c>
      <c r="AC245" s="14" t="s">
        <v>560</v>
      </c>
      <c r="AD245" s="14" t="s">
        <v>561</v>
      </c>
    </row>
    <row r="246" customFormat="false" ht="78" hidden="false" customHeight="true" outlineLevel="0" collapsed="false">
      <c r="A246" s="14" t="s">
        <v>3207</v>
      </c>
      <c r="B246" s="14" t="s">
        <v>48</v>
      </c>
      <c r="C246" s="14" t="s">
        <v>3208</v>
      </c>
      <c r="D246" s="14" t="s">
        <v>30</v>
      </c>
      <c r="E246" s="14" t="s">
        <v>3209</v>
      </c>
      <c r="F246" s="14"/>
      <c r="G246" s="14" t="s">
        <v>168</v>
      </c>
      <c r="H246" s="14" t="s">
        <v>3210</v>
      </c>
      <c r="I246" s="14" t="s">
        <v>3211</v>
      </c>
      <c r="J246" s="14" t="s">
        <v>54</v>
      </c>
      <c r="K246" s="22" t="s">
        <v>1668</v>
      </c>
      <c r="L246" s="14" t="s">
        <v>3212</v>
      </c>
      <c r="M246" s="14" t="s">
        <v>3213</v>
      </c>
      <c r="N246" s="14" t="s">
        <v>3214</v>
      </c>
      <c r="O246" s="14"/>
      <c r="P246" s="14" t="s">
        <v>3215</v>
      </c>
      <c r="Q246" s="14" t="s">
        <v>3216</v>
      </c>
      <c r="R246" s="14" t="s">
        <v>220</v>
      </c>
      <c r="S246" s="17" t="s">
        <v>107</v>
      </c>
      <c r="T246" s="20" t="s">
        <v>324</v>
      </c>
      <c r="U246" s="14" t="s">
        <v>3217</v>
      </c>
      <c r="V246" s="14" t="s">
        <v>109</v>
      </c>
      <c r="W246" s="18" t="s">
        <v>110</v>
      </c>
      <c r="X246" s="14" t="s">
        <v>3218</v>
      </c>
      <c r="Y246" s="14" t="s">
        <v>194</v>
      </c>
      <c r="Z246" s="14" t="s">
        <v>107</v>
      </c>
      <c r="AA246" s="14" t="s">
        <v>107</v>
      </c>
      <c r="AB246" s="14" t="s">
        <v>559</v>
      </c>
      <c r="AC246" s="14" t="s">
        <v>560</v>
      </c>
      <c r="AD246" s="14" t="s">
        <v>561</v>
      </c>
    </row>
    <row r="247" customFormat="false" ht="78" hidden="false" customHeight="true" outlineLevel="0" collapsed="false">
      <c r="A247" s="14" t="s">
        <v>3219</v>
      </c>
      <c r="B247" s="14" t="s">
        <v>46</v>
      </c>
      <c r="C247" s="14" t="s">
        <v>3220</v>
      </c>
      <c r="D247" s="14" t="s">
        <v>30</v>
      </c>
      <c r="E247" s="14" t="s">
        <v>3221</v>
      </c>
      <c r="F247" s="15" t="s">
        <v>3222</v>
      </c>
      <c r="G247" s="14" t="s">
        <v>1542</v>
      </c>
      <c r="H247" s="14" t="s">
        <v>3223</v>
      </c>
      <c r="I247" s="14" t="s">
        <v>3224</v>
      </c>
      <c r="J247" s="14" t="s">
        <v>54</v>
      </c>
      <c r="K247" s="22" t="s">
        <v>1668</v>
      </c>
      <c r="L247" s="14" t="s">
        <v>3225</v>
      </c>
      <c r="M247" s="14" t="s">
        <v>3226</v>
      </c>
      <c r="N247" s="14" t="s">
        <v>3227</v>
      </c>
      <c r="O247" s="14"/>
      <c r="P247" s="14" t="s">
        <v>3228</v>
      </c>
      <c r="Q247" s="14" t="s">
        <v>3229</v>
      </c>
      <c r="R247" s="14" t="s">
        <v>220</v>
      </c>
      <c r="S247" s="17" t="s">
        <v>107</v>
      </c>
      <c r="T247" s="20" t="s">
        <v>324</v>
      </c>
      <c r="U247" s="14" t="s">
        <v>3230</v>
      </c>
      <c r="V247" s="14" t="s">
        <v>109</v>
      </c>
      <c r="W247" s="18" t="s">
        <v>110</v>
      </c>
      <c r="X247" s="14" t="s">
        <v>3231</v>
      </c>
      <c r="Y247" s="14" t="s">
        <v>194</v>
      </c>
      <c r="Z247" s="14" t="s">
        <v>107</v>
      </c>
      <c r="AA247" s="14" t="s">
        <v>107</v>
      </c>
      <c r="AB247" s="14" t="s">
        <v>559</v>
      </c>
      <c r="AC247" s="14" t="s">
        <v>560</v>
      </c>
      <c r="AD247" s="14" t="s">
        <v>561</v>
      </c>
    </row>
    <row r="248" customFormat="false" ht="78" hidden="false" customHeight="true" outlineLevel="0" collapsed="false">
      <c r="A248" s="14" t="s">
        <v>3232</v>
      </c>
      <c r="B248" s="14" t="s">
        <v>48</v>
      </c>
      <c r="C248" s="14" t="s">
        <v>3233</v>
      </c>
      <c r="D248" s="14" t="s">
        <v>30</v>
      </c>
      <c r="E248" s="14" t="s">
        <v>3234</v>
      </c>
      <c r="F248" s="14"/>
      <c r="G248" s="14" t="s">
        <v>168</v>
      </c>
      <c r="H248" s="14" t="s">
        <v>3235</v>
      </c>
      <c r="I248" s="14" t="s">
        <v>3236</v>
      </c>
      <c r="J248" s="14" t="s">
        <v>551</v>
      </c>
      <c r="K248" s="22" t="s">
        <v>1668</v>
      </c>
      <c r="L248" s="14" t="s">
        <v>3237</v>
      </c>
      <c r="M248" s="14" t="s">
        <v>3238</v>
      </c>
      <c r="N248" s="14" t="s">
        <v>3239</v>
      </c>
      <c r="O248" s="14"/>
      <c r="P248" s="14" t="s">
        <v>3240</v>
      </c>
      <c r="Q248" s="14" t="s">
        <v>3241</v>
      </c>
      <c r="R248" s="14" t="s">
        <v>220</v>
      </c>
      <c r="S248" s="17" t="s">
        <v>107</v>
      </c>
      <c r="T248" s="20" t="s">
        <v>324</v>
      </c>
      <c r="U248" s="14" t="s">
        <v>3242</v>
      </c>
      <c r="V248" s="14" t="s">
        <v>109</v>
      </c>
      <c r="W248" s="18" t="s">
        <v>110</v>
      </c>
      <c r="X248" s="14" t="s">
        <v>3243</v>
      </c>
      <c r="Y248" s="14" t="s">
        <v>194</v>
      </c>
      <c r="Z248" s="14" t="s">
        <v>107</v>
      </c>
      <c r="AA248" s="14" t="s">
        <v>107</v>
      </c>
      <c r="AB248" s="14" t="s">
        <v>559</v>
      </c>
      <c r="AC248" s="14" t="s">
        <v>560</v>
      </c>
      <c r="AD248" s="14" t="s">
        <v>561</v>
      </c>
    </row>
    <row r="249" customFormat="false" ht="78" hidden="false" customHeight="true" outlineLevel="0" collapsed="false">
      <c r="A249" s="14" t="s">
        <v>3244</v>
      </c>
      <c r="B249" s="14" t="s">
        <v>43</v>
      </c>
      <c r="C249" s="14" t="s">
        <v>3245</v>
      </c>
      <c r="D249" s="14" t="s">
        <v>30</v>
      </c>
      <c r="E249" s="14" t="s">
        <v>895</v>
      </c>
      <c r="F249" s="15" t="s">
        <v>896</v>
      </c>
      <c r="G249" s="14" t="s">
        <v>897</v>
      </c>
      <c r="H249" s="14" t="s">
        <v>3246</v>
      </c>
      <c r="I249" s="14" t="s">
        <v>3247</v>
      </c>
      <c r="J249" s="14" t="s">
        <v>50</v>
      </c>
      <c r="K249" s="22" t="s">
        <v>1668</v>
      </c>
      <c r="L249" s="14" t="s">
        <v>3248</v>
      </c>
      <c r="M249" s="14" t="s">
        <v>3249</v>
      </c>
      <c r="N249" s="14" t="s">
        <v>3250</v>
      </c>
      <c r="O249" s="14"/>
      <c r="P249" s="14" t="s">
        <v>3251</v>
      </c>
      <c r="Q249" s="14" t="s">
        <v>3252</v>
      </c>
      <c r="R249" s="14" t="s">
        <v>191</v>
      </c>
      <c r="S249" s="17" t="s">
        <v>107</v>
      </c>
      <c r="T249" s="17" t="s">
        <v>107</v>
      </c>
      <c r="U249" s="14" t="s">
        <v>3253</v>
      </c>
      <c r="V249" s="14" t="s">
        <v>109</v>
      </c>
      <c r="W249" s="21" t="s">
        <v>429</v>
      </c>
      <c r="X249" s="14" t="s">
        <v>3254</v>
      </c>
      <c r="Y249" s="14" t="s">
        <v>100</v>
      </c>
      <c r="Z249" s="14" t="s">
        <v>107</v>
      </c>
      <c r="AA249" s="14" t="s">
        <v>107</v>
      </c>
      <c r="AB249" s="14" t="s">
        <v>131</v>
      </c>
      <c r="AC249" s="14" t="s">
        <v>113</v>
      </c>
      <c r="AD249" s="14" t="s">
        <v>114</v>
      </c>
    </row>
    <row r="250" customFormat="false" ht="78" hidden="false" customHeight="true" outlineLevel="0" collapsed="false">
      <c r="A250" s="14" t="s">
        <v>3255</v>
      </c>
      <c r="B250" s="14" t="s">
        <v>43</v>
      </c>
      <c r="C250" s="14" t="s">
        <v>3256</v>
      </c>
      <c r="D250" s="14" t="s">
        <v>30</v>
      </c>
      <c r="E250" s="14" t="s">
        <v>3257</v>
      </c>
      <c r="F250" s="15" t="s">
        <v>3124</v>
      </c>
      <c r="G250" s="14" t="s">
        <v>3258</v>
      </c>
      <c r="H250" s="14" t="s">
        <v>3259</v>
      </c>
      <c r="I250" s="14" t="s">
        <v>3260</v>
      </c>
      <c r="J250" s="14" t="s">
        <v>51</v>
      </c>
      <c r="K250" s="22" t="s">
        <v>1668</v>
      </c>
      <c r="L250" s="14" t="s">
        <v>3261</v>
      </c>
      <c r="M250" s="14" t="s">
        <v>3262</v>
      </c>
      <c r="N250" s="14" t="s">
        <v>3263</v>
      </c>
      <c r="O250" s="14"/>
      <c r="P250" s="14" t="s">
        <v>3264</v>
      </c>
      <c r="Q250" s="14" t="s">
        <v>3265</v>
      </c>
      <c r="R250" s="14" t="s">
        <v>176</v>
      </c>
      <c r="S250" s="17" t="s">
        <v>107</v>
      </c>
      <c r="T250" s="17" t="s">
        <v>107</v>
      </c>
      <c r="U250" s="14" t="s">
        <v>3266</v>
      </c>
      <c r="V250" s="14" t="s">
        <v>109</v>
      </c>
      <c r="W250" s="21" t="s">
        <v>429</v>
      </c>
      <c r="X250" s="14" t="s">
        <v>3267</v>
      </c>
      <c r="Y250" s="14" t="s">
        <v>100</v>
      </c>
      <c r="Z250" s="14" t="s">
        <v>107</v>
      </c>
      <c r="AA250" s="14" t="s">
        <v>107</v>
      </c>
      <c r="AB250" s="14" t="s">
        <v>131</v>
      </c>
      <c r="AC250" s="14" t="s">
        <v>113</v>
      </c>
      <c r="AD250" s="14" t="s">
        <v>114</v>
      </c>
    </row>
    <row r="251" customFormat="false" ht="78" hidden="false" customHeight="true" outlineLevel="0" collapsed="false">
      <c r="A251" s="14" t="s">
        <v>3268</v>
      </c>
      <c r="B251" s="14" t="s">
        <v>43</v>
      </c>
      <c r="C251" s="14" t="s">
        <v>3269</v>
      </c>
      <c r="D251" s="14" t="s">
        <v>30</v>
      </c>
      <c r="E251" s="14" t="s">
        <v>3270</v>
      </c>
      <c r="F251" s="14"/>
      <c r="G251" s="14" t="s">
        <v>285</v>
      </c>
      <c r="H251" s="14" t="s">
        <v>3271</v>
      </c>
      <c r="I251" s="14" t="s">
        <v>3272</v>
      </c>
      <c r="J251" s="14" t="s">
        <v>53</v>
      </c>
      <c r="K251" s="22" t="s">
        <v>1668</v>
      </c>
      <c r="L251" s="14" t="s">
        <v>3273</v>
      </c>
      <c r="M251" s="14" t="s">
        <v>3274</v>
      </c>
      <c r="N251" s="14" t="s">
        <v>3275</v>
      </c>
      <c r="O251" s="14"/>
      <c r="P251" s="14" t="s">
        <v>3276</v>
      </c>
      <c r="Q251" s="14" t="s">
        <v>3277</v>
      </c>
      <c r="R251" s="14" t="s">
        <v>191</v>
      </c>
      <c r="S251" s="17" t="s">
        <v>107</v>
      </c>
      <c r="T251" s="20" t="s">
        <v>324</v>
      </c>
      <c r="U251" s="14" t="s">
        <v>3278</v>
      </c>
      <c r="V251" s="14" t="s">
        <v>109</v>
      </c>
      <c r="W251" s="18" t="s">
        <v>110</v>
      </c>
      <c r="X251" s="14" t="s">
        <v>3279</v>
      </c>
      <c r="Y251" s="14" t="s">
        <v>194</v>
      </c>
      <c r="Z251" s="14" t="s">
        <v>107</v>
      </c>
      <c r="AA251" s="14" t="s">
        <v>107</v>
      </c>
      <c r="AB251" s="14" t="s">
        <v>131</v>
      </c>
      <c r="AC251" s="14" t="s">
        <v>113</v>
      </c>
      <c r="AD251" s="14" t="s">
        <v>114</v>
      </c>
    </row>
    <row r="252" customFormat="false" ht="78" hidden="false" customHeight="true" outlineLevel="0" collapsed="false">
      <c r="A252" s="14" t="s">
        <v>3280</v>
      </c>
      <c r="B252" s="14" t="s">
        <v>43</v>
      </c>
      <c r="C252" s="14" t="s">
        <v>3281</v>
      </c>
      <c r="D252" s="14" t="s">
        <v>30</v>
      </c>
      <c r="E252" s="14" t="s">
        <v>3282</v>
      </c>
      <c r="F252" s="14"/>
      <c r="G252" s="14" t="s">
        <v>285</v>
      </c>
      <c r="H252" s="14" t="s">
        <v>3283</v>
      </c>
      <c r="I252" s="14" t="s">
        <v>3284</v>
      </c>
      <c r="J252" s="14" t="s">
        <v>505</v>
      </c>
      <c r="K252" s="22" t="s">
        <v>1668</v>
      </c>
      <c r="L252" s="14" t="s">
        <v>3285</v>
      </c>
      <c r="M252" s="14" t="s">
        <v>3286</v>
      </c>
      <c r="N252" s="14" t="s">
        <v>3287</v>
      </c>
      <c r="O252" s="14"/>
      <c r="P252" s="14" t="s">
        <v>3288</v>
      </c>
      <c r="Q252" s="14" t="s">
        <v>3289</v>
      </c>
      <c r="R252" s="14" t="s">
        <v>191</v>
      </c>
      <c r="S252" s="17" t="s">
        <v>107</v>
      </c>
      <c r="T252" s="17" t="s">
        <v>107</v>
      </c>
      <c r="U252" s="14" t="s">
        <v>3290</v>
      </c>
      <c r="V252" s="14" t="s">
        <v>109</v>
      </c>
      <c r="W252" s="18" t="s">
        <v>110</v>
      </c>
      <c r="X252" s="14" t="s">
        <v>3291</v>
      </c>
      <c r="Y252" s="14" t="s">
        <v>194</v>
      </c>
      <c r="Z252" s="14" t="s">
        <v>107</v>
      </c>
      <c r="AA252" s="14" t="s">
        <v>107</v>
      </c>
      <c r="AB252" s="14" t="s">
        <v>131</v>
      </c>
      <c r="AC252" s="14" t="s">
        <v>113</v>
      </c>
      <c r="AD252" s="14" t="s">
        <v>114</v>
      </c>
    </row>
    <row r="253" customFormat="false" ht="78" hidden="false" customHeight="true" outlineLevel="0" collapsed="false">
      <c r="A253" s="14" t="s">
        <v>3292</v>
      </c>
      <c r="B253" s="14" t="s">
        <v>43</v>
      </c>
      <c r="C253" s="14" t="s">
        <v>3293</v>
      </c>
      <c r="D253" s="14" t="s">
        <v>30</v>
      </c>
      <c r="E253" s="14" t="s">
        <v>3294</v>
      </c>
      <c r="F253" s="15" t="s">
        <v>3295</v>
      </c>
      <c r="G253" s="14" t="s">
        <v>897</v>
      </c>
      <c r="H253" s="14" t="s">
        <v>3296</v>
      </c>
      <c r="I253" s="14" t="s">
        <v>3297</v>
      </c>
      <c r="J253" s="14" t="s">
        <v>51</v>
      </c>
      <c r="K253" s="22" t="s">
        <v>1668</v>
      </c>
      <c r="L253" s="14" t="s">
        <v>3298</v>
      </c>
      <c r="M253" s="14" t="s">
        <v>3299</v>
      </c>
      <c r="N253" s="14" t="s">
        <v>3300</v>
      </c>
      <c r="O253" s="14"/>
      <c r="P253" s="14" t="s">
        <v>3301</v>
      </c>
      <c r="Q253" s="14" t="s">
        <v>3302</v>
      </c>
      <c r="R253" s="14" t="s">
        <v>176</v>
      </c>
      <c r="S253" s="17" t="s">
        <v>107</v>
      </c>
      <c r="T253" s="17" t="s">
        <v>107</v>
      </c>
      <c r="U253" s="14" t="s">
        <v>3303</v>
      </c>
      <c r="V253" s="14" t="s">
        <v>109</v>
      </c>
      <c r="W253" s="21" t="s">
        <v>429</v>
      </c>
      <c r="X253" s="14" t="s">
        <v>3304</v>
      </c>
      <c r="Y253" s="14" t="s">
        <v>100</v>
      </c>
      <c r="Z253" s="14" t="s">
        <v>107</v>
      </c>
      <c r="AA253" s="14" t="s">
        <v>107</v>
      </c>
      <c r="AB253" s="14" t="s">
        <v>131</v>
      </c>
      <c r="AC253" s="14" t="s">
        <v>113</v>
      </c>
      <c r="AD253" s="14" t="s">
        <v>114</v>
      </c>
    </row>
    <row r="254" customFormat="false" ht="78" hidden="false" customHeight="true" outlineLevel="0" collapsed="false">
      <c r="A254" s="14" t="s">
        <v>3305</v>
      </c>
      <c r="B254" s="14" t="s">
        <v>43</v>
      </c>
      <c r="C254" s="14" t="s">
        <v>3306</v>
      </c>
      <c r="D254" s="14" t="s">
        <v>30</v>
      </c>
      <c r="E254" s="14" t="s">
        <v>3307</v>
      </c>
      <c r="F254" s="15" t="s">
        <v>3308</v>
      </c>
      <c r="G254" s="14" t="s">
        <v>897</v>
      </c>
      <c r="H254" s="14" t="s">
        <v>3309</v>
      </c>
      <c r="I254" s="14" t="s">
        <v>3310</v>
      </c>
      <c r="J254" s="14" t="s">
        <v>536</v>
      </c>
      <c r="K254" s="22" t="s">
        <v>1668</v>
      </c>
      <c r="L254" s="14" t="s">
        <v>3311</v>
      </c>
      <c r="M254" s="14" t="s">
        <v>3312</v>
      </c>
      <c r="N254" s="14" t="s">
        <v>3313</v>
      </c>
      <c r="O254" s="14"/>
      <c r="P254" s="14" t="s">
        <v>3314</v>
      </c>
      <c r="Q254" s="14" t="s">
        <v>3315</v>
      </c>
      <c r="R254" s="14" t="s">
        <v>191</v>
      </c>
      <c r="S254" s="17" t="s">
        <v>107</v>
      </c>
      <c r="T254" s="17" t="s">
        <v>107</v>
      </c>
      <c r="U254" s="14" t="s">
        <v>3316</v>
      </c>
      <c r="V254" s="14" t="s">
        <v>109</v>
      </c>
      <c r="W254" s="21" t="s">
        <v>429</v>
      </c>
      <c r="X254" s="14" t="s">
        <v>3317</v>
      </c>
      <c r="Y254" s="14" t="s">
        <v>194</v>
      </c>
      <c r="Z254" s="14" t="s">
        <v>107</v>
      </c>
      <c r="AA254" s="14" t="s">
        <v>107</v>
      </c>
      <c r="AB254" s="14" t="s">
        <v>131</v>
      </c>
      <c r="AC254" s="14" t="s">
        <v>113</v>
      </c>
      <c r="AD254" s="14" t="s">
        <v>114</v>
      </c>
    </row>
    <row r="255" customFormat="false" ht="78" hidden="false" customHeight="true" outlineLevel="0" collapsed="false">
      <c r="A255" s="14" t="s">
        <v>3318</v>
      </c>
      <c r="B255" s="14" t="s">
        <v>43</v>
      </c>
      <c r="C255" s="14" t="s">
        <v>3319</v>
      </c>
      <c r="D255" s="14" t="s">
        <v>30</v>
      </c>
      <c r="E255" s="14" t="s">
        <v>3320</v>
      </c>
      <c r="F255" s="15" t="s">
        <v>3049</v>
      </c>
      <c r="G255" s="14" t="s">
        <v>3321</v>
      </c>
      <c r="H255" s="14" t="s">
        <v>3322</v>
      </c>
      <c r="I255" s="14" t="s">
        <v>3323</v>
      </c>
      <c r="J255" s="14" t="s">
        <v>51</v>
      </c>
      <c r="K255" s="22" t="s">
        <v>1668</v>
      </c>
      <c r="L255" s="14" t="s">
        <v>3324</v>
      </c>
      <c r="M255" s="14" t="s">
        <v>3325</v>
      </c>
      <c r="N255" s="14" t="s">
        <v>3326</v>
      </c>
      <c r="O255" s="14"/>
      <c r="P255" s="14" t="s">
        <v>3327</v>
      </c>
      <c r="Q255" s="14" t="s">
        <v>3328</v>
      </c>
      <c r="R255" s="14" t="s">
        <v>176</v>
      </c>
      <c r="S255" s="17" t="s">
        <v>107</v>
      </c>
      <c r="T255" s="17" t="s">
        <v>107</v>
      </c>
      <c r="U255" s="14" t="s">
        <v>3329</v>
      </c>
      <c r="V255" s="14" t="s">
        <v>109</v>
      </c>
      <c r="W255" s="21" t="s">
        <v>429</v>
      </c>
      <c r="X255" s="14" t="s">
        <v>3330</v>
      </c>
      <c r="Y255" s="14" t="s">
        <v>100</v>
      </c>
      <c r="Z255" s="14" t="s">
        <v>107</v>
      </c>
      <c r="AA255" s="14" t="s">
        <v>107</v>
      </c>
      <c r="AB255" s="14" t="s">
        <v>131</v>
      </c>
      <c r="AC255" s="14" t="s">
        <v>113</v>
      </c>
      <c r="AD255" s="14" t="s">
        <v>114</v>
      </c>
    </row>
    <row r="256" customFormat="false" ht="78" hidden="false" customHeight="true" outlineLevel="0" collapsed="false">
      <c r="A256" s="14" t="s">
        <v>3331</v>
      </c>
      <c r="B256" s="14" t="s">
        <v>43</v>
      </c>
      <c r="C256" s="14" t="s">
        <v>3332</v>
      </c>
      <c r="D256" s="14" t="s">
        <v>30</v>
      </c>
      <c r="E256" s="14" t="s">
        <v>3333</v>
      </c>
      <c r="F256" s="15" t="s">
        <v>896</v>
      </c>
      <c r="G256" s="14" t="s">
        <v>1215</v>
      </c>
      <c r="H256" s="14" t="s">
        <v>3334</v>
      </c>
      <c r="I256" s="14" t="s">
        <v>3335</v>
      </c>
      <c r="J256" s="14" t="s">
        <v>55</v>
      </c>
      <c r="K256" s="22" t="s">
        <v>1668</v>
      </c>
      <c r="L256" s="14" t="s">
        <v>3336</v>
      </c>
      <c r="M256" s="14" t="s">
        <v>3337</v>
      </c>
      <c r="N256" s="14" t="s">
        <v>3338</v>
      </c>
      <c r="O256" s="14"/>
      <c r="P256" s="14" t="s">
        <v>3339</v>
      </c>
      <c r="Q256" s="14" t="s">
        <v>3340</v>
      </c>
      <c r="R256" s="14" t="s">
        <v>176</v>
      </c>
      <c r="S256" s="20" t="s">
        <v>324</v>
      </c>
      <c r="T256" s="20" t="s">
        <v>324</v>
      </c>
      <c r="U256" s="14" t="s">
        <v>3341</v>
      </c>
      <c r="V256" s="14" t="s">
        <v>109</v>
      </c>
      <c r="W256" s="18" t="s">
        <v>110</v>
      </c>
      <c r="X256" s="14" t="s">
        <v>3342</v>
      </c>
      <c r="Y256" s="14" t="s">
        <v>1668</v>
      </c>
      <c r="Z256" s="14" t="s">
        <v>107</v>
      </c>
      <c r="AA256" s="14" t="s">
        <v>107</v>
      </c>
      <c r="AB256" s="14" t="s">
        <v>131</v>
      </c>
      <c r="AC256" s="14" t="s">
        <v>113</v>
      </c>
      <c r="AD256" s="14" t="s">
        <v>114</v>
      </c>
    </row>
    <row r="257" customFormat="false" ht="78" hidden="false" customHeight="true" outlineLevel="0" collapsed="false">
      <c r="A257" s="14" t="s">
        <v>3343</v>
      </c>
      <c r="B257" s="14" t="s">
        <v>43</v>
      </c>
      <c r="C257" s="14" t="s">
        <v>3344</v>
      </c>
      <c r="D257" s="14" t="s">
        <v>30</v>
      </c>
      <c r="E257" s="14" t="s">
        <v>3345</v>
      </c>
      <c r="F257" s="15" t="s">
        <v>3346</v>
      </c>
      <c r="G257" s="14" t="s">
        <v>1932</v>
      </c>
      <c r="H257" s="14" t="s">
        <v>3347</v>
      </c>
      <c r="I257" s="14" t="s">
        <v>3348</v>
      </c>
      <c r="J257" s="14" t="s">
        <v>50</v>
      </c>
      <c r="K257" s="22" t="s">
        <v>1668</v>
      </c>
      <c r="L257" s="14" t="s">
        <v>3349</v>
      </c>
      <c r="M257" s="14" t="s">
        <v>3350</v>
      </c>
      <c r="N257" s="14" t="s">
        <v>3351</v>
      </c>
      <c r="O257" s="14"/>
      <c r="P257" s="14" t="s">
        <v>3352</v>
      </c>
      <c r="Q257" s="14" t="s">
        <v>3353</v>
      </c>
      <c r="R257" s="14" t="s">
        <v>191</v>
      </c>
      <c r="S257" s="20" t="s">
        <v>324</v>
      </c>
      <c r="T257" s="17" t="s">
        <v>107</v>
      </c>
      <c r="U257" s="14" t="s">
        <v>3354</v>
      </c>
      <c r="V257" s="14" t="s">
        <v>109</v>
      </c>
      <c r="W257" s="18" t="s">
        <v>110</v>
      </c>
      <c r="X257" s="14" t="s">
        <v>3355</v>
      </c>
      <c r="Y257" s="14" t="s">
        <v>194</v>
      </c>
      <c r="Z257" s="14" t="s">
        <v>107</v>
      </c>
      <c r="AA257" s="14" t="s">
        <v>107</v>
      </c>
      <c r="AB257" s="14" t="s">
        <v>131</v>
      </c>
      <c r="AC257" s="14" t="s">
        <v>113</v>
      </c>
      <c r="AD257" s="14" t="s">
        <v>114</v>
      </c>
    </row>
    <row r="258" customFormat="false" ht="78" hidden="false" customHeight="true" outlineLevel="0" collapsed="false">
      <c r="A258" s="14" t="s">
        <v>3356</v>
      </c>
      <c r="B258" s="14" t="s">
        <v>43</v>
      </c>
      <c r="C258" s="14" t="s">
        <v>3357</v>
      </c>
      <c r="D258" s="14" t="s">
        <v>30</v>
      </c>
      <c r="E258" s="14" t="s">
        <v>3358</v>
      </c>
      <c r="F258" s="15" t="s">
        <v>3359</v>
      </c>
      <c r="G258" s="14" t="s">
        <v>3360</v>
      </c>
      <c r="H258" s="14" t="s">
        <v>3361</v>
      </c>
      <c r="I258" s="14" t="s">
        <v>3362</v>
      </c>
      <c r="J258" s="14" t="s">
        <v>51</v>
      </c>
      <c r="K258" s="22" t="s">
        <v>1668</v>
      </c>
      <c r="L258" s="14" t="s">
        <v>3363</v>
      </c>
      <c r="M258" s="14" t="s">
        <v>3364</v>
      </c>
      <c r="N258" s="14" t="s">
        <v>3365</v>
      </c>
      <c r="O258" s="14"/>
      <c r="P258" s="14" t="s">
        <v>3366</v>
      </c>
      <c r="Q258" s="14" t="s">
        <v>3367</v>
      </c>
      <c r="R258" s="14" t="s">
        <v>191</v>
      </c>
      <c r="S258" s="20" t="s">
        <v>324</v>
      </c>
      <c r="T258" s="17" t="s">
        <v>107</v>
      </c>
      <c r="U258" s="14" t="s">
        <v>3368</v>
      </c>
      <c r="V258" s="14" t="s">
        <v>109</v>
      </c>
      <c r="W258" s="21" t="s">
        <v>429</v>
      </c>
      <c r="X258" s="14" t="s">
        <v>3369</v>
      </c>
      <c r="Y258" s="14" t="s">
        <v>194</v>
      </c>
      <c r="Z258" s="14" t="s">
        <v>107</v>
      </c>
      <c r="AA258" s="14" t="s">
        <v>107</v>
      </c>
      <c r="AB258" s="14" t="s">
        <v>131</v>
      </c>
      <c r="AC258" s="14" t="s">
        <v>113</v>
      </c>
      <c r="AD258" s="14" t="s">
        <v>114</v>
      </c>
    </row>
    <row r="259" customFormat="false" ht="78" hidden="false" customHeight="true" outlineLevel="0" collapsed="false">
      <c r="A259" s="14" t="s">
        <v>3370</v>
      </c>
      <c r="B259" s="14" t="s">
        <v>43</v>
      </c>
      <c r="C259" s="14" t="s">
        <v>3357</v>
      </c>
      <c r="D259" s="14" t="s">
        <v>30</v>
      </c>
      <c r="E259" s="14" t="s">
        <v>3371</v>
      </c>
      <c r="F259" s="15" t="s">
        <v>3372</v>
      </c>
      <c r="G259" s="14" t="s">
        <v>3097</v>
      </c>
      <c r="H259" s="14" t="s">
        <v>3373</v>
      </c>
      <c r="I259" s="14" t="s">
        <v>3374</v>
      </c>
      <c r="J259" s="14" t="s">
        <v>51</v>
      </c>
      <c r="K259" s="22" t="s">
        <v>1668</v>
      </c>
      <c r="L259" s="14" t="s">
        <v>3375</v>
      </c>
      <c r="M259" s="14" t="s">
        <v>3364</v>
      </c>
      <c r="N259" s="14" t="s">
        <v>3376</v>
      </c>
      <c r="O259" s="14"/>
      <c r="P259" s="14" t="s">
        <v>3366</v>
      </c>
      <c r="Q259" s="14" t="s">
        <v>3377</v>
      </c>
      <c r="R259" s="14" t="s">
        <v>191</v>
      </c>
      <c r="S259" s="20" t="s">
        <v>324</v>
      </c>
      <c r="T259" s="17" t="s">
        <v>107</v>
      </c>
      <c r="U259" s="14" t="s">
        <v>3368</v>
      </c>
      <c r="V259" s="14" t="s">
        <v>109</v>
      </c>
      <c r="W259" s="18" t="s">
        <v>110</v>
      </c>
      <c r="X259" s="14" t="s">
        <v>3378</v>
      </c>
      <c r="Y259" s="14" t="s">
        <v>1668</v>
      </c>
      <c r="Z259" s="14" t="s">
        <v>107</v>
      </c>
      <c r="AA259" s="14" t="s">
        <v>107</v>
      </c>
      <c r="AB259" s="14" t="s">
        <v>131</v>
      </c>
      <c r="AC259" s="14" t="s">
        <v>113</v>
      </c>
      <c r="AD259" s="14" t="s">
        <v>114</v>
      </c>
    </row>
    <row r="260" customFormat="false" ht="78" hidden="false" customHeight="true" outlineLevel="0" collapsed="false">
      <c r="A260" s="14" t="s">
        <v>3379</v>
      </c>
      <c r="B260" s="14" t="s">
        <v>43</v>
      </c>
      <c r="C260" s="14" t="s">
        <v>3357</v>
      </c>
      <c r="D260" s="14" t="s">
        <v>30</v>
      </c>
      <c r="E260" s="14" t="s">
        <v>3380</v>
      </c>
      <c r="F260" s="15" t="s">
        <v>3381</v>
      </c>
      <c r="G260" s="14" t="s">
        <v>3321</v>
      </c>
      <c r="H260" s="14" t="s">
        <v>3382</v>
      </c>
      <c r="I260" s="14" t="s">
        <v>3374</v>
      </c>
      <c r="J260" s="14" t="s">
        <v>51</v>
      </c>
      <c r="K260" s="22" t="s">
        <v>1668</v>
      </c>
      <c r="L260" s="14" t="s">
        <v>3383</v>
      </c>
      <c r="M260" s="14" t="s">
        <v>3364</v>
      </c>
      <c r="N260" s="14" t="s">
        <v>3384</v>
      </c>
      <c r="O260" s="14"/>
      <c r="P260" s="14" t="s">
        <v>3366</v>
      </c>
      <c r="Q260" s="14" t="s">
        <v>3385</v>
      </c>
      <c r="R260" s="14" t="s">
        <v>191</v>
      </c>
      <c r="S260" s="20" t="s">
        <v>324</v>
      </c>
      <c r="T260" s="17" t="s">
        <v>107</v>
      </c>
      <c r="U260" s="14" t="s">
        <v>3368</v>
      </c>
      <c r="V260" s="14" t="s">
        <v>109</v>
      </c>
      <c r="W260" s="18" t="s">
        <v>110</v>
      </c>
      <c r="X260" s="14" t="s">
        <v>3386</v>
      </c>
      <c r="Y260" s="14" t="s">
        <v>1668</v>
      </c>
      <c r="Z260" s="14" t="s">
        <v>107</v>
      </c>
      <c r="AA260" s="14" t="s">
        <v>107</v>
      </c>
      <c r="AB260" s="14" t="s">
        <v>131</v>
      </c>
      <c r="AC260" s="14" t="s">
        <v>113</v>
      </c>
      <c r="AD260" s="14" t="s">
        <v>114</v>
      </c>
    </row>
    <row r="261" customFormat="false" ht="78" hidden="false" customHeight="true" outlineLevel="0" collapsed="false">
      <c r="A261" s="14" t="s">
        <v>3387</v>
      </c>
      <c r="B261" s="14" t="s">
        <v>43</v>
      </c>
      <c r="C261" s="14" t="s">
        <v>3388</v>
      </c>
      <c r="D261" s="14" t="s">
        <v>30</v>
      </c>
      <c r="E261" s="14" t="s">
        <v>3389</v>
      </c>
      <c r="F261" s="15" t="s">
        <v>198</v>
      </c>
      <c r="G261" s="14" t="s">
        <v>199</v>
      </c>
      <c r="H261" s="14" t="s">
        <v>3390</v>
      </c>
      <c r="I261" s="14" t="s">
        <v>3391</v>
      </c>
      <c r="J261" s="14" t="s">
        <v>50</v>
      </c>
      <c r="K261" s="22" t="s">
        <v>1668</v>
      </c>
      <c r="L261" s="14" t="s">
        <v>3392</v>
      </c>
      <c r="M261" s="14" t="s">
        <v>3393</v>
      </c>
      <c r="N261" s="14" t="s">
        <v>3394</v>
      </c>
      <c r="O261" s="14"/>
      <c r="P261" s="14" t="s">
        <v>3395</v>
      </c>
      <c r="Q261" s="14" t="s">
        <v>3396</v>
      </c>
      <c r="R261" s="14" t="s">
        <v>176</v>
      </c>
      <c r="S261" s="17" t="s">
        <v>107</v>
      </c>
      <c r="T261" s="20" t="s">
        <v>324</v>
      </c>
      <c r="U261" s="14" t="s">
        <v>3397</v>
      </c>
      <c r="V261" s="14" t="s">
        <v>109</v>
      </c>
      <c r="W261" s="21" t="s">
        <v>429</v>
      </c>
      <c r="X261" s="14" t="s">
        <v>3398</v>
      </c>
      <c r="Y261" s="14" t="s">
        <v>194</v>
      </c>
      <c r="Z261" s="14" t="s">
        <v>107</v>
      </c>
      <c r="AA261" s="14" t="s">
        <v>107</v>
      </c>
      <c r="AB261" s="14" t="s">
        <v>131</v>
      </c>
      <c r="AC261" s="14" t="s">
        <v>113</v>
      </c>
      <c r="AD261" s="14" t="s">
        <v>114</v>
      </c>
    </row>
    <row r="262" customFormat="false" ht="78" hidden="false" customHeight="true" outlineLevel="0" collapsed="false">
      <c r="A262" s="14" t="s">
        <v>3399</v>
      </c>
      <c r="B262" s="14" t="s">
        <v>43</v>
      </c>
      <c r="C262" s="14" t="s">
        <v>3400</v>
      </c>
      <c r="D262" s="14" t="s">
        <v>30</v>
      </c>
      <c r="E262" s="14" t="s">
        <v>3401</v>
      </c>
      <c r="F262" s="15" t="s">
        <v>3402</v>
      </c>
      <c r="G262" s="14" t="s">
        <v>3360</v>
      </c>
      <c r="H262" s="14" t="s">
        <v>3403</v>
      </c>
      <c r="I262" s="14" t="s">
        <v>3404</v>
      </c>
      <c r="J262" s="14" t="s">
        <v>54</v>
      </c>
      <c r="K262" s="22" t="s">
        <v>1668</v>
      </c>
      <c r="L262" s="14" t="s">
        <v>3405</v>
      </c>
      <c r="M262" s="14" t="s">
        <v>3406</v>
      </c>
      <c r="N262" s="14" t="s">
        <v>3407</v>
      </c>
      <c r="O262" s="14"/>
      <c r="P262" s="14" t="s">
        <v>3408</v>
      </c>
      <c r="Q262" s="14" t="s">
        <v>3409</v>
      </c>
      <c r="R262" s="14" t="s">
        <v>176</v>
      </c>
      <c r="S262" s="17" t="s">
        <v>107</v>
      </c>
      <c r="T262" s="20" t="s">
        <v>324</v>
      </c>
      <c r="U262" s="14" t="s">
        <v>3410</v>
      </c>
      <c r="V262" s="14" t="s">
        <v>109</v>
      </c>
      <c r="W262" s="18" t="s">
        <v>110</v>
      </c>
      <c r="X262" s="14" t="s">
        <v>3411</v>
      </c>
      <c r="Y262" s="14" t="s">
        <v>194</v>
      </c>
      <c r="Z262" s="14" t="s">
        <v>107</v>
      </c>
      <c r="AA262" s="14" t="s">
        <v>107</v>
      </c>
      <c r="AB262" s="14" t="s">
        <v>131</v>
      </c>
      <c r="AC262" s="14" t="s">
        <v>560</v>
      </c>
      <c r="AD262" s="14" t="s">
        <v>561</v>
      </c>
    </row>
    <row r="263" customFormat="false" ht="78" hidden="false" customHeight="true" outlineLevel="0" collapsed="false">
      <c r="A263" s="14" t="s">
        <v>3412</v>
      </c>
      <c r="B263" s="14" t="s">
        <v>43</v>
      </c>
      <c r="C263" s="14" t="s">
        <v>3413</v>
      </c>
      <c r="D263" s="14" t="s">
        <v>30</v>
      </c>
      <c r="E263" s="14" t="s">
        <v>3414</v>
      </c>
      <c r="F263" s="15" t="s">
        <v>3124</v>
      </c>
      <c r="G263" s="14" t="s">
        <v>1215</v>
      </c>
      <c r="H263" s="14" t="s">
        <v>3415</v>
      </c>
      <c r="I263" s="14" t="s">
        <v>3416</v>
      </c>
      <c r="J263" s="14" t="s">
        <v>50</v>
      </c>
      <c r="K263" s="22" t="s">
        <v>1668</v>
      </c>
      <c r="L263" s="14" t="s">
        <v>3417</v>
      </c>
      <c r="M263" s="14" t="s">
        <v>3418</v>
      </c>
      <c r="N263" s="14" t="s">
        <v>3419</v>
      </c>
      <c r="O263" s="14"/>
      <c r="P263" s="14" t="s">
        <v>3420</v>
      </c>
      <c r="Q263" s="14" t="s">
        <v>3421</v>
      </c>
      <c r="R263" s="14" t="s">
        <v>176</v>
      </c>
      <c r="S263" s="17" t="s">
        <v>107</v>
      </c>
      <c r="T263" s="17" t="s">
        <v>107</v>
      </c>
      <c r="U263" s="14" t="s">
        <v>3422</v>
      </c>
      <c r="V263" s="14" t="s">
        <v>109</v>
      </c>
      <c r="W263" s="21" t="s">
        <v>429</v>
      </c>
      <c r="X263" s="14" t="s">
        <v>3423</v>
      </c>
      <c r="Y263" s="14" t="s">
        <v>194</v>
      </c>
      <c r="Z263" s="14" t="s">
        <v>107</v>
      </c>
      <c r="AA263" s="14" t="s">
        <v>107</v>
      </c>
      <c r="AB263" s="14" t="s">
        <v>131</v>
      </c>
      <c r="AC263" s="14" t="s">
        <v>113</v>
      </c>
      <c r="AD263" s="14" t="s">
        <v>114</v>
      </c>
    </row>
    <row r="264" customFormat="false" ht="78" hidden="false" customHeight="true" outlineLevel="0" collapsed="false">
      <c r="A264" s="14" t="s">
        <v>3424</v>
      </c>
      <c r="B264" s="14" t="s">
        <v>43</v>
      </c>
      <c r="C264" s="14" t="s">
        <v>3425</v>
      </c>
      <c r="D264" s="14" t="s">
        <v>30</v>
      </c>
      <c r="E264" s="14" t="s">
        <v>3426</v>
      </c>
      <c r="F264" s="15" t="s">
        <v>3427</v>
      </c>
      <c r="G264" s="14" t="s">
        <v>3321</v>
      </c>
      <c r="H264" s="14" t="s">
        <v>3428</v>
      </c>
      <c r="I264" s="14" t="s">
        <v>3429</v>
      </c>
      <c r="J264" s="14" t="s">
        <v>51</v>
      </c>
      <c r="K264" s="22" t="s">
        <v>1668</v>
      </c>
      <c r="L264" s="14" t="s">
        <v>3430</v>
      </c>
      <c r="M264" s="14" t="s">
        <v>3431</v>
      </c>
      <c r="N264" s="14" t="s">
        <v>3432</v>
      </c>
      <c r="O264" s="14"/>
      <c r="P264" s="14" t="s">
        <v>3433</v>
      </c>
      <c r="Q264" s="14" t="s">
        <v>3434</v>
      </c>
      <c r="R264" s="14" t="s">
        <v>191</v>
      </c>
      <c r="S264" s="17" t="s">
        <v>107</v>
      </c>
      <c r="T264" s="20" t="s">
        <v>324</v>
      </c>
      <c r="U264" s="14" t="s">
        <v>3435</v>
      </c>
      <c r="V264" s="14" t="s">
        <v>109</v>
      </c>
      <c r="W264" s="21" t="s">
        <v>429</v>
      </c>
      <c r="X264" s="14" t="s">
        <v>3436</v>
      </c>
      <c r="Y264" s="14" t="s">
        <v>194</v>
      </c>
      <c r="Z264" s="14" t="s">
        <v>107</v>
      </c>
      <c r="AA264" s="14" t="s">
        <v>107</v>
      </c>
      <c r="AB264" s="14" t="s">
        <v>131</v>
      </c>
      <c r="AC264" s="14" t="s">
        <v>113</v>
      </c>
      <c r="AD264" s="14" t="s">
        <v>114</v>
      </c>
    </row>
    <row r="265" customFormat="false" ht="78" hidden="false" customHeight="true" outlineLevel="0" collapsed="false">
      <c r="A265" s="14" t="s">
        <v>3437</v>
      </c>
      <c r="B265" s="14" t="s">
        <v>43</v>
      </c>
      <c r="C265" s="14" t="s">
        <v>3438</v>
      </c>
      <c r="D265" s="14" t="s">
        <v>30</v>
      </c>
      <c r="E265" s="14" t="s">
        <v>212</v>
      </c>
      <c r="F265" s="14"/>
      <c r="G265" s="14" t="s">
        <v>168</v>
      </c>
      <c r="H265" s="14" t="s">
        <v>3439</v>
      </c>
      <c r="I265" s="14" t="s">
        <v>3440</v>
      </c>
      <c r="J265" s="14" t="s">
        <v>50</v>
      </c>
      <c r="K265" s="22" t="s">
        <v>1668</v>
      </c>
      <c r="L265" s="14" t="s">
        <v>3441</v>
      </c>
      <c r="M265" s="14" t="s">
        <v>3442</v>
      </c>
      <c r="N265" s="14" t="s">
        <v>3443</v>
      </c>
      <c r="O265" s="14"/>
      <c r="P265" s="14" t="s">
        <v>3444</v>
      </c>
      <c r="Q265" s="14" t="s">
        <v>3445</v>
      </c>
      <c r="R265" s="14" t="s">
        <v>220</v>
      </c>
      <c r="S265" s="17" t="s">
        <v>107</v>
      </c>
      <c r="T265" s="20" t="s">
        <v>324</v>
      </c>
      <c r="U265" s="14" t="s">
        <v>3446</v>
      </c>
      <c r="V265" s="14" t="s">
        <v>109</v>
      </c>
      <c r="W265" s="21" t="s">
        <v>429</v>
      </c>
      <c r="X265" s="14" t="s">
        <v>3447</v>
      </c>
      <c r="Y265" s="14" t="s">
        <v>194</v>
      </c>
      <c r="Z265" s="14" t="s">
        <v>107</v>
      </c>
      <c r="AA265" s="14" t="s">
        <v>107</v>
      </c>
      <c r="AB265" s="14" t="s">
        <v>131</v>
      </c>
      <c r="AC265" s="14" t="s">
        <v>113</v>
      </c>
      <c r="AD265" s="14" t="s">
        <v>114</v>
      </c>
    </row>
    <row r="266" customFormat="false" ht="78" hidden="false" customHeight="true" outlineLevel="0" collapsed="false">
      <c r="A266" s="14" t="s">
        <v>3448</v>
      </c>
      <c r="B266" s="14" t="s">
        <v>43</v>
      </c>
      <c r="C266" s="14" t="s">
        <v>3449</v>
      </c>
      <c r="D266" s="14" t="s">
        <v>30</v>
      </c>
      <c r="E266" s="14" t="s">
        <v>3450</v>
      </c>
      <c r="F266" s="14"/>
      <c r="G266" s="14" t="s">
        <v>168</v>
      </c>
      <c r="H266" s="14" t="s">
        <v>3451</v>
      </c>
      <c r="I266" s="14" t="s">
        <v>3452</v>
      </c>
      <c r="J266" s="14" t="s">
        <v>54</v>
      </c>
      <c r="K266" s="22" t="s">
        <v>1668</v>
      </c>
      <c r="L266" s="14" t="s">
        <v>3453</v>
      </c>
      <c r="M266" s="14" t="s">
        <v>3454</v>
      </c>
      <c r="N266" s="14" t="s">
        <v>3455</v>
      </c>
      <c r="O266" s="14"/>
      <c r="P266" s="14" t="s">
        <v>3456</v>
      </c>
      <c r="Q266" s="14" t="s">
        <v>3457</v>
      </c>
      <c r="R266" s="14" t="s">
        <v>220</v>
      </c>
      <c r="S266" s="17" t="s">
        <v>107</v>
      </c>
      <c r="T266" s="20" t="s">
        <v>324</v>
      </c>
      <c r="U266" s="14" t="s">
        <v>3458</v>
      </c>
      <c r="V266" s="14" t="s">
        <v>109</v>
      </c>
      <c r="W266" s="21" t="s">
        <v>429</v>
      </c>
      <c r="X266" s="14" t="s">
        <v>3459</v>
      </c>
      <c r="Y266" s="14" t="s">
        <v>194</v>
      </c>
      <c r="Z266" s="14" t="s">
        <v>107</v>
      </c>
      <c r="AA266" s="14" t="s">
        <v>107</v>
      </c>
      <c r="AB266" s="14" t="s">
        <v>131</v>
      </c>
      <c r="AC266" s="14" t="s">
        <v>560</v>
      </c>
      <c r="AD266" s="14" t="s">
        <v>561</v>
      </c>
    </row>
    <row r="267" customFormat="false" ht="78" hidden="false" customHeight="true" outlineLevel="0" collapsed="false">
      <c r="A267" s="14" t="s">
        <v>3460</v>
      </c>
      <c r="B267" s="14" t="s">
        <v>46</v>
      </c>
      <c r="C267" s="14" t="s">
        <v>3461</v>
      </c>
      <c r="D267" s="14" t="s">
        <v>1051</v>
      </c>
      <c r="E267" s="14" t="s">
        <v>3462</v>
      </c>
      <c r="F267" s="15" t="s">
        <v>3463</v>
      </c>
      <c r="G267" s="14" t="s">
        <v>168</v>
      </c>
      <c r="H267" s="14" t="s">
        <v>3464</v>
      </c>
      <c r="I267" s="14" t="s">
        <v>3465</v>
      </c>
      <c r="J267" s="14" t="s">
        <v>57</v>
      </c>
      <c r="K267" s="22" t="s">
        <v>1668</v>
      </c>
      <c r="L267" s="14" t="s">
        <v>3466</v>
      </c>
      <c r="M267" s="14" t="s">
        <v>3467</v>
      </c>
      <c r="N267" s="14" t="s">
        <v>3468</v>
      </c>
      <c r="O267" s="14"/>
      <c r="P267" s="14" t="s">
        <v>3469</v>
      </c>
      <c r="Q267" s="14" t="s">
        <v>3470</v>
      </c>
      <c r="R267" s="14" t="s">
        <v>1093</v>
      </c>
      <c r="S267" s="17" t="s">
        <v>107</v>
      </c>
      <c r="T267" s="20" t="s">
        <v>324</v>
      </c>
      <c r="U267" s="14" t="s">
        <v>3471</v>
      </c>
      <c r="V267" s="14" t="s">
        <v>109</v>
      </c>
      <c r="W267" s="18" t="s">
        <v>110</v>
      </c>
      <c r="X267" s="14" t="s">
        <v>3472</v>
      </c>
      <c r="Y267" s="14" t="s">
        <v>194</v>
      </c>
      <c r="Z267" s="14" t="s">
        <v>107</v>
      </c>
      <c r="AA267" s="14" t="s">
        <v>107</v>
      </c>
      <c r="AB267" s="14" t="s">
        <v>147</v>
      </c>
      <c r="AC267" s="14" t="s">
        <v>113</v>
      </c>
      <c r="AD267" s="14" t="s">
        <v>114</v>
      </c>
    </row>
    <row r="268" customFormat="false" ht="78" hidden="false" customHeight="true" outlineLevel="0" collapsed="false">
      <c r="A268" s="14" t="s">
        <v>3473</v>
      </c>
      <c r="B268" s="14" t="s">
        <v>44</v>
      </c>
      <c r="C268" s="14" t="s">
        <v>3474</v>
      </c>
      <c r="D268" s="14" t="s">
        <v>1051</v>
      </c>
      <c r="E268" s="14" t="s">
        <v>3475</v>
      </c>
      <c r="F268" s="15" t="s">
        <v>3476</v>
      </c>
      <c r="G268" s="14" t="s">
        <v>3477</v>
      </c>
      <c r="H268" s="14" t="s">
        <v>3478</v>
      </c>
      <c r="I268" s="14" t="s">
        <v>3479</v>
      </c>
      <c r="J268" s="14" t="s">
        <v>99</v>
      </c>
      <c r="K268" s="22" t="s">
        <v>1668</v>
      </c>
      <c r="L268" s="14" t="s">
        <v>3480</v>
      </c>
      <c r="M268" s="14" t="s">
        <v>3481</v>
      </c>
      <c r="N268" s="14" t="s">
        <v>3482</v>
      </c>
      <c r="O268" s="14"/>
      <c r="P268" s="14" t="s">
        <v>3483</v>
      </c>
      <c r="Q268" s="14" t="s">
        <v>3484</v>
      </c>
      <c r="R268" s="14" t="s">
        <v>1078</v>
      </c>
      <c r="S268" s="17" t="s">
        <v>107</v>
      </c>
      <c r="T268" s="20" t="s">
        <v>324</v>
      </c>
      <c r="U268" s="14" t="s">
        <v>3485</v>
      </c>
      <c r="V268" s="14" t="s">
        <v>109</v>
      </c>
      <c r="W268" s="18" t="s">
        <v>110</v>
      </c>
      <c r="X268" s="14" t="s">
        <v>3486</v>
      </c>
      <c r="Y268" s="14" t="s">
        <v>194</v>
      </c>
      <c r="Z268" s="14" t="s">
        <v>107</v>
      </c>
      <c r="AA268" s="14" t="s">
        <v>107</v>
      </c>
      <c r="AB268" s="14" t="s">
        <v>112</v>
      </c>
      <c r="AC268" s="14" t="s">
        <v>113</v>
      </c>
      <c r="AD268" s="14" t="s">
        <v>114</v>
      </c>
    </row>
    <row r="269" customFormat="false" ht="78" hidden="false" customHeight="true" outlineLevel="0" collapsed="false">
      <c r="A269" s="14" t="s">
        <v>3487</v>
      </c>
      <c r="B269" s="14" t="s">
        <v>44</v>
      </c>
      <c r="C269" s="14" t="s">
        <v>3488</v>
      </c>
      <c r="D269" s="14" t="s">
        <v>1051</v>
      </c>
      <c r="E269" s="14" t="s">
        <v>3489</v>
      </c>
      <c r="F269" s="15" t="s">
        <v>3490</v>
      </c>
      <c r="G269" s="14" t="s">
        <v>3491</v>
      </c>
      <c r="H269" s="14" t="s">
        <v>3492</v>
      </c>
      <c r="I269" s="14" t="s">
        <v>3493</v>
      </c>
      <c r="J269" s="14" t="s">
        <v>1057</v>
      </c>
      <c r="K269" s="22" t="s">
        <v>1668</v>
      </c>
      <c r="L269" s="14" t="s">
        <v>3494</v>
      </c>
      <c r="M269" s="14" t="s">
        <v>3495</v>
      </c>
      <c r="N269" s="14" t="s">
        <v>3496</v>
      </c>
      <c r="O269" s="14"/>
      <c r="P269" s="14" t="s">
        <v>3497</v>
      </c>
      <c r="Q269" s="14" t="s">
        <v>3498</v>
      </c>
      <c r="R269" s="14" t="s">
        <v>1063</v>
      </c>
      <c r="S269" s="17" t="s">
        <v>107</v>
      </c>
      <c r="T269" s="17" t="s">
        <v>107</v>
      </c>
      <c r="U269" s="14" t="s">
        <v>3499</v>
      </c>
      <c r="V269" s="14" t="s">
        <v>109</v>
      </c>
      <c r="W269" s="18" t="s">
        <v>110</v>
      </c>
      <c r="X269" s="14" t="s">
        <v>3500</v>
      </c>
      <c r="Y269" s="14" t="s">
        <v>194</v>
      </c>
      <c r="Z269" s="14" t="s">
        <v>107</v>
      </c>
      <c r="AA269" s="14" t="s">
        <v>107</v>
      </c>
      <c r="AB269" s="14" t="s">
        <v>112</v>
      </c>
      <c r="AC269" s="14" t="s">
        <v>113</v>
      </c>
      <c r="AD269" s="14" t="s">
        <v>114</v>
      </c>
    </row>
    <row r="270" customFormat="false" ht="78" hidden="false" customHeight="true" outlineLevel="0" collapsed="false">
      <c r="A270" s="14" t="s">
        <v>3501</v>
      </c>
      <c r="B270" s="14" t="s">
        <v>44</v>
      </c>
      <c r="C270" s="14" t="s">
        <v>3502</v>
      </c>
      <c r="D270" s="14" t="s">
        <v>1051</v>
      </c>
      <c r="E270" s="14" t="s">
        <v>3503</v>
      </c>
      <c r="F270" s="14"/>
      <c r="G270" s="14" t="s">
        <v>285</v>
      </c>
      <c r="H270" s="14" t="s">
        <v>3504</v>
      </c>
      <c r="I270" s="14" t="s">
        <v>3505</v>
      </c>
      <c r="J270" s="14" t="s">
        <v>53</v>
      </c>
      <c r="K270" s="22" t="s">
        <v>1668</v>
      </c>
      <c r="L270" s="14" t="s">
        <v>3506</v>
      </c>
      <c r="M270" s="14" t="s">
        <v>3507</v>
      </c>
      <c r="N270" s="14" t="s">
        <v>3508</v>
      </c>
      <c r="O270" s="14"/>
      <c r="P270" s="14" t="s">
        <v>3509</v>
      </c>
      <c r="Q270" s="14" t="s">
        <v>3510</v>
      </c>
      <c r="R270" s="14" t="s">
        <v>1078</v>
      </c>
      <c r="S270" s="20" t="s">
        <v>324</v>
      </c>
      <c r="T270" s="17" t="s">
        <v>107</v>
      </c>
      <c r="U270" s="14" t="s">
        <v>3511</v>
      </c>
      <c r="V270" s="14" t="s">
        <v>109</v>
      </c>
      <c r="W270" s="18" t="s">
        <v>110</v>
      </c>
      <c r="X270" s="14" t="s">
        <v>3512</v>
      </c>
      <c r="Y270" s="14" t="s">
        <v>1668</v>
      </c>
      <c r="Z270" s="14" t="s">
        <v>107</v>
      </c>
      <c r="AA270" s="14" t="s">
        <v>107</v>
      </c>
      <c r="AB270" s="14" t="s">
        <v>112</v>
      </c>
      <c r="AC270" s="14" t="s">
        <v>113</v>
      </c>
      <c r="AD270" s="14" t="s">
        <v>114</v>
      </c>
    </row>
    <row r="271" customFormat="false" ht="78" hidden="false" customHeight="true" outlineLevel="0" collapsed="false">
      <c r="A271" s="14" t="s">
        <v>3513</v>
      </c>
      <c r="B271" s="14" t="s">
        <v>44</v>
      </c>
      <c r="C271" s="14" t="s">
        <v>3514</v>
      </c>
      <c r="D271" s="14" t="s">
        <v>1051</v>
      </c>
      <c r="E271" s="14" t="s">
        <v>3515</v>
      </c>
      <c r="F271" s="15" t="s">
        <v>3516</v>
      </c>
      <c r="G271" s="14" t="s">
        <v>1215</v>
      </c>
      <c r="H271" s="14" t="s">
        <v>3517</v>
      </c>
      <c r="I271" s="14" t="s">
        <v>3518</v>
      </c>
      <c r="J271" s="14" t="s">
        <v>53</v>
      </c>
      <c r="K271" s="22" t="s">
        <v>1668</v>
      </c>
      <c r="L271" s="14" t="s">
        <v>3519</v>
      </c>
      <c r="M271" s="14" t="s">
        <v>3520</v>
      </c>
      <c r="N271" s="14" t="s">
        <v>3521</v>
      </c>
      <c r="O271" s="14"/>
      <c r="P271" s="14" t="s">
        <v>3522</v>
      </c>
      <c r="Q271" s="14" t="s">
        <v>3523</v>
      </c>
      <c r="R271" s="14" t="s">
        <v>3524</v>
      </c>
      <c r="S271" s="20" t="s">
        <v>324</v>
      </c>
      <c r="T271" s="20" t="s">
        <v>324</v>
      </c>
      <c r="U271" s="14" t="s">
        <v>3525</v>
      </c>
      <c r="V271" s="14" t="s">
        <v>109</v>
      </c>
      <c r="W271" s="18" t="s">
        <v>110</v>
      </c>
      <c r="X271" s="14" t="s">
        <v>3526</v>
      </c>
      <c r="Y271" s="14" t="s">
        <v>1668</v>
      </c>
      <c r="Z271" s="14" t="s">
        <v>107</v>
      </c>
      <c r="AA271" s="14" t="s">
        <v>107</v>
      </c>
      <c r="AB271" s="14" t="s">
        <v>112</v>
      </c>
      <c r="AC271" s="14" t="s">
        <v>113</v>
      </c>
      <c r="AD271" s="14" t="s">
        <v>114</v>
      </c>
    </row>
    <row r="272" customFormat="false" ht="78" hidden="false" customHeight="true" outlineLevel="0" collapsed="false">
      <c r="A272" s="14" t="s">
        <v>3527</v>
      </c>
      <c r="B272" s="14" t="s">
        <v>45</v>
      </c>
      <c r="C272" s="14" t="s">
        <v>3528</v>
      </c>
      <c r="D272" s="14" t="s">
        <v>1051</v>
      </c>
      <c r="E272" s="14" t="s">
        <v>3529</v>
      </c>
      <c r="F272" s="15" t="s">
        <v>3530</v>
      </c>
      <c r="G272" s="14" t="s">
        <v>285</v>
      </c>
      <c r="H272" s="14" t="s">
        <v>3531</v>
      </c>
      <c r="I272" s="14" t="s">
        <v>3532</v>
      </c>
      <c r="J272" s="14" t="s">
        <v>53</v>
      </c>
      <c r="K272" s="22" t="s">
        <v>1668</v>
      </c>
      <c r="L272" s="14" t="s">
        <v>3533</v>
      </c>
      <c r="M272" s="14" t="s">
        <v>3534</v>
      </c>
      <c r="N272" s="14" t="s">
        <v>3535</v>
      </c>
      <c r="O272" s="14"/>
      <c r="P272" s="14" t="s">
        <v>3536</v>
      </c>
      <c r="Q272" s="14" t="s">
        <v>3537</v>
      </c>
      <c r="R272" s="14" t="s">
        <v>1063</v>
      </c>
      <c r="S272" s="17" t="s">
        <v>107</v>
      </c>
      <c r="T272" s="17" t="s">
        <v>107</v>
      </c>
      <c r="U272" s="14" t="s">
        <v>3538</v>
      </c>
      <c r="V272" s="14" t="s">
        <v>109</v>
      </c>
      <c r="W272" s="18" t="s">
        <v>110</v>
      </c>
      <c r="X272" s="14" t="s">
        <v>3539</v>
      </c>
      <c r="Y272" s="14" t="s">
        <v>194</v>
      </c>
      <c r="Z272" s="14" t="s">
        <v>107</v>
      </c>
      <c r="AA272" s="14" t="s">
        <v>107</v>
      </c>
      <c r="AB272" s="14" t="s">
        <v>921</v>
      </c>
      <c r="AC272" s="14" t="s">
        <v>113</v>
      </c>
      <c r="AD272" s="14" t="s">
        <v>114</v>
      </c>
    </row>
    <row r="273" customFormat="false" ht="78" hidden="false" customHeight="true" outlineLevel="0" collapsed="false">
      <c r="A273" s="14" t="s">
        <v>3540</v>
      </c>
      <c r="B273" s="14" t="s">
        <v>45</v>
      </c>
      <c r="C273" s="14" t="s">
        <v>3541</v>
      </c>
      <c r="D273" s="14" t="s">
        <v>1051</v>
      </c>
      <c r="E273" s="14" t="s">
        <v>3542</v>
      </c>
      <c r="F273" s="15" t="s">
        <v>3543</v>
      </c>
      <c r="G273" s="14" t="s">
        <v>285</v>
      </c>
      <c r="H273" s="14" t="s">
        <v>3544</v>
      </c>
      <c r="I273" s="14" t="s">
        <v>3545</v>
      </c>
      <c r="J273" s="14" t="s">
        <v>53</v>
      </c>
      <c r="K273" s="22" t="s">
        <v>1668</v>
      </c>
      <c r="L273" s="14" t="s">
        <v>3546</v>
      </c>
      <c r="M273" s="14" t="s">
        <v>3547</v>
      </c>
      <c r="N273" s="14" t="s">
        <v>3548</v>
      </c>
      <c r="O273" s="14"/>
      <c r="P273" s="14" t="s">
        <v>3549</v>
      </c>
      <c r="Q273" s="14" t="s">
        <v>3550</v>
      </c>
      <c r="R273" s="14" t="s">
        <v>1063</v>
      </c>
      <c r="S273" s="20" t="s">
        <v>324</v>
      </c>
      <c r="T273" s="17" t="s">
        <v>107</v>
      </c>
      <c r="U273" s="14" t="s">
        <v>3551</v>
      </c>
      <c r="V273" s="14" t="s">
        <v>109</v>
      </c>
      <c r="W273" s="18" t="s">
        <v>110</v>
      </c>
      <c r="X273" s="14" t="s">
        <v>3552</v>
      </c>
      <c r="Y273" s="14" t="s">
        <v>194</v>
      </c>
      <c r="Z273" s="14" t="s">
        <v>107</v>
      </c>
      <c r="AA273" s="14" t="s">
        <v>107</v>
      </c>
      <c r="AB273" s="14" t="s">
        <v>921</v>
      </c>
      <c r="AC273" s="14" t="s">
        <v>113</v>
      </c>
      <c r="AD273" s="14" t="s">
        <v>114</v>
      </c>
    </row>
    <row r="274" customFormat="false" ht="78" hidden="false" customHeight="true" outlineLevel="0" collapsed="false">
      <c r="A274" s="14" t="s">
        <v>3553</v>
      </c>
      <c r="B274" s="14" t="s">
        <v>45</v>
      </c>
      <c r="C274" s="14" t="s">
        <v>1163</v>
      </c>
      <c r="D274" s="14" t="s">
        <v>1051</v>
      </c>
      <c r="E274" s="14" t="s">
        <v>3554</v>
      </c>
      <c r="F274" s="15" t="s">
        <v>3555</v>
      </c>
      <c r="G274" s="14" t="s">
        <v>3556</v>
      </c>
      <c r="H274" s="14" t="s">
        <v>3557</v>
      </c>
      <c r="I274" s="14" t="s">
        <v>3558</v>
      </c>
      <c r="J274" s="14" t="s">
        <v>505</v>
      </c>
      <c r="K274" s="22" t="s">
        <v>1668</v>
      </c>
      <c r="L274" s="14" t="s">
        <v>3559</v>
      </c>
      <c r="M274" s="14" t="s">
        <v>3560</v>
      </c>
      <c r="N274" s="14" t="s">
        <v>3561</v>
      </c>
      <c r="O274" s="14"/>
      <c r="P274" s="14" t="s">
        <v>3562</v>
      </c>
      <c r="Q274" s="14" t="s">
        <v>3563</v>
      </c>
      <c r="R274" s="14" t="s">
        <v>1078</v>
      </c>
      <c r="S274" s="17" t="s">
        <v>107</v>
      </c>
      <c r="T274" s="20" t="s">
        <v>324</v>
      </c>
      <c r="U274" s="14" t="s">
        <v>3564</v>
      </c>
      <c r="V274" s="14" t="s">
        <v>109</v>
      </c>
      <c r="W274" s="18" t="s">
        <v>110</v>
      </c>
      <c r="X274" s="14" t="s">
        <v>3565</v>
      </c>
      <c r="Y274" s="14" t="s">
        <v>194</v>
      </c>
      <c r="Z274" s="14" t="s">
        <v>107</v>
      </c>
      <c r="AA274" s="14" t="s">
        <v>107</v>
      </c>
      <c r="AB274" s="14" t="s">
        <v>921</v>
      </c>
      <c r="AC274" s="14" t="s">
        <v>113</v>
      </c>
      <c r="AD274" s="14" t="s">
        <v>114</v>
      </c>
    </row>
    <row r="275" customFormat="false" ht="78" hidden="false" customHeight="true" outlineLevel="0" collapsed="false">
      <c r="A275" s="14" t="s">
        <v>3566</v>
      </c>
      <c r="B275" s="14" t="s">
        <v>47</v>
      </c>
      <c r="C275" s="14" t="s">
        <v>3567</v>
      </c>
      <c r="D275" s="14" t="s">
        <v>1051</v>
      </c>
      <c r="E275" s="14" t="s">
        <v>3568</v>
      </c>
      <c r="F275" s="15" t="s">
        <v>3555</v>
      </c>
      <c r="G275" s="14" t="s">
        <v>3556</v>
      </c>
      <c r="H275" s="14" t="s">
        <v>3569</v>
      </c>
      <c r="I275" s="14" t="s">
        <v>3570</v>
      </c>
      <c r="J275" s="14" t="s">
        <v>52</v>
      </c>
      <c r="K275" s="22" t="s">
        <v>1668</v>
      </c>
      <c r="L275" s="14" t="s">
        <v>3571</v>
      </c>
      <c r="M275" s="14" t="s">
        <v>3572</v>
      </c>
      <c r="N275" s="14" t="s">
        <v>3573</v>
      </c>
      <c r="O275" s="14"/>
      <c r="P275" s="14" t="s">
        <v>3574</v>
      </c>
      <c r="Q275" s="14" t="s">
        <v>3575</v>
      </c>
      <c r="R275" s="14" t="s">
        <v>3576</v>
      </c>
      <c r="S275" s="20" t="s">
        <v>324</v>
      </c>
      <c r="T275" s="17" t="s">
        <v>107</v>
      </c>
      <c r="U275" s="14" t="s">
        <v>3577</v>
      </c>
      <c r="V275" s="14" t="s">
        <v>109</v>
      </c>
      <c r="W275" s="18" t="s">
        <v>110</v>
      </c>
      <c r="X275" s="14" t="s">
        <v>3578</v>
      </c>
      <c r="Y275" s="14" t="s">
        <v>1668</v>
      </c>
      <c r="Z275" s="14" t="s">
        <v>107</v>
      </c>
      <c r="AA275" s="14" t="s">
        <v>107</v>
      </c>
      <c r="AB275" s="14" t="s">
        <v>2204</v>
      </c>
      <c r="AC275" s="14" t="s">
        <v>113</v>
      </c>
      <c r="AD275" s="14" t="s">
        <v>114</v>
      </c>
    </row>
    <row r="276" customFormat="false" ht="78" hidden="false" customHeight="true" outlineLevel="0" collapsed="false">
      <c r="A276" s="14" t="s">
        <v>3579</v>
      </c>
      <c r="B276" s="14" t="s">
        <v>48</v>
      </c>
      <c r="C276" s="14" t="s">
        <v>3580</v>
      </c>
      <c r="D276" s="14" t="s">
        <v>1051</v>
      </c>
      <c r="E276" s="14" t="s">
        <v>3581</v>
      </c>
      <c r="F276" s="15" t="s">
        <v>3582</v>
      </c>
      <c r="G276" s="14" t="s">
        <v>168</v>
      </c>
      <c r="H276" s="14" t="s">
        <v>3583</v>
      </c>
      <c r="I276" s="14" t="s">
        <v>3584</v>
      </c>
      <c r="J276" s="14" t="s">
        <v>54</v>
      </c>
      <c r="K276" s="22" t="s">
        <v>1668</v>
      </c>
      <c r="L276" s="14" t="s">
        <v>3585</v>
      </c>
      <c r="M276" s="14" t="s">
        <v>3586</v>
      </c>
      <c r="N276" s="14" t="s">
        <v>3587</v>
      </c>
      <c r="O276" s="14"/>
      <c r="P276" s="14" t="s">
        <v>3588</v>
      </c>
      <c r="Q276" s="14" t="s">
        <v>3589</v>
      </c>
      <c r="R276" s="14" t="s">
        <v>1078</v>
      </c>
      <c r="S276" s="17" t="s">
        <v>107</v>
      </c>
      <c r="T276" s="20" t="s">
        <v>324</v>
      </c>
      <c r="U276" s="14" t="s">
        <v>3590</v>
      </c>
      <c r="V276" s="14" t="s">
        <v>109</v>
      </c>
      <c r="W276" s="18" t="s">
        <v>110</v>
      </c>
      <c r="X276" s="14" t="s">
        <v>3591</v>
      </c>
      <c r="Y276" s="14" t="s">
        <v>194</v>
      </c>
      <c r="Z276" s="14" t="s">
        <v>107</v>
      </c>
      <c r="AA276" s="14" t="s">
        <v>107</v>
      </c>
      <c r="AB276" s="14" t="s">
        <v>559</v>
      </c>
      <c r="AC276" s="14" t="s">
        <v>560</v>
      </c>
      <c r="AD276" s="14" t="s">
        <v>561</v>
      </c>
    </row>
    <row r="277" customFormat="false" ht="78" hidden="false" customHeight="true" outlineLevel="0" collapsed="false">
      <c r="A277" s="14" t="s">
        <v>3592</v>
      </c>
      <c r="B277" s="14" t="s">
        <v>43</v>
      </c>
      <c r="C277" s="14" t="s">
        <v>3593</v>
      </c>
      <c r="D277" s="14" t="s">
        <v>1051</v>
      </c>
      <c r="E277" s="14" t="s">
        <v>3594</v>
      </c>
      <c r="F277" s="15" t="s">
        <v>1069</v>
      </c>
      <c r="G277" s="14" t="s">
        <v>1070</v>
      </c>
      <c r="H277" s="14" t="s">
        <v>3595</v>
      </c>
      <c r="I277" s="14" t="s">
        <v>3596</v>
      </c>
      <c r="J277" s="14" t="s">
        <v>50</v>
      </c>
      <c r="K277" s="22" t="s">
        <v>1668</v>
      </c>
      <c r="L277" s="14" t="s">
        <v>3597</v>
      </c>
      <c r="M277" s="14" t="s">
        <v>3598</v>
      </c>
      <c r="N277" s="14" t="s">
        <v>3599</v>
      </c>
      <c r="O277" s="14"/>
      <c r="P277" s="14" t="s">
        <v>3600</v>
      </c>
      <c r="Q277" s="14" t="s">
        <v>3601</v>
      </c>
      <c r="R277" s="14" t="s">
        <v>1078</v>
      </c>
      <c r="S277" s="17" t="s">
        <v>107</v>
      </c>
      <c r="T277" s="20" t="s">
        <v>324</v>
      </c>
      <c r="U277" s="14" t="s">
        <v>3602</v>
      </c>
      <c r="V277" s="14" t="s">
        <v>109</v>
      </c>
      <c r="W277" s="18" t="s">
        <v>110</v>
      </c>
      <c r="X277" s="14" t="s">
        <v>3603</v>
      </c>
      <c r="Y277" s="14" t="s">
        <v>194</v>
      </c>
      <c r="Z277" s="14" t="s">
        <v>107</v>
      </c>
      <c r="AA277" s="14" t="s">
        <v>107</v>
      </c>
      <c r="AB277" s="14" t="s">
        <v>131</v>
      </c>
      <c r="AC277" s="14" t="s">
        <v>113</v>
      </c>
      <c r="AD277" s="14" t="s">
        <v>114</v>
      </c>
    </row>
    <row r="278" customFormat="false" ht="78" hidden="false" customHeight="true" outlineLevel="0" collapsed="false">
      <c r="A278" s="14" t="s">
        <v>3604</v>
      </c>
      <c r="B278" s="14" t="s">
        <v>43</v>
      </c>
      <c r="C278" s="14" t="s">
        <v>3605</v>
      </c>
      <c r="D278" s="14" t="s">
        <v>1051</v>
      </c>
      <c r="E278" s="14" t="s">
        <v>3606</v>
      </c>
      <c r="F278" s="15" t="s">
        <v>3516</v>
      </c>
      <c r="G278" s="14" t="s">
        <v>1215</v>
      </c>
      <c r="H278" s="14" t="s">
        <v>3607</v>
      </c>
      <c r="I278" s="14" t="s">
        <v>3608</v>
      </c>
      <c r="J278" s="14" t="s">
        <v>51</v>
      </c>
      <c r="K278" s="22" t="s">
        <v>1668</v>
      </c>
      <c r="L278" s="14" t="s">
        <v>3609</v>
      </c>
      <c r="M278" s="14" t="s">
        <v>3610</v>
      </c>
      <c r="N278" s="14" t="s">
        <v>3611</v>
      </c>
      <c r="O278" s="14"/>
      <c r="P278" s="14" t="s">
        <v>3612</v>
      </c>
      <c r="Q278" s="14" t="s">
        <v>3613</v>
      </c>
      <c r="R278" s="14" t="s">
        <v>1078</v>
      </c>
      <c r="S278" s="17" t="s">
        <v>107</v>
      </c>
      <c r="T278" s="20" t="s">
        <v>324</v>
      </c>
      <c r="U278" s="14" t="s">
        <v>3614</v>
      </c>
      <c r="V278" s="14" t="s">
        <v>109</v>
      </c>
      <c r="W278" s="18" t="s">
        <v>110</v>
      </c>
      <c r="X278" s="14" t="s">
        <v>3615</v>
      </c>
      <c r="Y278" s="14" t="s">
        <v>194</v>
      </c>
      <c r="Z278" s="14" t="s">
        <v>107</v>
      </c>
      <c r="AA278" s="14" t="s">
        <v>107</v>
      </c>
      <c r="AB278" s="14" t="s">
        <v>131</v>
      </c>
      <c r="AC278" s="14" t="s">
        <v>113</v>
      </c>
      <c r="AD278" s="14" t="s">
        <v>114</v>
      </c>
    </row>
    <row r="279" customFormat="false" ht="78" hidden="false" customHeight="true" outlineLevel="0" collapsed="false">
      <c r="A279" s="14" t="s">
        <v>3616</v>
      </c>
      <c r="B279" s="14" t="s">
        <v>43</v>
      </c>
      <c r="C279" s="14" t="s">
        <v>3617</v>
      </c>
      <c r="D279" s="14" t="s">
        <v>1051</v>
      </c>
      <c r="E279" s="14" t="s">
        <v>3475</v>
      </c>
      <c r="F279" s="15" t="s">
        <v>3476</v>
      </c>
      <c r="G279" s="14" t="s">
        <v>3477</v>
      </c>
      <c r="H279" s="14" t="s">
        <v>3618</v>
      </c>
      <c r="I279" s="14" t="s">
        <v>3619</v>
      </c>
      <c r="J279" s="14" t="s">
        <v>50</v>
      </c>
      <c r="K279" s="22" t="s">
        <v>1668</v>
      </c>
      <c r="L279" s="14" t="s">
        <v>3620</v>
      </c>
      <c r="M279" s="14" t="s">
        <v>3621</v>
      </c>
      <c r="N279" s="14" t="s">
        <v>3622</v>
      </c>
      <c r="O279" s="14"/>
      <c r="P279" s="14" t="s">
        <v>3623</v>
      </c>
      <c r="Q279" s="14" t="s">
        <v>3624</v>
      </c>
      <c r="R279" s="14" t="s">
        <v>1078</v>
      </c>
      <c r="S279" s="20" t="s">
        <v>324</v>
      </c>
      <c r="T279" s="17" t="s">
        <v>107</v>
      </c>
      <c r="U279" s="14" t="s">
        <v>3625</v>
      </c>
      <c r="V279" s="14" t="s">
        <v>109</v>
      </c>
      <c r="W279" s="18" t="s">
        <v>110</v>
      </c>
      <c r="X279" s="14" t="s">
        <v>3626</v>
      </c>
      <c r="Y279" s="14" t="s">
        <v>1668</v>
      </c>
      <c r="Z279" s="14" t="s">
        <v>107</v>
      </c>
      <c r="AA279" s="14" t="s">
        <v>107</v>
      </c>
      <c r="AB279" s="14" t="s">
        <v>131</v>
      </c>
      <c r="AC279" s="14" t="s">
        <v>113</v>
      </c>
      <c r="AD279" s="14" t="s">
        <v>114</v>
      </c>
    </row>
    <row r="280" customFormat="false" ht="78" hidden="false" customHeight="true" outlineLevel="0" collapsed="false">
      <c r="A280" s="14" t="s">
        <v>3627</v>
      </c>
      <c r="B280" s="14" t="s">
        <v>43</v>
      </c>
      <c r="C280" s="14" t="s">
        <v>3628</v>
      </c>
      <c r="D280" s="14" t="s">
        <v>1051</v>
      </c>
      <c r="E280" s="14" t="s">
        <v>3629</v>
      </c>
      <c r="F280" s="15" t="s">
        <v>3630</v>
      </c>
      <c r="G280" s="14" t="s">
        <v>168</v>
      </c>
      <c r="H280" s="14" t="s">
        <v>3631</v>
      </c>
      <c r="I280" s="14" t="s">
        <v>3632</v>
      </c>
      <c r="J280" s="14" t="s">
        <v>51</v>
      </c>
      <c r="K280" s="22" t="s">
        <v>1668</v>
      </c>
      <c r="L280" s="14" t="s">
        <v>3633</v>
      </c>
      <c r="M280" s="14" t="s">
        <v>3634</v>
      </c>
      <c r="N280" s="14" t="s">
        <v>3635</v>
      </c>
      <c r="O280" s="14"/>
      <c r="P280" s="14" t="s">
        <v>3636</v>
      </c>
      <c r="Q280" s="14" t="s">
        <v>3637</v>
      </c>
      <c r="R280" s="14" t="s">
        <v>1078</v>
      </c>
      <c r="S280" s="17" t="s">
        <v>107</v>
      </c>
      <c r="T280" s="17" t="s">
        <v>107</v>
      </c>
      <c r="U280" s="14" t="s">
        <v>3638</v>
      </c>
      <c r="V280" s="14" t="s">
        <v>109</v>
      </c>
      <c r="W280" s="18" t="s">
        <v>110</v>
      </c>
      <c r="X280" s="14" t="s">
        <v>3639</v>
      </c>
      <c r="Y280" s="14" t="s">
        <v>194</v>
      </c>
      <c r="Z280" s="14" t="s">
        <v>107</v>
      </c>
      <c r="AA280" s="14" t="s">
        <v>107</v>
      </c>
      <c r="AB280" s="14" t="s">
        <v>131</v>
      </c>
      <c r="AC280" s="14" t="s">
        <v>113</v>
      </c>
      <c r="AD280" s="14" t="s">
        <v>114</v>
      </c>
    </row>
    <row r="281" customFormat="false" ht="78" hidden="false" customHeight="true" outlineLevel="0" collapsed="false">
      <c r="A281" s="14" t="s">
        <v>3640</v>
      </c>
      <c r="B281" s="14" t="s">
        <v>43</v>
      </c>
      <c r="C281" s="14" t="s">
        <v>3641</v>
      </c>
      <c r="D281" s="14" t="s">
        <v>1051</v>
      </c>
      <c r="E281" s="14" t="s">
        <v>3642</v>
      </c>
      <c r="F281" s="15" t="s">
        <v>1053</v>
      </c>
      <c r="G281" s="14" t="s">
        <v>3643</v>
      </c>
      <c r="H281" s="14" t="s">
        <v>3644</v>
      </c>
      <c r="I281" s="14" t="s">
        <v>3645</v>
      </c>
      <c r="J281" s="14" t="s">
        <v>51</v>
      </c>
      <c r="K281" s="22" t="s">
        <v>1668</v>
      </c>
      <c r="L281" s="14" t="s">
        <v>3646</v>
      </c>
      <c r="M281" s="14" t="s">
        <v>3647</v>
      </c>
      <c r="N281" s="14" t="s">
        <v>3648</v>
      </c>
      <c r="O281" s="14"/>
      <c r="P281" s="14" t="s">
        <v>3649</v>
      </c>
      <c r="Q281" s="14" t="s">
        <v>3650</v>
      </c>
      <c r="R281" s="14" t="s">
        <v>1078</v>
      </c>
      <c r="S281" s="20" t="s">
        <v>324</v>
      </c>
      <c r="T281" s="20" t="s">
        <v>324</v>
      </c>
      <c r="U281" s="14" t="s">
        <v>3651</v>
      </c>
      <c r="V281" s="14" t="s">
        <v>109</v>
      </c>
      <c r="W281" s="18" t="s">
        <v>110</v>
      </c>
      <c r="X281" s="14" t="s">
        <v>3652</v>
      </c>
      <c r="Y281" s="14" t="s">
        <v>1668</v>
      </c>
      <c r="Z281" s="14" t="s">
        <v>107</v>
      </c>
      <c r="AA281" s="14" t="s">
        <v>107</v>
      </c>
      <c r="AB281" s="14" t="s">
        <v>131</v>
      </c>
      <c r="AC281" s="14" t="s">
        <v>113</v>
      </c>
      <c r="AD281" s="14" t="s">
        <v>114</v>
      </c>
    </row>
    <row r="282" customFormat="false" ht="78" hidden="false" customHeight="true" outlineLevel="0" collapsed="false">
      <c r="A282" s="14" t="s">
        <v>3653</v>
      </c>
      <c r="B282" s="14" t="s">
        <v>46</v>
      </c>
      <c r="C282" s="14" t="s">
        <v>3654</v>
      </c>
      <c r="D282" s="14" t="s">
        <v>1083</v>
      </c>
      <c r="E282" s="14" t="s">
        <v>3655</v>
      </c>
      <c r="F282" s="15" t="s">
        <v>3656</v>
      </c>
      <c r="G282" s="14" t="s">
        <v>1137</v>
      </c>
      <c r="H282" s="14" t="s">
        <v>3657</v>
      </c>
      <c r="I282" s="14" t="s">
        <v>3658</v>
      </c>
      <c r="J282" s="14" t="s">
        <v>57</v>
      </c>
      <c r="K282" s="22" t="s">
        <v>1668</v>
      </c>
      <c r="L282" s="14" t="s">
        <v>3659</v>
      </c>
      <c r="M282" s="14" t="s">
        <v>3660</v>
      </c>
      <c r="N282" s="14" t="s">
        <v>3661</v>
      </c>
      <c r="O282" s="14"/>
      <c r="P282" s="14" t="s">
        <v>3662</v>
      </c>
      <c r="Q282" s="14" t="s">
        <v>3663</v>
      </c>
      <c r="R282" s="14" t="s">
        <v>1093</v>
      </c>
      <c r="S282" s="17" t="s">
        <v>107</v>
      </c>
      <c r="T282" s="17" t="s">
        <v>107</v>
      </c>
      <c r="U282" s="14" t="s">
        <v>3664</v>
      </c>
      <c r="V282" s="14" t="s">
        <v>109</v>
      </c>
      <c r="W282" s="18" t="s">
        <v>110</v>
      </c>
      <c r="X282" s="14" t="s">
        <v>3665</v>
      </c>
      <c r="Y282" s="14" t="s">
        <v>194</v>
      </c>
      <c r="Z282" s="14" t="s">
        <v>107</v>
      </c>
      <c r="AA282" s="14" t="s">
        <v>107</v>
      </c>
      <c r="AB282" s="14" t="s">
        <v>147</v>
      </c>
      <c r="AC282" s="14" t="s">
        <v>113</v>
      </c>
      <c r="AD282" s="14" t="s">
        <v>114</v>
      </c>
    </row>
    <row r="283" customFormat="false" ht="78" hidden="false" customHeight="true" outlineLevel="0" collapsed="false">
      <c r="A283" s="14" t="s">
        <v>3666</v>
      </c>
      <c r="B283" s="14" t="s">
        <v>44</v>
      </c>
      <c r="C283" s="14" t="s">
        <v>3667</v>
      </c>
      <c r="D283" s="14" t="s">
        <v>1083</v>
      </c>
      <c r="E283" s="14" t="s">
        <v>2269</v>
      </c>
      <c r="F283" s="15" t="s">
        <v>1111</v>
      </c>
      <c r="G283" s="14" t="s">
        <v>3668</v>
      </c>
      <c r="H283" s="14" t="s">
        <v>3669</v>
      </c>
      <c r="I283" s="14" t="s">
        <v>3670</v>
      </c>
      <c r="J283" s="14" t="s">
        <v>202</v>
      </c>
      <c r="K283" s="22" t="s">
        <v>1668</v>
      </c>
      <c r="L283" s="14" t="s">
        <v>3671</v>
      </c>
      <c r="M283" s="14" t="s">
        <v>3672</v>
      </c>
      <c r="N283" s="14" t="s">
        <v>3673</v>
      </c>
      <c r="O283" s="14"/>
      <c r="P283" s="14" t="s">
        <v>3674</v>
      </c>
      <c r="Q283" s="14" t="s">
        <v>3675</v>
      </c>
      <c r="R283" s="14" t="s">
        <v>1105</v>
      </c>
      <c r="S283" s="17" t="s">
        <v>107</v>
      </c>
      <c r="T283" s="17" t="s">
        <v>107</v>
      </c>
      <c r="U283" s="14" t="s">
        <v>3676</v>
      </c>
      <c r="V283" s="14" t="s">
        <v>109</v>
      </c>
      <c r="W283" s="21" t="s">
        <v>429</v>
      </c>
      <c r="X283" s="14" t="s">
        <v>3677</v>
      </c>
      <c r="Y283" s="14" t="s">
        <v>194</v>
      </c>
      <c r="Z283" s="14" t="s">
        <v>946</v>
      </c>
      <c r="AA283" s="14" t="s">
        <v>107</v>
      </c>
      <c r="AB283" s="14" t="s">
        <v>112</v>
      </c>
      <c r="AC283" s="14" t="s">
        <v>113</v>
      </c>
      <c r="AD283" s="14" t="s">
        <v>114</v>
      </c>
    </row>
    <row r="284" customFormat="false" ht="78" hidden="false" customHeight="true" outlineLevel="0" collapsed="false">
      <c r="A284" s="14" t="s">
        <v>3678</v>
      </c>
      <c r="B284" s="14" t="s">
        <v>44</v>
      </c>
      <c r="C284" s="14" t="s">
        <v>3679</v>
      </c>
      <c r="D284" s="14" t="s">
        <v>1083</v>
      </c>
      <c r="E284" s="14" t="s">
        <v>3680</v>
      </c>
      <c r="F284" s="14"/>
      <c r="G284" s="14" t="s">
        <v>285</v>
      </c>
      <c r="H284" s="14" t="s">
        <v>3681</v>
      </c>
      <c r="I284" s="14" t="s">
        <v>3682</v>
      </c>
      <c r="J284" s="14" t="s">
        <v>53</v>
      </c>
      <c r="K284" s="22" t="s">
        <v>1668</v>
      </c>
      <c r="L284" s="14" t="s">
        <v>3683</v>
      </c>
      <c r="M284" s="14" t="s">
        <v>3684</v>
      </c>
      <c r="N284" s="14" t="s">
        <v>3685</v>
      </c>
      <c r="O284" s="14"/>
      <c r="P284" s="14" t="s">
        <v>3686</v>
      </c>
      <c r="Q284" s="14" t="s">
        <v>3687</v>
      </c>
      <c r="R284" s="14" t="s">
        <v>1063</v>
      </c>
      <c r="S284" s="17" t="s">
        <v>107</v>
      </c>
      <c r="T284" s="17" t="s">
        <v>107</v>
      </c>
      <c r="U284" s="14" t="s">
        <v>3688</v>
      </c>
      <c r="V284" s="14" t="s">
        <v>109</v>
      </c>
      <c r="W284" s="21" t="s">
        <v>429</v>
      </c>
      <c r="X284" s="14" t="s">
        <v>3689</v>
      </c>
      <c r="Y284" s="14" t="s">
        <v>194</v>
      </c>
      <c r="Z284" s="14" t="s">
        <v>946</v>
      </c>
      <c r="AA284" s="14" t="s">
        <v>107</v>
      </c>
      <c r="AB284" s="14" t="s">
        <v>112</v>
      </c>
      <c r="AC284" s="14" t="s">
        <v>113</v>
      </c>
      <c r="AD284" s="14" t="s">
        <v>114</v>
      </c>
    </row>
    <row r="285" customFormat="false" ht="78" hidden="false" customHeight="true" outlineLevel="0" collapsed="false">
      <c r="A285" s="14" t="s">
        <v>3690</v>
      </c>
      <c r="B285" s="14" t="s">
        <v>44</v>
      </c>
      <c r="C285" s="14" t="s">
        <v>3691</v>
      </c>
      <c r="D285" s="14" t="s">
        <v>1083</v>
      </c>
      <c r="E285" s="14" t="s">
        <v>3692</v>
      </c>
      <c r="F285" s="15" t="s">
        <v>1599</v>
      </c>
      <c r="G285" s="14" t="s">
        <v>533</v>
      </c>
      <c r="H285" s="14" t="s">
        <v>3693</v>
      </c>
      <c r="I285" s="14" t="s">
        <v>3694</v>
      </c>
      <c r="J285" s="14" t="s">
        <v>53</v>
      </c>
      <c r="K285" s="22" t="s">
        <v>1668</v>
      </c>
      <c r="L285" s="14" t="s">
        <v>3695</v>
      </c>
      <c r="M285" s="14" t="s">
        <v>3696</v>
      </c>
      <c r="N285" s="14" t="s">
        <v>3697</v>
      </c>
      <c r="O285" s="14"/>
      <c r="P285" s="14" t="s">
        <v>3698</v>
      </c>
      <c r="Q285" s="14" t="s">
        <v>3699</v>
      </c>
      <c r="R285" s="14" t="s">
        <v>1063</v>
      </c>
      <c r="S285" s="20" t="s">
        <v>324</v>
      </c>
      <c r="T285" s="17" t="s">
        <v>107</v>
      </c>
      <c r="U285" s="14" t="s">
        <v>3700</v>
      </c>
      <c r="V285" s="14" t="s">
        <v>109</v>
      </c>
      <c r="W285" s="18" t="s">
        <v>110</v>
      </c>
      <c r="X285" s="14" t="s">
        <v>3701</v>
      </c>
      <c r="Y285" s="14" t="s">
        <v>1668</v>
      </c>
      <c r="Z285" s="14" t="s">
        <v>107</v>
      </c>
      <c r="AA285" s="14" t="s">
        <v>107</v>
      </c>
      <c r="AB285" s="14" t="s">
        <v>112</v>
      </c>
      <c r="AC285" s="14" t="s">
        <v>1314</v>
      </c>
      <c r="AD285" s="14" t="s">
        <v>1315</v>
      </c>
    </row>
    <row r="286" customFormat="false" ht="78" hidden="false" customHeight="true" outlineLevel="0" collapsed="false">
      <c r="A286" s="14" t="s">
        <v>3702</v>
      </c>
      <c r="B286" s="14" t="s">
        <v>44</v>
      </c>
      <c r="C286" s="14" t="s">
        <v>3703</v>
      </c>
      <c r="D286" s="14" t="s">
        <v>1083</v>
      </c>
      <c r="E286" s="14" t="s">
        <v>3704</v>
      </c>
      <c r="F286" s="15" t="s">
        <v>1151</v>
      </c>
      <c r="G286" s="14" t="s">
        <v>3705</v>
      </c>
      <c r="H286" s="14" t="s">
        <v>3706</v>
      </c>
      <c r="I286" s="14" t="s">
        <v>3707</v>
      </c>
      <c r="J286" s="14" t="s">
        <v>202</v>
      </c>
      <c r="K286" s="22" t="s">
        <v>1668</v>
      </c>
      <c r="L286" s="14" t="s">
        <v>3708</v>
      </c>
      <c r="M286" s="14" t="s">
        <v>3709</v>
      </c>
      <c r="N286" s="14" t="s">
        <v>3710</v>
      </c>
      <c r="O286" s="14"/>
      <c r="P286" s="14" t="s">
        <v>3711</v>
      </c>
      <c r="Q286" s="14" t="s">
        <v>3712</v>
      </c>
      <c r="R286" s="14" t="s">
        <v>1063</v>
      </c>
      <c r="S286" s="20" t="s">
        <v>324</v>
      </c>
      <c r="T286" s="17" t="s">
        <v>107</v>
      </c>
      <c r="U286" s="14" t="s">
        <v>3713</v>
      </c>
      <c r="V286" s="14" t="s">
        <v>109</v>
      </c>
      <c r="W286" s="18" t="s">
        <v>110</v>
      </c>
      <c r="X286" s="14" t="s">
        <v>3714</v>
      </c>
      <c r="Y286" s="14" t="s">
        <v>1668</v>
      </c>
      <c r="Z286" s="14" t="s">
        <v>946</v>
      </c>
      <c r="AA286" s="14" t="s">
        <v>107</v>
      </c>
      <c r="AB286" s="14" t="s">
        <v>112</v>
      </c>
      <c r="AC286" s="14" t="s">
        <v>113</v>
      </c>
      <c r="AD286" s="14" t="s">
        <v>114</v>
      </c>
    </row>
    <row r="287" customFormat="false" ht="78" hidden="false" customHeight="true" outlineLevel="0" collapsed="false">
      <c r="A287" s="14" t="s">
        <v>3715</v>
      </c>
      <c r="B287" s="14" t="s">
        <v>45</v>
      </c>
      <c r="C287" s="14" t="s">
        <v>3716</v>
      </c>
      <c r="D287" s="14" t="s">
        <v>1083</v>
      </c>
      <c r="E287" s="14" t="s">
        <v>1084</v>
      </c>
      <c r="F287" s="15" t="s">
        <v>1085</v>
      </c>
      <c r="G287" s="14" t="s">
        <v>285</v>
      </c>
      <c r="H287" s="14" t="s">
        <v>3717</v>
      </c>
      <c r="I287" s="14" t="s">
        <v>3718</v>
      </c>
      <c r="J287" s="14" t="s">
        <v>56</v>
      </c>
      <c r="K287" s="22" t="s">
        <v>1668</v>
      </c>
      <c r="L287" s="14" t="s">
        <v>3719</v>
      </c>
      <c r="M287" s="14" t="s">
        <v>3720</v>
      </c>
      <c r="N287" s="14" t="s">
        <v>3721</v>
      </c>
      <c r="O287" s="14"/>
      <c r="P287" s="14" t="s">
        <v>3722</v>
      </c>
      <c r="Q287" s="14" t="s">
        <v>3723</v>
      </c>
      <c r="R287" s="14" t="s">
        <v>1063</v>
      </c>
      <c r="S287" s="17" t="s">
        <v>107</v>
      </c>
      <c r="T287" s="17" t="s">
        <v>107</v>
      </c>
      <c r="U287" s="14" t="s">
        <v>3724</v>
      </c>
      <c r="V287" s="14" t="s">
        <v>109</v>
      </c>
      <c r="W287" s="18" t="s">
        <v>110</v>
      </c>
      <c r="X287" s="14" t="s">
        <v>3725</v>
      </c>
      <c r="Y287" s="14" t="s">
        <v>194</v>
      </c>
      <c r="Z287" s="14" t="s">
        <v>107</v>
      </c>
      <c r="AA287" s="14" t="s">
        <v>107</v>
      </c>
      <c r="AB287" s="14" t="s">
        <v>921</v>
      </c>
      <c r="AC287" s="14" t="s">
        <v>113</v>
      </c>
      <c r="AD287" s="14" t="s">
        <v>114</v>
      </c>
    </row>
    <row r="288" customFormat="false" ht="78" hidden="false" customHeight="true" outlineLevel="0" collapsed="false">
      <c r="A288" s="14" t="s">
        <v>3726</v>
      </c>
      <c r="B288" s="14" t="s">
        <v>45</v>
      </c>
      <c r="C288" s="14" t="s">
        <v>3727</v>
      </c>
      <c r="D288" s="14" t="s">
        <v>1083</v>
      </c>
      <c r="E288" s="14" t="s">
        <v>3728</v>
      </c>
      <c r="F288" s="15" t="s">
        <v>3729</v>
      </c>
      <c r="G288" s="14" t="s">
        <v>285</v>
      </c>
      <c r="H288" s="14" t="s">
        <v>3730</v>
      </c>
      <c r="I288" s="14" t="s">
        <v>3731</v>
      </c>
      <c r="J288" s="14" t="s">
        <v>53</v>
      </c>
      <c r="K288" s="22" t="s">
        <v>1668</v>
      </c>
      <c r="L288" s="14" t="s">
        <v>3732</v>
      </c>
      <c r="M288" s="14" t="s">
        <v>3733</v>
      </c>
      <c r="N288" s="14" t="s">
        <v>3734</v>
      </c>
      <c r="O288" s="14"/>
      <c r="P288" s="14" t="s">
        <v>3735</v>
      </c>
      <c r="Q288" s="14" t="s">
        <v>3736</v>
      </c>
      <c r="R288" s="14" t="s">
        <v>1063</v>
      </c>
      <c r="S288" s="20" t="s">
        <v>324</v>
      </c>
      <c r="T288" s="17" t="s">
        <v>107</v>
      </c>
      <c r="U288" s="14" t="s">
        <v>3737</v>
      </c>
      <c r="V288" s="14" t="s">
        <v>109</v>
      </c>
      <c r="W288" s="18" t="s">
        <v>110</v>
      </c>
      <c r="X288" s="14" t="s">
        <v>3738</v>
      </c>
      <c r="Y288" s="14" t="s">
        <v>1668</v>
      </c>
      <c r="Z288" s="14" t="s">
        <v>107</v>
      </c>
      <c r="AA288" s="14" t="s">
        <v>107</v>
      </c>
      <c r="AB288" s="14" t="s">
        <v>921</v>
      </c>
      <c r="AC288" s="14" t="s">
        <v>113</v>
      </c>
      <c r="AD288" s="14" t="s">
        <v>114</v>
      </c>
    </row>
    <row r="289" customFormat="false" ht="78" hidden="false" customHeight="true" outlineLevel="0" collapsed="false">
      <c r="A289" s="14" t="s">
        <v>3739</v>
      </c>
      <c r="B289" s="14" t="s">
        <v>45</v>
      </c>
      <c r="C289" s="14" t="s">
        <v>3740</v>
      </c>
      <c r="D289" s="14" t="s">
        <v>1083</v>
      </c>
      <c r="E289" s="14" t="s">
        <v>3741</v>
      </c>
      <c r="F289" s="15" t="s">
        <v>1136</v>
      </c>
      <c r="G289" s="14" t="s">
        <v>1137</v>
      </c>
      <c r="H289" s="14" t="s">
        <v>3742</v>
      </c>
      <c r="I289" s="14" t="s">
        <v>3743</v>
      </c>
      <c r="J289" s="14" t="s">
        <v>505</v>
      </c>
      <c r="K289" s="22" t="s">
        <v>1668</v>
      </c>
      <c r="L289" s="14" t="s">
        <v>3744</v>
      </c>
      <c r="M289" s="14" t="s">
        <v>3745</v>
      </c>
      <c r="N289" s="14" t="s">
        <v>3746</v>
      </c>
      <c r="O289" s="14"/>
      <c r="P289" s="14" t="s">
        <v>3747</v>
      </c>
      <c r="Q289" s="14" t="s">
        <v>3748</v>
      </c>
      <c r="R289" s="14" t="s">
        <v>1105</v>
      </c>
      <c r="S289" s="20" t="s">
        <v>324</v>
      </c>
      <c r="T289" s="17" t="s">
        <v>107</v>
      </c>
      <c r="U289" s="14" t="s">
        <v>3749</v>
      </c>
      <c r="V289" s="14" t="s">
        <v>109</v>
      </c>
      <c r="W289" s="18" t="s">
        <v>110</v>
      </c>
      <c r="X289" s="14" t="s">
        <v>3750</v>
      </c>
      <c r="Y289" s="14" t="s">
        <v>1668</v>
      </c>
      <c r="Z289" s="14" t="s">
        <v>107</v>
      </c>
      <c r="AA289" s="14" t="s">
        <v>107</v>
      </c>
      <c r="AB289" s="14" t="s">
        <v>921</v>
      </c>
      <c r="AC289" s="14" t="s">
        <v>113</v>
      </c>
      <c r="AD289" s="14" t="s">
        <v>114</v>
      </c>
    </row>
    <row r="290" customFormat="false" ht="78" hidden="false" customHeight="true" outlineLevel="0" collapsed="false">
      <c r="A290" s="14" t="s">
        <v>3751</v>
      </c>
      <c r="B290" s="14" t="s">
        <v>45</v>
      </c>
      <c r="C290" s="14" t="s">
        <v>3752</v>
      </c>
      <c r="D290" s="14" t="s">
        <v>1083</v>
      </c>
      <c r="E290" s="14" t="s">
        <v>3753</v>
      </c>
      <c r="F290" s="15" t="s">
        <v>648</v>
      </c>
      <c r="G290" s="14" t="s">
        <v>533</v>
      </c>
      <c r="H290" s="14" t="s">
        <v>3754</v>
      </c>
      <c r="I290" s="14" t="s">
        <v>3755</v>
      </c>
      <c r="J290" s="14" t="s">
        <v>202</v>
      </c>
      <c r="K290" s="22" t="s">
        <v>1668</v>
      </c>
      <c r="L290" s="14" t="s">
        <v>3756</v>
      </c>
      <c r="M290" s="14" t="s">
        <v>3757</v>
      </c>
      <c r="N290" s="14" t="s">
        <v>3758</v>
      </c>
      <c r="O290" s="14"/>
      <c r="P290" s="14" t="s">
        <v>3759</v>
      </c>
      <c r="Q290" s="14" t="s">
        <v>3760</v>
      </c>
      <c r="R290" s="14" t="s">
        <v>1063</v>
      </c>
      <c r="S290" s="20" t="s">
        <v>324</v>
      </c>
      <c r="T290" s="17" t="s">
        <v>107</v>
      </c>
      <c r="U290" s="14" t="s">
        <v>3761</v>
      </c>
      <c r="V290" s="14" t="s">
        <v>109</v>
      </c>
      <c r="W290" s="18" t="s">
        <v>110</v>
      </c>
      <c r="X290" s="14" t="s">
        <v>3762</v>
      </c>
      <c r="Y290" s="14" t="s">
        <v>1668</v>
      </c>
      <c r="Z290" s="14" t="s">
        <v>107</v>
      </c>
      <c r="AA290" s="14" t="s">
        <v>107</v>
      </c>
      <c r="AB290" s="14" t="s">
        <v>921</v>
      </c>
      <c r="AC290" s="14" t="s">
        <v>1314</v>
      </c>
      <c r="AD290" s="14" t="s">
        <v>1315</v>
      </c>
    </row>
    <row r="291" customFormat="false" ht="78" hidden="false" customHeight="true" outlineLevel="0" collapsed="false">
      <c r="A291" s="14" t="s">
        <v>3763</v>
      </c>
      <c r="B291" s="14" t="s">
        <v>47</v>
      </c>
      <c r="C291" s="14" t="s">
        <v>3764</v>
      </c>
      <c r="D291" s="14" t="s">
        <v>1083</v>
      </c>
      <c r="E291" s="14" t="s">
        <v>1135</v>
      </c>
      <c r="F291" s="15" t="s">
        <v>1136</v>
      </c>
      <c r="G291" s="14" t="s">
        <v>1137</v>
      </c>
      <c r="H291" s="14" t="s">
        <v>3765</v>
      </c>
      <c r="I291" s="14" t="s">
        <v>3766</v>
      </c>
      <c r="J291" s="14" t="s">
        <v>52</v>
      </c>
      <c r="K291" s="22" t="s">
        <v>1668</v>
      </c>
      <c r="L291" s="14" t="s">
        <v>3767</v>
      </c>
      <c r="M291" s="14" t="s">
        <v>3768</v>
      </c>
      <c r="N291" s="14" t="s">
        <v>3769</v>
      </c>
      <c r="O291" s="14"/>
      <c r="P291" s="14" t="s">
        <v>3770</v>
      </c>
      <c r="Q291" s="14" t="s">
        <v>3771</v>
      </c>
      <c r="R291" s="14" t="s">
        <v>3772</v>
      </c>
      <c r="S291" s="20" t="s">
        <v>324</v>
      </c>
      <c r="T291" s="17" t="s">
        <v>107</v>
      </c>
      <c r="U291" s="14" t="s">
        <v>3773</v>
      </c>
      <c r="V291" s="14" t="s">
        <v>109</v>
      </c>
      <c r="W291" s="18" t="s">
        <v>110</v>
      </c>
      <c r="X291" s="14" t="s">
        <v>3774</v>
      </c>
      <c r="Y291" s="14" t="s">
        <v>1668</v>
      </c>
      <c r="Z291" s="14" t="s">
        <v>107</v>
      </c>
      <c r="AA291" s="14" t="s">
        <v>107</v>
      </c>
      <c r="AB291" s="14" t="s">
        <v>2204</v>
      </c>
      <c r="AC291" s="14" t="s">
        <v>113</v>
      </c>
      <c r="AD291" s="14" t="s">
        <v>114</v>
      </c>
    </row>
    <row r="292" customFormat="false" ht="78" hidden="false" customHeight="true" outlineLevel="0" collapsed="false">
      <c r="A292" s="14" t="s">
        <v>3775</v>
      </c>
      <c r="B292" s="14" t="s">
        <v>43</v>
      </c>
      <c r="C292" s="14" t="s">
        <v>3776</v>
      </c>
      <c r="D292" s="14" t="s">
        <v>1083</v>
      </c>
      <c r="E292" s="14" t="s">
        <v>3777</v>
      </c>
      <c r="F292" s="15" t="s">
        <v>3778</v>
      </c>
      <c r="G292" s="14" t="s">
        <v>1137</v>
      </c>
      <c r="H292" s="14" t="s">
        <v>3779</v>
      </c>
      <c r="I292" s="14" t="s">
        <v>3780</v>
      </c>
      <c r="J292" s="14" t="s">
        <v>51</v>
      </c>
      <c r="K292" s="22" t="s">
        <v>1668</v>
      </c>
      <c r="L292" s="14" t="s">
        <v>3781</v>
      </c>
      <c r="M292" s="14" t="s">
        <v>3782</v>
      </c>
      <c r="N292" s="14" t="s">
        <v>3783</v>
      </c>
      <c r="O292" s="14"/>
      <c r="P292" s="14" t="s">
        <v>3784</v>
      </c>
      <c r="Q292" s="14" t="s">
        <v>3785</v>
      </c>
      <c r="R292" s="14" t="s">
        <v>1105</v>
      </c>
      <c r="S292" s="17" t="s">
        <v>107</v>
      </c>
      <c r="T292" s="17" t="s">
        <v>107</v>
      </c>
      <c r="U292" s="14" t="s">
        <v>3786</v>
      </c>
      <c r="V292" s="14" t="s">
        <v>109</v>
      </c>
      <c r="W292" s="18" t="s">
        <v>110</v>
      </c>
      <c r="X292" s="14" t="s">
        <v>3787</v>
      </c>
      <c r="Y292" s="14" t="s">
        <v>194</v>
      </c>
      <c r="Z292" s="14" t="s">
        <v>107</v>
      </c>
      <c r="AA292" s="14" t="s">
        <v>107</v>
      </c>
      <c r="AB292" s="14" t="s">
        <v>131</v>
      </c>
      <c r="AC292" s="14" t="s">
        <v>113</v>
      </c>
      <c r="AD292" s="14" t="s">
        <v>114</v>
      </c>
    </row>
    <row r="293" customFormat="false" ht="78" hidden="false" customHeight="true" outlineLevel="0" collapsed="false">
      <c r="A293" s="14" t="s">
        <v>3788</v>
      </c>
      <c r="B293" s="14" t="s">
        <v>43</v>
      </c>
      <c r="C293" s="14" t="s">
        <v>3789</v>
      </c>
      <c r="D293" s="14" t="s">
        <v>1083</v>
      </c>
      <c r="E293" s="14" t="s">
        <v>3790</v>
      </c>
      <c r="F293" s="15" t="s">
        <v>3791</v>
      </c>
      <c r="G293" s="14" t="s">
        <v>1215</v>
      </c>
      <c r="H293" s="14" t="s">
        <v>3792</v>
      </c>
      <c r="I293" s="14" t="s">
        <v>3793</v>
      </c>
      <c r="J293" s="14" t="s">
        <v>51</v>
      </c>
      <c r="K293" s="22" t="s">
        <v>1668</v>
      </c>
      <c r="L293" s="14" t="s">
        <v>3794</v>
      </c>
      <c r="M293" s="14" t="s">
        <v>3795</v>
      </c>
      <c r="N293" s="14" t="s">
        <v>3796</v>
      </c>
      <c r="O293" s="14"/>
      <c r="P293" s="14" t="s">
        <v>3797</v>
      </c>
      <c r="Q293" s="14" t="s">
        <v>3798</v>
      </c>
      <c r="R293" s="14" t="s">
        <v>1105</v>
      </c>
      <c r="S293" s="17" t="s">
        <v>107</v>
      </c>
      <c r="T293" s="20" t="s">
        <v>324</v>
      </c>
      <c r="U293" s="14" t="s">
        <v>3799</v>
      </c>
      <c r="V293" s="14" t="s">
        <v>109</v>
      </c>
      <c r="W293" s="18" t="s">
        <v>110</v>
      </c>
      <c r="X293" s="14" t="s">
        <v>3800</v>
      </c>
      <c r="Y293" s="14" t="s">
        <v>194</v>
      </c>
      <c r="Z293" s="14" t="s">
        <v>107</v>
      </c>
      <c r="AA293" s="14" t="s">
        <v>107</v>
      </c>
      <c r="AB293" s="14" t="s">
        <v>131</v>
      </c>
      <c r="AC293" s="14" t="s">
        <v>113</v>
      </c>
      <c r="AD293" s="14" t="s">
        <v>114</v>
      </c>
    </row>
    <row r="294" customFormat="false" ht="78" hidden="false" customHeight="true" outlineLevel="0" collapsed="false">
      <c r="A294" s="14" t="s">
        <v>3801</v>
      </c>
      <c r="B294" s="14" t="s">
        <v>43</v>
      </c>
      <c r="C294" s="14" t="s">
        <v>3802</v>
      </c>
      <c r="D294" s="14" t="s">
        <v>1083</v>
      </c>
      <c r="E294" s="14" t="s">
        <v>3803</v>
      </c>
      <c r="F294" s="15" t="s">
        <v>3804</v>
      </c>
      <c r="G294" s="14" t="s">
        <v>3805</v>
      </c>
      <c r="H294" s="14" t="s">
        <v>3806</v>
      </c>
      <c r="I294" s="14" t="s">
        <v>3807</v>
      </c>
      <c r="J294" s="14" t="s">
        <v>51</v>
      </c>
      <c r="K294" s="22" t="s">
        <v>1668</v>
      </c>
      <c r="L294" s="14" t="s">
        <v>3808</v>
      </c>
      <c r="M294" s="14" t="s">
        <v>3809</v>
      </c>
      <c r="N294" s="14" t="s">
        <v>3810</v>
      </c>
      <c r="O294" s="14"/>
      <c r="P294" s="14" t="s">
        <v>3811</v>
      </c>
      <c r="Q294" s="14" t="s">
        <v>3812</v>
      </c>
      <c r="R294" s="14" t="s">
        <v>1105</v>
      </c>
      <c r="S294" s="20" t="s">
        <v>324</v>
      </c>
      <c r="T294" s="20" t="s">
        <v>324</v>
      </c>
      <c r="U294" s="14" t="s">
        <v>3813</v>
      </c>
      <c r="V294" s="14" t="s">
        <v>109</v>
      </c>
      <c r="W294" s="18" t="s">
        <v>110</v>
      </c>
      <c r="X294" s="14" t="s">
        <v>3814</v>
      </c>
      <c r="Y294" s="14" t="s">
        <v>1668</v>
      </c>
      <c r="Z294" s="14" t="s">
        <v>107</v>
      </c>
      <c r="AA294" s="14" t="s">
        <v>107</v>
      </c>
      <c r="AB294" s="14" t="s">
        <v>131</v>
      </c>
      <c r="AC294" s="14" t="s">
        <v>113</v>
      </c>
      <c r="AD294" s="14" t="s">
        <v>114</v>
      </c>
    </row>
    <row r="295" customFormat="false" ht="78" hidden="false" customHeight="true" outlineLevel="0" collapsed="false">
      <c r="A295" s="14" t="s">
        <v>3815</v>
      </c>
      <c r="B295" s="14" t="s">
        <v>44</v>
      </c>
      <c r="C295" s="14" t="s">
        <v>3816</v>
      </c>
      <c r="D295" s="14" t="s">
        <v>1149</v>
      </c>
      <c r="E295" s="14" t="s">
        <v>1200</v>
      </c>
      <c r="F295" s="15" t="s">
        <v>434</v>
      </c>
      <c r="G295" s="14" t="s">
        <v>3817</v>
      </c>
      <c r="H295" s="14" t="s">
        <v>3818</v>
      </c>
      <c r="I295" s="14" t="s">
        <v>3819</v>
      </c>
      <c r="J295" s="14" t="s">
        <v>202</v>
      </c>
      <c r="K295" s="22" t="s">
        <v>1668</v>
      </c>
      <c r="L295" s="14" t="s">
        <v>3820</v>
      </c>
      <c r="M295" s="14" t="s">
        <v>3821</v>
      </c>
      <c r="N295" s="14" t="s">
        <v>3822</v>
      </c>
      <c r="O295" s="14"/>
      <c r="P295" s="14" t="s">
        <v>3823</v>
      </c>
      <c r="Q295" s="14" t="s">
        <v>3824</v>
      </c>
      <c r="R295" s="14" t="s">
        <v>1159</v>
      </c>
      <c r="S295" s="17" t="s">
        <v>107</v>
      </c>
      <c r="T295" s="17" t="s">
        <v>107</v>
      </c>
      <c r="U295" s="14" t="s">
        <v>3825</v>
      </c>
      <c r="V295" s="14" t="s">
        <v>109</v>
      </c>
      <c r="W295" s="18" t="s">
        <v>110</v>
      </c>
      <c r="X295" s="14" t="s">
        <v>3826</v>
      </c>
      <c r="Y295" s="14" t="s">
        <v>194</v>
      </c>
      <c r="Z295" s="14" t="s">
        <v>107</v>
      </c>
      <c r="AA295" s="14" t="s">
        <v>107</v>
      </c>
      <c r="AB295" s="14" t="s">
        <v>112</v>
      </c>
      <c r="AC295" s="14" t="s">
        <v>113</v>
      </c>
      <c r="AD295" s="14" t="s">
        <v>114</v>
      </c>
    </row>
    <row r="296" customFormat="false" ht="78" hidden="false" customHeight="true" outlineLevel="0" collapsed="false">
      <c r="A296" s="14" t="s">
        <v>3827</v>
      </c>
      <c r="B296" s="14" t="s">
        <v>44</v>
      </c>
      <c r="C296" s="14" t="s">
        <v>3828</v>
      </c>
      <c r="D296" s="14" t="s">
        <v>1149</v>
      </c>
      <c r="E296" s="14" t="s">
        <v>3829</v>
      </c>
      <c r="F296" s="15" t="s">
        <v>3830</v>
      </c>
      <c r="G296" s="14" t="s">
        <v>3831</v>
      </c>
      <c r="H296" s="14" t="s">
        <v>3832</v>
      </c>
      <c r="I296" s="14" t="s">
        <v>3833</v>
      </c>
      <c r="J296" s="14" t="s">
        <v>99</v>
      </c>
      <c r="K296" s="22" t="s">
        <v>1668</v>
      </c>
      <c r="L296" s="14" t="s">
        <v>3834</v>
      </c>
      <c r="M296" s="14" t="s">
        <v>3835</v>
      </c>
      <c r="N296" s="14" t="s">
        <v>3836</v>
      </c>
      <c r="O296" s="14"/>
      <c r="P296" s="14" t="s">
        <v>3837</v>
      </c>
      <c r="Q296" s="14" t="s">
        <v>3838</v>
      </c>
      <c r="R296" s="14" t="s">
        <v>1159</v>
      </c>
      <c r="S296" s="17" t="s">
        <v>107</v>
      </c>
      <c r="T296" s="17" t="s">
        <v>107</v>
      </c>
      <c r="U296" s="14" t="s">
        <v>3839</v>
      </c>
      <c r="V296" s="14" t="s">
        <v>109</v>
      </c>
      <c r="W296" s="18" t="s">
        <v>110</v>
      </c>
      <c r="X296" s="14" t="s">
        <v>3840</v>
      </c>
      <c r="Y296" s="14" t="s">
        <v>194</v>
      </c>
      <c r="Z296" s="14" t="s">
        <v>107</v>
      </c>
      <c r="AA296" s="14" t="s">
        <v>107</v>
      </c>
      <c r="AB296" s="14" t="s">
        <v>112</v>
      </c>
      <c r="AC296" s="14" t="s">
        <v>113</v>
      </c>
      <c r="AD296" s="14" t="s">
        <v>114</v>
      </c>
    </row>
    <row r="297" customFormat="false" ht="78" hidden="false" customHeight="true" outlineLevel="0" collapsed="false">
      <c r="A297" s="14" t="s">
        <v>3841</v>
      </c>
      <c r="B297" s="14" t="s">
        <v>45</v>
      </c>
      <c r="C297" s="14" t="s">
        <v>3842</v>
      </c>
      <c r="D297" s="14" t="s">
        <v>1149</v>
      </c>
      <c r="E297" s="14" t="s">
        <v>3843</v>
      </c>
      <c r="F297" s="15" t="s">
        <v>3844</v>
      </c>
      <c r="G297" s="14" t="s">
        <v>285</v>
      </c>
      <c r="H297" s="14" t="s">
        <v>3845</v>
      </c>
      <c r="I297" s="14" t="s">
        <v>3846</v>
      </c>
      <c r="J297" s="14" t="s">
        <v>53</v>
      </c>
      <c r="K297" s="22" t="s">
        <v>1668</v>
      </c>
      <c r="L297" s="14" t="s">
        <v>3847</v>
      </c>
      <c r="M297" s="14" t="s">
        <v>3848</v>
      </c>
      <c r="N297" s="14" t="s">
        <v>3849</v>
      </c>
      <c r="O297" s="14"/>
      <c r="P297" s="14" t="s">
        <v>3850</v>
      </c>
      <c r="Q297" s="14" t="s">
        <v>3851</v>
      </c>
      <c r="R297" s="14" t="s">
        <v>1063</v>
      </c>
      <c r="S297" s="20" t="s">
        <v>324</v>
      </c>
      <c r="T297" s="17" t="s">
        <v>107</v>
      </c>
      <c r="U297" s="14" t="s">
        <v>3852</v>
      </c>
      <c r="V297" s="14" t="s">
        <v>109</v>
      </c>
      <c r="W297" s="18" t="s">
        <v>110</v>
      </c>
      <c r="X297" s="14" t="s">
        <v>3853</v>
      </c>
      <c r="Y297" s="14" t="s">
        <v>1668</v>
      </c>
      <c r="Z297" s="14" t="s">
        <v>107</v>
      </c>
      <c r="AA297" s="14" t="s">
        <v>107</v>
      </c>
      <c r="AB297" s="14" t="s">
        <v>921</v>
      </c>
      <c r="AC297" s="14" t="s">
        <v>113</v>
      </c>
      <c r="AD297" s="14" t="s">
        <v>114</v>
      </c>
    </row>
    <row r="298" customFormat="false" ht="78" hidden="false" customHeight="true" outlineLevel="0" collapsed="false">
      <c r="A298" s="14" t="s">
        <v>3854</v>
      </c>
      <c r="B298" s="14" t="s">
        <v>47</v>
      </c>
      <c r="C298" s="14" t="s">
        <v>3855</v>
      </c>
      <c r="D298" s="14" t="s">
        <v>1149</v>
      </c>
      <c r="E298" s="14" t="s">
        <v>3856</v>
      </c>
      <c r="F298" s="15" t="s">
        <v>3857</v>
      </c>
      <c r="G298" s="14" t="s">
        <v>1215</v>
      </c>
      <c r="H298" s="14" t="s">
        <v>3858</v>
      </c>
      <c r="I298" s="14" t="s">
        <v>3859</v>
      </c>
      <c r="J298" s="14" t="s">
        <v>52</v>
      </c>
      <c r="K298" s="22" t="s">
        <v>1668</v>
      </c>
      <c r="L298" s="14" t="s">
        <v>3860</v>
      </c>
      <c r="M298" s="14" t="s">
        <v>3861</v>
      </c>
      <c r="N298" s="14" t="s">
        <v>3862</v>
      </c>
      <c r="O298" s="14"/>
      <c r="P298" s="14" t="s">
        <v>3863</v>
      </c>
      <c r="Q298" s="14" t="s">
        <v>3864</v>
      </c>
      <c r="R298" s="14" t="s">
        <v>3865</v>
      </c>
      <c r="S298" s="20" t="s">
        <v>324</v>
      </c>
      <c r="T298" s="17" t="s">
        <v>107</v>
      </c>
      <c r="U298" s="14" t="s">
        <v>3866</v>
      </c>
      <c r="V298" s="14" t="s">
        <v>109</v>
      </c>
      <c r="W298" s="18" t="s">
        <v>110</v>
      </c>
      <c r="X298" s="14" t="s">
        <v>3867</v>
      </c>
      <c r="Y298" s="14" t="s">
        <v>1668</v>
      </c>
      <c r="Z298" s="14" t="s">
        <v>107</v>
      </c>
      <c r="AA298" s="14" t="s">
        <v>107</v>
      </c>
      <c r="AB298" s="14" t="s">
        <v>2204</v>
      </c>
      <c r="AC298" s="14" t="s">
        <v>113</v>
      </c>
      <c r="AD298" s="14" t="s">
        <v>114</v>
      </c>
    </row>
    <row r="299" customFormat="false" ht="78" hidden="false" customHeight="true" outlineLevel="0" collapsed="false">
      <c r="A299" s="14" t="s">
        <v>3868</v>
      </c>
      <c r="B299" s="14" t="s">
        <v>48</v>
      </c>
      <c r="C299" s="14" t="s">
        <v>3869</v>
      </c>
      <c r="D299" s="14" t="s">
        <v>1149</v>
      </c>
      <c r="E299" s="14" t="s">
        <v>3870</v>
      </c>
      <c r="F299" s="15" t="s">
        <v>1201</v>
      </c>
      <c r="G299" s="14" t="s">
        <v>368</v>
      </c>
      <c r="H299" s="14" t="s">
        <v>3871</v>
      </c>
      <c r="I299" s="14" t="s">
        <v>3872</v>
      </c>
      <c r="J299" s="14" t="s">
        <v>54</v>
      </c>
      <c r="K299" s="22" t="s">
        <v>1668</v>
      </c>
      <c r="L299" s="14" t="s">
        <v>3873</v>
      </c>
      <c r="M299" s="14" t="s">
        <v>3874</v>
      </c>
      <c r="N299" s="14" t="s">
        <v>3875</v>
      </c>
      <c r="O299" s="14"/>
      <c r="P299" s="14" t="s">
        <v>3876</v>
      </c>
      <c r="Q299" s="14" t="s">
        <v>3877</v>
      </c>
      <c r="R299" s="14" t="s">
        <v>1093</v>
      </c>
      <c r="S299" s="17" t="s">
        <v>107</v>
      </c>
      <c r="T299" s="20" t="s">
        <v>324</v>
      </c>
      <c r="U299" s="14" t="s">
        <v>3878</v>
      </c>
      <c r="V299" s="14" t="s">
        <v>109</v>
      </c>
      <c r="W299" s="18" t="s">
        <v>110</v>
      </c>
      <c r="X299" s="14" t="s">
        <v>3879</v>
      </c>
      <c r="Y299" s="14" t="s">
        <v>194</v>
      </c>
      <c r="Z299" s="14" t="s">
        <v>107</v>
      </c>
      <c r="AA299" s="14" t="s">
        <v>107</v>
      </c>
      <c r="AB299" s="14" t="s">
        <v>559</v>
      </c>
      <c r="AC299" s="14" t="s">
        <v>560</v>
      </c>
      <c r="AD299" s="14" t="s">
        <v>561</v>
      </c>
    </row>
    <row r="300" customFormat="false" ht="78" hidden="false" customHeight="true" outlineLevel="0" collapsed="false">
      <c r="A300" s="14" t="s">
        <v>3880</v>
      </c>
      <c r="B300" s="14" t="s">
        <v>43</v>
      </c>
      <c r="C300" s="14" t="s">
        <v>3881</v>
      </c>
      <c r="D300" s="14" t="s">
        <v>1149</v>
      </c>
      <c r="E300" s="14" t="s">
        <v>3882</v>
      </c>
      <c r="F300" s="15" t="s">
        <v>3883</v>
      </c>
      <c r="G300" s="14" t="s">
        <v>3884</v>
      </c>
      <c r="H300" s="14" t="s">
        <v>3885</v>
      </c>
      <c r="I300" s="14" t="s">
        <v>3886</v>
      </c>
      <c r="J300" s="14" t="s">
        <v>51</v>
      </c>
      <c r="K300" s="22" t="s">
        <v>1668</v>
      </c>
      <c r="L300" s="14" t="s">
        <v>3887</v>
      </c>
      <c r="M300" s="14" t="s">
        <v>3888</v>
      </c>
      <c r="N300" s="14" t="s">
        <v>3889</v>
      </c>
      <c r="O300" s="14"/>
      <c r="P300" s="14" t="s">
        <v>3890</v>
      </c>
      <c r="Q300" s="14" t="s">
        <v>3891</v>
      </c>
      <c r="R300" s="14" t="s">
        <v>1159</v>
      </c>
      <c r="S300" s="17" t="s">
        <v>107</v>
      </c>
      <c r="T300" s="17" t="s">
        <v>107</v>
      </c>
      <c r="U300" s="14" t="s">
        <v>3892</v>
      </c>
      <c r="V300" s="14" t="s">
        <v>109</v>
      </c>
      <c r="W300" s="18" t="s">
        <v>110</v>
      </c>
      <c r="X300" s="14" t="s">
        <v>3893</v>
      </c>
      <c r="Y300" s="14" t="s">
        <v>194</v>
      </c>
      <c r="Z300" s="14" t="s">
        <v>107</v>
      </c>
      <c r="AA300" s="14" t="s">
        <v>107</v>
      </c>
      <c r="AB300" s="14" t="s">
        <v>131</v>
      </c>
      <c r="AC300" s="14" t="s">
        <v>113</v>
      </c>
      <c r="AD300" s="14" t="s">
        <v>114</v>
      </c>
    </row>
    <row r="301" customFormat="false" ht="78" hidden="false" customHeight="true" outlineLevel="0" collapsed="false">
      <c r="A301" s="14" t="s">
        <v>3894</v>
      </c>
      <c r="B301" s="14" t="s">
        <v>43</v>
      </c>
      <c r="C301" s="14" t="s">
        <v>3881</v>
      </c>
      <c r="D301" s="14" t="s">
        <v>1149</v>
      </c>
      <c r="E301" s="14" t="s">
        <v>3895</v>
      </c>
      <c r="F301" s="15" t="s">
        <v>3896</v>
      </c>
      <c r="G301" s="14" t="s">
        <v>1152</v>
      </c>
      <c r="H301" s="14" t="s">
        <v>3897</v>
      </c>
      <c r="I301" s="14" t="s">
        <v>3898</v>
      </c>
      <c r="J301" s="14" t="s">
        <v>51</v>
      </c>
      <c r="K301" s="22" t="s">
        <v>1668</v>
      </c>
      <c r="L301" s="14" t="s">
        <v>3899</v>
      </c>
      <c r="M301" s="14" t="s">
        <v>3888</v>
      </c>
      <c r="N301" s="14" t="s">
        <v>3900</v>
      </c>
      <c r="O301" s="14"/>
      <c r="P301" s="14" t="s">
        <v>3901</v>
      </c>
      <c r="Q301" s="14" t="s">
        <v>3902</v>
      </c>
      <c r="R301" s="14" t="s">
        <v>1159</v>
      </c>
      <c r="S301" s="17" t="s">
        <v>107</v>
      </c>
      <c r="T301" s="17" t="s">
        <v>107</v>
      </c>
      <c r="U301" s="14" t="s">
        <v>3892</v>
      </c>
      <c r="V301" s="14" t="s">
        <v>109</v>
      </c>
      <c r="W301" s="18" t="s">
        <v>110</v>
      </c>
      <c r="X301" s="14" t="s">
        <v>3903</v>
      </c>
      <c r="Y301" s="14" t="s">
        <v>194</v>
      </c>
      <c r="Z301" s="14" t="s">
        <v>107</v>
      </c>
      <c r="AA301" s="14" t="s">
        <v>107</v>
      </c>
      <c r="AB301" s="14" t="s">
        <v>131</v>
      </c>
      <c r="AC301" s="14" t="s">
        <v>113</v>
      </c>
      <c r="AD301" s="14" t="s">
        <v>114</v>
      </c>
    </row>
    <row r="302" customFormat="false" ht="78" hidden="false" customHeight="true" outlineLevel="0" collapsed="false">
      <c r="A302" s="14" t="s">
        <v>3904</v>
      </c>
      <c r="B302" s="14" t="s">
        <v>43</v>
      </c>
      <c r="C302" s="14" t="s">
        <v>3881</v>
      </c>
      <c r="D302" s="14" t="s">
        <v>1149</v>
      </c>
      <c r="E302" s="14" t="s">
        <v>841</v>
      </c>
      <c r="F302" s="15" t="s">
        <v>842</v>
      </c>
      <c r="G302" s="14" t="s">
        <v>3831</v>
      </c>
      <c r="H302" s="14" t="s">
        <v>3905</v>
      </c>
      <c r="I302" s="14" t="s">
        <v>3886</v>
      </c>
      <c r="J302" s="14" t="s">
        <v>51</v>
      </c>
      <c r="K302" s="22" t="s">
        <v>1668</v>
      </c>
      <c r="L302" s="14" t="s">
        <v>3906</v>
      </c>
      <c r="M302" s="14" t="s">
        <v>3888</v>
      </c>
      <c r="N302" s="14" t="s">
        <v>3907</v>
      </c>
      <c r="O302" s="14"/>
      <c r="P302" s="14" t="s">
        <v>3908</v>
      </c>
      <c r="Q302" s="14" t="s">
        <v>3909</v>
      </c>
      <c r="R302" s="14" t="s">
        <v>1159</v>
      </c>
      <c r="S302" s="17" t="s">
        <v>107</v>
      </c>
      <c r="T302" s="17" t="s">
        <v>107</v>
      </c>
      <c r="U302" s="14" t="s">
        <v>3892</v>
      </c>
      <c r="V302" s="14" t="s">
        <v>109</v>
      </c>
      <c r="W302" s="18" t="s">
        <v>110</v>
      </c>
      <c r="X302" s="14" t="s">
        <v>3910</v>
      </c>
      <c r="Y302" s="14" t="s">
        <v>194</v>
      </c>
      <c r="Z302" s="14" t="s">
        <v>107</v>
      </c>
      <c r="AA302" s="14" t="s">
        <v>107</v>
      </c>
      <c r="AB302" s="14" t="s">
        <v>131</v>
      </c>
      <c r="AC302" s="14" t="s">
        <v>113</v>
      </c>
      <c r="AD302" s="14" t="s">
        <v>114</v>
      </c>
    </row>
    <row r="303" customFormat="false" ht="78" hidden="false" customHeight="true" outlineLevel="0" collapsed="false">
      <c r="A303" s="14" t="s">
        <v>3911</v>
      </c>
      <c r="B303" s="14" t="s">
        <v>43</v>
      </c>
      <c r="C303" s="14" t="s">
        <v>3881</v>
      </c>
      <c r="D303" s="14" t="s">
        <v>1149</v>
      </c>
      <c r="E303" s="14" t="s">
        <v>3912</v>
      </c>
      <c r="F303" s="15" t="s">
        <v>3913</v>
      </c>
      <c r="G303" s="14" t="s">
        <v>3914</v>
      </c>
      <c r="H303" s="14" t="s">
        <v>3915</v>
      </c>
      <c r="I303" s="14" t="s">
        <v>3916</v>
      </c>
      <c r="J303" s="14" t="s">
        <v>51</v>
      </c>
      <c r="K303" s="22" t="s">
        <v>1668</v>
      </c>
      <c r="L303" s="14" t="s">
        <v>3917</v>
      </c>
      <c r="M303" s="14" t="s">
        <v>3888</v>
      </c>
      <c r="N303" s="14" t="s">
        <v>3918</v>
      </c>
      <c r="O303" s="14"/>
      <c r="P303" s="14" t="s">
        <v>3919</v>
      </c>
      <c r="Q303" s="14" t="s">
        <v>3920</v>
      </c>
      <c r="R303" s="14" t="s">
        <v>1159</v>
      </c>
      <c r="S303" s="20" t="s">
        <v>324</v>
      </c>
      <c r="T303" s="17" t="s">
        <v>107</v>
      </c>
      <c r="U303" s="14" t="s">
        <v>3892</v>
      </c>
      <c r="V303" s="14" t="s">
        <v>109</v>
      </c>
      <c r="W303" s="18" t="s">
        <v>110</v>
      </c>
      <c r="X303" s="14" t="s">
        <v>3921</v>
      </c>
      <c r="Y303" s="14" t="s">
        <v>1668</v>
      </c>
      <c r="Z303" s="14" t="s">
        <v>107</v>
      </c>
      <c r="AA303" s="14" t="s">
        <v>107</v>
      </c>
      <c r="AB303" s="14" t="s">
        <v>131</v>
      </c>
      <c r="AC303" s="14" t="s">
        <v>113</v>
      </c>
      <c r="AD303" s="14" t="s">
        <v>114</v>
      </c>
    </row>
    <row r="304" customFormat="false" ht="78" hidden="false" customHeight="true" outlineLevel="0" collapsed="false">
      <c r="A304" s="14" t="s">
        <v>3922</v>
      </c>
      <c r="B304" s="14" t="s">
        <v>43</v>
      </c>
      <c r="C304" s="14" t="s">
        <v>3881</v>
      </c>
      <c r="D304" s="14" t="s">
        <v>1149</v>
      </c>
      <c r="E304" s="14" t="s">
        <v>3923</v>
      </c>
      <c r="F304" s="15" t="s">
        <v>3924</v>
      </c>
      <c r="G304" s="14" t="s">
        <v>3925</v>
      </c>
      <c r="H304" s="14" t="s">
        <v>3926</v>
      </c>
      <c r="I304" s="14" t="s">
        <v>3927</v>
      </c>
      <c r="J304" s="14" t="s">
        <v>51</v>
      </c>
      <c r="K304" s="22" t="s">
        <v>1668</v>
      </c>
      <c r="L304" s="14" t="s">
        <v>3928</v>
      </c>
      <c r="M304" s="14" t="s">
        <v>3888</v>
      </c>
      <c r="N304" s="14" t="s">
        <v>3929</v>
      </c>
      <c r="O304" s="14"/>
      <c r="P304" s="14" t="s">
        <v>3930</v>
      </c>
      <c r="Q304" s="14" t="s">
        <v>3931</v>
      </c>
      <c r="R304" s="14" t="s">
        <v>1159</v>
      </c>
      <c r="S304" s="20" t="s">
        <v>324</v>
      </c>
      <c r="T304" s="17" t="s">
        <v>107</v>
      </c>
      <c r="U304" s="14" t="s">
        <v>3892</v>
      </c>
      <c r="V304" s="14" t="s">
        <v>109</v>
      </c>
      <c r="W304" s="18" t="s">
        <v>110</v>
      </c>
      <c r="X304" s="14" t="s">
        <v>3932</v>
      </c>
      <c r="Y304" s="14" t="s">
        <v>1668</v>
      </c>
      <c r="Z304" s="14" t="s">
        <v>107</v>
      </c>
      <c r="AA304" s="14" t="s">
        <v>107</v>
      </c>
      <c r="AB304" s="14" t="s">
        <v>131</v>
      </c>
      <c r="AC304" s="14" t="s">
        <v>113</v>
      </c>
      <c r="AD304" s="14" t="s">
        <v>114</v>
      </c>
    </row>
    <row r="305" customFormat="false" ht="78" hidden="false" customHeight="true" outlineLevel="0" collapsed="false">
      <c r="A305" s="14" t="s">
        <v>3933</v>
      </c>
      <c r="B305" s="14" t="s">
        <v>43</v>
      </c>
      <c r="C305" s="14" t="s">
        <v>3881</v>
      </c>
      <c r="D305" s="14" t="s">
        <v>1149</v>
      </c>
      <c r="E305" s="14" t="s">
        <v>3934</v>
      </c>
      <c r="F305" s="15" t="s">
        <v>3935</v>
      </c>
      <c r="G305" s="14" t="s">
        <v>3925</v>
      </c>
      <c r="H305" s="14" t="s">
        <v>3936</v>
      </c>
      <c r="I305" s="14" t="s">
        <v>3937</v>
      </c>
      <c r="J305" s="14" t="s">
        <v>51</v>
      </c>
      <c r="K305" s="22" t="s">
        <v>1668</v>
      </c>
      <c r="L305" s="14" t="s">
        <v>3938</v>
      </c>
      <c r="M305" s="14" t="s">
        <v>3888</v>
      </c>
      <c r="N305" s="14" t="s">
        <v>3939</v>
      </c>
      <c r="O305" s="14"/>
      <c r="P305" s="14" t="s">
        <v>3940</v>
      </c>
      <c r="Q305" s="14" t="s">
        <v>3941</v>
      </c>
      <c r="R305" s="14" t="s">
        <v>1159</v>
      </c>
      <c r="S305" s="20" t="s">
        <v>324</v>
      </c>
      <c r="T305" s="17" t="s">
        <v>107</v>
      </c>
      <c r="U305" s="14" t="s">
        <v>3892</v>
      </c>
      <c r="V305" s="14" t="s">
        <v>109</v>
      </c>
      <c r="W305" s="18" t="s">
        <v>110</v>
      </c>
      <c r="X305" s="14" t="s">
        <v>3942</v>
      </c>
      <c r="Y305" s="14" t="s">
        <v>1668</v>
      </c>
      <c r="Z305" s="14" t="s">
        <v>107</v>
      </c>
      <c r="AA305" s="14" t="s">
        <v>107</v>
      </c>
      <c r="AB305" s="14" t="s">
        <v>131</v>
      </c>
      <c r="AC305" s="14" t="s">
        <v>113</v>
      </c>
      <c r="AD305" s="14" t="s">
        <v>114</v>
      </c>
    </row>
    <row r="306" customFormat="false" ht="78" hidden="false" customHeight="true" outlineLevel="0" collapsed="false">
      <c r="A306" s="14" t="s">
        <v>3943</v>
      </c>
      <c r="B306" s="14" t="s">
        <v>43</v>
      </c>
      <c r="C306" s="14" t="s">
        <v>3944</v>
      </c>
      <c r="D306" s="14" t="s">
        <v>1149</v>
      </c>
      <c r="E306" s="14" t="s">
        <v>3945</v>
      </c>
      <c r="F306" s="15" t="s">
        <v>3946</v>
      </c>
      <c r="G306" s="14" t="s">
        <v>3947</v>
      </c>
      <c r="H306" s="14" t="s">
        <v>3948</v>
      </c>
      <c r="I306" s="14" t="s">
        <v>3949</v>
      </c>
      <c r="J306" s="14" t="s">
        <v>51</v>
      </c>
      <c r="K306" s="22" t="s">
        <v>1668</v>
      </c>
      <c r="L306" s="14" t="s">
        <v>3950</v>
      </c>
      <c r="M306" s="14" t="s">
        <v>3951</v>
      </c>
      <c r="N306" s="14" t="s">
        <v>3952</v>
      </c>
      <c r="O306" s="14"/>
      <c r="P306" s="14" t="s">
        <v>3953</v>
      </c>
      <c r="Q306" s="14" t="s">
        <v>3954</v>
      </c>
      <c r="R306" s="14" t="s">
        <v>1159</v>
      </c>
      <c r="S306" s="17" t="s">
        <v>107</v>
      </c>
      <c r="T306" s="20" t="s">
        <v>324</v>
      </c>
      <c r="U306" s="14" t="s">
        <v>3955</v>
      </c>
      <c r="V306" s="14" t="s">
        <v>109</v>
      </c>
      <c r="W306" s="21" t="s">
        <v>429</v>
      </c>
      <c r="X306" s="14" t="s">
        <v>3956</v>
      </c>
      <c r="Y306" s="14" t="s">
        <v>194</v>
      </c>
      <c r="Z306" s="14" t="s">
        <v>107</v>
      </c>
      <c r="AA306" s="14" t="s">
        <v>107</v>
      </c>
      <c r="AB306" s="14" t="s">
        <v>131</v>
      </c>
      <c r="AC306" s="14" t="s">
        <v>113</v>
      </c>
      <c r="AD306" s="14" t="s">
        <v>114</v>
      </c>
    </row>
    <row r="307" customFormat="false" ht="78" hidden="false" customHeight="true" outlineLevel="0" collapsed="false">
      <c r="A307" s="14" t="s">
        <v>3957</v>
      </c>
      <c r="B307" s="14" t="s">
        <v>44</v>
      </c>
      <c r="C307" s="14" t="s">
        <v>3958</v>
      </c>
      <c r="D307" s="14" t="s">
        <v>40</v>
      </c>
      <c r="E307" s="14" t="s">
        <v>1253</v>
      </c>
      <c r="F307" s="15" t="s">
        <v>1254</v>
      </c>
      <c r="G307" s="14" t="s">
        <v>533</v>
      </c>
      <c r="H307" s="14" t="s">
        <v>3959</v>
      </c>
      <c r="I307" s="14" t="s">
        <v>3960</v>
      </c>
      <c r="J307" s="14" t="s">
        <v>56</v>
      </c>
      <c r="K307" s="22" t="s">
        <v>1668</v>
      </c>
      <c r="L307" s="14" t="s">
        <v>3961</v>
      </c>
      <c r="M307" s="14" t="s">
        <v>3962</v>
      </c>
      <c r="N307" s="14" t="s">
        <v>3963</v>
      </c>
      <c r="O307" s="14"/>
      <c r="P307" s="14" t="s">
        <v>3964</v>
      </c>
      <c r="Q307" s="14" t="s">
        <v>3965</v>
      </c>
      <c r="R307" s="14" t="s">
        <v>3966</v>
      </c>
      <c r="S307" s="20" t="s">
        <v>324</v>
      </c>
      <c r="T307" s="17" t="s">
        <v>107</v>
      </c>
      <c r="U307" s="14" t="s">
        <v>3967</v>
      </c>
      <c r="V307" s="14" t="s">
        <v>109</v>
      </c>
      <c r="W307" s="18" t="s">
        <v>110</v>
      </c>
      <c r="X307" s="14" t="s">
        <v>3968</v>
      </c>
      <c r="Y307" s="14" t="s">
        <v>194</v>
      </c>
      <c r="Z307" s="14" t="s">
        <v>107</v>
      </c>
      <c r="AA307" s="14" t="s">
        <v>107</v>
      </c>
      <c r="AB307" s="14" t="s">
        <v>112</v>
      </c>
      <c r="AC307" s="14" t="s">
        <v>1314</v>
      </c>
      <c r="AD307" s="14" t="s">
        <v>1315</v>
      </c>
    </row>
    <row r="308" customFormat="false" ht="78" hidden="false" customHeight="true" outlineLevel="0" collapsed="false">
      <c r="A308" s="14" t="s">
        <v>3969</v>
      </c>
      <c r="B308" s="14" t="s">
        <v>44</v>
      </c>
      <c r="C308" s="14" t="s">
        <v>3970</v>
      </c>
      <c r="D308" s="14" t="s">
        <v>40</v>
      </c>
      <c r="E308" s="14" t="s">
        <v>3971</v>
      </c>
      <c r="F308" s="14"/>
      <c r="G308" s="14" t="s">
        <v>533</v>
      </c>
      <c r="H308" s="14" t="s">
        <v>3972</v>
      </c>
      <c r="I308" s="14" t="s">
        <v>3973</v>
      </c>
      <c r="J308" s="14" t="s">
        <v>53</v>
      </c>
      <c r="K308" s="22" t="s">
        <v>1668</v>
      </c>
      <c r="L308" s="14" t="s">
        <v>3974</v>
      </c>
      <c r="M308" s="14" t="s">
        <v>3975</v>
      </c>
      <c r="N308" s="14" t="s">
        <v>3976</v>
      </c>
      <c r="O308" s="14"/>
      <c r="P308" s="14" t="s">
        <v>3977</v>
      </c>
      <c r="Q308" s="14" t="s">
        <v>3978</v>
      </c>
      <c r="R308" s="14" t="s">
        <v>1237</v>
      </c>
      <c r="S308" s="20" t="s">
        <v>324</v>
      </c>
      <c r="T308" s="17" t="s">
        <v>107</v>
      </c>
      <c r="U308" s="14" t="s">
        <v>3979</v>
      </c>
      <c r="V308" s="14" t="s">
        <v>109</v>
      </c>
      <c r="W308" s="18" t="s">
        <v>110</v>
      </c>
      <c r="X308" s="14" t="s">
        <v>3980</v>
      </c>
      <c r="Y308" s="14" t="s">
        <v>1668</v>
      </c>
      <c r="Z308" s="14" t="s">
        <v>107</v>
      </c>
      <c r="AA308" s="14" t="s">
        <v>107</v>
      </c>
      <c r="AB308" s="14" t="s">
        <v>112</v>
      </c>
      <c r="AC308" s="14" t="s">
        <v>113</v>
      </c>
      <c r="AD308" s="14" t="s">
        <v>114</v>
      </c>
    </row>
    <row r="309" customFormat="false" ht="78" hidden="false" customHeight="true" outlineLevel="0" collapsed="false">
      <c r="A309" s="14" t="s">
        <v>3981</v>
      </c>
      <c r="B309" s="14" t="s">
        <v>44</v>
      </c>
      <c r="C309" s="14" t="s">
        <v>3982</v>
      </c>
      <c r="D309" s="14" t="s">
        <v>40</v>
      </c>
      <c r="E309" s="14" t="s">
        <v>594</v>
      </c>
      <c r="F309" s="15" t="s">
        <v>595</v>
      </c>
      <c r="G309" s="14" t="s">
        <v>227</v>
      </c>
      <c r="H309" s="14" t="s">
        <v>3983</v>
      </c>
      <c r="I309" s="14" t="s">
        <v>3984</v>
      </c>
      <c r="J309" s="14" t="s">
        <v>50</v>
      </c>
      <c r="K309" s="22" t="s">
        <v>1668</v>
      </c>
      <c r="L309" s="14" t="s">
        <v>3985</v>
      </c>
      <c r="M309" s="14" t="s">
        <v>3986</v>
      </c>
      <c r="N309" s="14" t="s">
        <v>3987</v>
      </c>
      <c r="O309" s="14"/>
      <c r="P309" s="14" t="s">
        <v>3988</v>
      </c>
      <c r="Q309" s="14" t="s">
        <v>3989</v>
      </c>
      <c r="R309" s="14" t="s">
        <v>1237</v>
      </c>
      <c r="S309" s="20" t="s">
        <v>324</v>
      </c>
      <c r="T309" s="20" t="s">
        <v>324</v>
      </c>
      <c r="U309" s="14" t="s">
        <v>3990</v>
      </c>
      <c r="V309" s="14" t="s">
        <v>109</v>
      </c>
      <c r="W309" s="18" t="s">
        <v>110</v>
      </c>
      <c r="X309" s="14" t="s">
        <v>3991</v>
      </c>
      <c r="Y309" s="14" t="s">
        <v>1668</v>
      </c>
      <c r="Z309" s="14" t="s">
        <v>107</v>
      </c>
      <c r="AA309" s="14" t="s">
        <v>107</v>
      </c>
      <c r="AB309" s="14" t="s">
        <v>112</v>
      </c>
      <c r="AC309" s="14" t="s">
        <v>113</v>
      </c>
      <c r="AD309" s="14" t="s">
        <v>114</v>
      </c>
    </row>
    <row r="310" customFormat="false" ht="78" hidden="false" customHeight="true" outlineLevel="0" collapsed="false">
      <c r="A310" s="14" t="s">
        <v>3992</v>
      </c>
      <c r="B310" s="14" t="s">
        <v>44</v>
      </c>
      <c r="C310" s="14" t="s">
        <v>3993</v>
      </c>
      <c r="D310" s="14" t="s">
        <v>40</v>
      </c>
      <c r="E310" s="14" t="s">
        <v>225</v>
      </c>
      <c r="F310" s="15" t="s">
        <v>226</v>
      </c>
      <c r="G310" s="14" t="s">
        <v>227</v>
      </c>
      <c r="H310" s="14" t="s">
        <v>3994</v>
      </c>
      <c r="I310" s="14" t="s">
        <v>3995</v>
      </c>
      <c r="J310" s="14" t="s">
        <v>55</v>
      </c>
      <c r="K310" s="22" t="s">
        <v>1668</v>
      </c>
      <c r="L310" s="14" t="s">
        <v>3996</v>
      </c>
      <c r="M310" s="14" t="s">
        <v>3997</v>
      </c>
      <c r="N310" s="14" t="s">
        <v>3998</v>
      </c>
      <c r="O310" s="14"/>
      <c r="P310" s="14" t="s">
        <v>3999</v>
      </c>
      <c r="Q310" s="14" t="s">
        <v>4000</v>
      </c>
      <c r="R310" s="14" t="s">
        <v>235</v>
      </c>
      <c r="S310" s="17" t="s">
        <v>107</v>
      </c>
      <c r="T310" s="17" t="s">
        <v>107</v>
      </c>
      <c r="U310" s="14" t="s">
        <v>4001</v>
      </c>
      <c r="V310" s="14" t="s">
        <v>109</v>
      </c>
      <c r="W310" s="21" t="s">
        <v>429</v>
      </c>
      <c r="X310" s="14" t="s">
        <v>4002</v>
      </c>
      <c r="Y310" s="14" t="s">
        <v>100</v>
      </c>
      <c r="Z310" s="14" t="s">
        <v>107</v>
      </c>
      <c r="AA310" s="14" t="s">
        <v>107</v>
      </c>
      <c r="AB310" s="14" t="s">
        <v>112</v>
      </c>
      <c r="AC310" s="14" t="s">
        <v>113</v>
      </c>
      <c r="AD310" s="14" t="s">
        <v>114</v>
      </c>
    </row>
    <row r="311" customFormat="false" ht="78" hidden="false" customHeight="true" outlineLevel="0" collapsed="false">
      <c r="A311" s="14" t="s">
        <v>4003</v>
      </c>
      <c r="B311" s="14" t="s">
        <v>44</v>
      </c>
      <c r="C311" s="14" t="s">
        <v>4004</v>
      </c>
      <c r="D311" s="14" t="s">
        <v>40</v>
      </c>
      <c r="E311" s="14" t="s">
        <v>1227</v>
      </c>
      <c r="F311" s="15" t="s">
        <v>1228</v>
      </c>
      <c r="G311" s="14" t="s">
        <v>1229</v>
      </c>
      <c r="H311" s="14" t="s">
        <v>4005</v>
      </c>
      <c r="I311" s="14" t="s">
        <v>4006</v>
      </c>
      <c r="J311" s="14" t="s">
        <v>57</v>
      </c>
      <c r="K311" s="22" t="s">
        <v>1668</v>
      </c>
      <c r="L311" s="14" t="s">
        <v>4007</v>
      </c>
      <c r="M311" s="14" t="s">
        <v>4008</v>
      </c>
      <c r="N311" s="14" t="s">
        <v>4009</v>
      </c>
      <c r="O311" s="14"/>
      <c r="P311" s="14" t="s">
        <v>4010</v>
      </c>
      <c r="Q311" s="14" t="s">
        <v>4011</v>
      </c>
      <c r="R311" s="14" t="s">
        <v>235</v>
      </c>
      <c r="S311" s="20" t="s">
        <v>324</v>
      </c>
      <c r="T311" s="17" t="s">
        <v>107</v>
      </c>
      <c r="U311" s="14" t="s">
        <v>4012</v>
      </c>
      <c r="V311" s="14" t="s">
        <v>109</v>
      </c>
      <c r="W311" s="18" t="s">
        <v>110</v>
      </c>
      <c r="X311" s="14" t="s">
        <v>4013</v>
      </c>
      <c r="Y311" s="14" t="s">
        <v>194</v>
      </c>
      <c r="Z311" s="14" t="s">
        <v>107</v>
      </c>
      <c r="AA311" s="14" t="s">
        <v>107</v>
      </c>
      <c r="AB311" s="14" t="s">
        <v>112</v>
      </c>
      <c r="AC311" s="14" t="s">
        <v>113</v>
      </c>
      <c r="AD311" s="14" t="s">
        <v>114</v>
      </c>
    </row>
    <row r="312" customFormat="false" ht="78" hidden="false" customHeight="true" outlineLevel="0" collapsed="false">
      <c r="A312" s="14" t="s">
        <v>4014</v>
      </c>
      <c r="B312" s="14" t="s">
        <v>44</v>
      </c>
      <c r="C312" s="14" t="s">
        <v>4015</v>
      </c>
      <c r="D312" s="14" t="s">
        <v>40</v>
      </c>
      <c r="E312" s="14" t="s">
        <v>1253</v>
      </c>
      <c r="F312" s="15" t="s">
        <v>1254</v>
      </c>
      <c r="G312" s="14" t="s">
        <v>533</v>
      </c>
      <c r="H312" s="14" t="s">
        <v>4016</v>
      </c>
      <c r="I312" s="14" t="s">
        <v>4017</v>
      </c>
      <c r="J312" s="14" t="s">
        <v>400</v>
      </c>
      <c r="K312" s="22" t="s">
        <v>1668</v>
      </c>
      <c r="L312" s="14" t="s">
        <v>4018</v>
      </c>
      <c r="M312" s="14" t="s">
        <v>4019</v>
      </c>
      <c r="N312" s="14" t="s">
        <v>4020</v>
      </c>
      <c r="O312" s="14"/>
      <c r="P312" s="14" t="s">
        <v>4021</v>
      </c>
      <c r="Q312" s="14" t="s">
        <v>4022</v>
      </c>
      <c r="R312" s="14" t="s">
        <v>235</v>
      </c>
      <c r="S312" s="20" t="s">
        <v>324</v>
      </c>
      <c r="T312" s="20" t="s">
        <v>324</v>
      </c>
      <c r="U312" s="14" t="s">
        <v>4023</v>
      </c>
      <c r="V312" s="14" t="s">
        <v>109</v>
      </c>
      <c r="W312" s="18" t="s">
        <v>110</v>
      </c>
      <c r="X312" s="14" t="s">
        <v>4024</v>
      </c>
      <c r="Y312" s="14" t="s">
        <v>1668</v>
      </c>
      <c r="Z312" s="14" t="s">
        <v>107</v>
      </c>
      <c r="AA312" s="14" t="s">
        <v>107</v>
      </c>
      <c r="AB312" s="14" t="s">
        <v>112</v>
      </c>
      <c r="AC312" s="14" t="s">
        <v>113</v>
      </c>
      <c r="AD312" s="14" t="s">
        <v>114</v>
      </c>
    </row>
    <row r="313" customFormat="false" ht="78" hidden="false" customHeight="true" outlineLevel="0" collapsed="false">
      <c r="A313" s="14" t="s">
        <v>4025</v>
      </c>
      <c r="B313" s="14" t="s">
        <v>44</v>
      </c>
      <c r="C313" s="14" t="s">
        <v>4026</v>
      </c>
      <c r="D313" s="14" t="s">
        <v>40</v>
      </c>
      <c r="E313" s="14" t="s">
        <v>225</v>
      </c>
      <c r="F313" s="15" t="s">
        <v>226</v>
      </c>
      <c r="G313" s="14" t="s">
        <v>227</v>
      </c>
      <c r="H313" s="14" t="s">
        <v>4027</v>
      </c>
      <c r="I313" s="14" t="s">
        <v>4028</v>
      </c>
      <c r="J313" s="14" t="s">
        <v>400</v>
      </c>
      <c r="K313" s="22" t="s">
        <v>1668</v>
      </c>
      <c r="L313" s="14" t="s">
        <v>4029</v>
      </c>
      <c r="M313" s="14" t="s">
        <v>4030</v>
      </c>
      <c r="N313" s="14" t="s">
        <v>4031</v>
      </c>
      <c r="O313" s="14"/>
      <c r="P313" s="14" t="s">
        <v>4032</v>
      </c>
      <c r="Q313" s="14" t="s">
        <v>4033</v>
      </c>
      <c r="R313" s="14" t="s">
        <v>235</v>
      </c>
      <c r="S313" s="20" t="s">
        <v>324</v>
      </c>
      <c r="T313" s="17" t="s">
        <v>107</v>
      </c>
      <c r="U313" s="14" t="s">
        <v>4034</v>
      </c>
      <c r="V313" s="14" t="s">
        <v>109</v>
      </c>
      <c r="W313" s="18" t="s">
        <v>110</v>
      </c>
      <c r="X313" s="14" t="s">
        <v>4035</v>
      </c>
      <c r="Y313" s="14" t="s">
        <v>194</v>
      </c>
      <c r="Z313" s="14" t="s">
        <v>107</v>
      </c>
      <c r="AA313" s="14" t="s">
        <v>107</v>
      </c>
      <c r="AB313" s="14" t="s">
        <v>112</v>
      </c>
      <c r="AC313" s="14" t="s">
        <v>113</v>
      </c>
      <c r="AD313" s="14" t="s">
        <v>114</v>
      </c>
    </row>
    <row r="314" customFormat="false" ht="78" hidden="false" customHeight="true" outlineLevel="0" collapsed="false">
      <c r="A314" s="14" t="s">
        <v>4036</v>
      </c>
      <c r="B314" s="14" t="s">
        <v>44</v>
      </c>
      <c r="C314" s="14" t="s">
        <v>4037</v>
      </c>
      <c r="D314" s="14" t="s">
        <v>40</v>
      </c>
      <c r="E314" s="14" t="s">
        <v>225</v>
      </c>
      <c r="F314" s="15" t="s">
        <v>226</v>
      </c>
      <c r="G314" s="14" t="s">
        <v>227</v>
      </c>
      <c r="H314" s="14" t="s">
        <v>4038</v>
      </c>
      <c r="I314" s="14" t="s">
        <v>4039</v>
      </c>
      <c r="J314" s="14" t="s">
        <v>99</v>
      </c>
      <c r="K314" s="22" t="s">
        <v>1668</v>
      </c>
      <c r="L314" s="14" t="s">
        <v>4040</v>
      </c>
      <c r="M314" s="14" t="s">
        <v>4041</v>
      </c>
      <c r="N314" s="14" t="s">
        <v>4042</v>
      </c>
      <c r="O314" s="14"/>
      <c r="P314" s="14" t="s">
        <v>4043</v>
      </c>
      <c r="Q314" s="14" t="s">
        <v>4044</v>
      </c>
      <c r="R314" s="14" t="s">
        <v>235</v>
      </c>
      <c r="S314" s="17" t="s">
        <v>107</v>
      </c>
      <c r="T314" s="17" t="s">
        <v>107</v>
      </c>
      <c r="U314" s="14" t="s">
        <v>4045</v>
      </c>
      <c r="V314" s="14" t="s">
        <v>109</v>
      </c>
      <c r="W314" s="18" t="s">
        <v>110</v>
      </c>
      <c r="X314" s="14" t="s">
        <v>4046</v>
      </c>
      <c r="Y314" s="14" t="s">
        <v>194</v>
      </c>
      <c r="Z314" s="14" t="s">
        <v>107</v>
      </c>
      <c r="AA314" s="14" t="s">
        <v>107</v>
      </c>
      <c r="AB314" s="14" t="s">
        <v>112</v>
      </c>
      <c r="AC314" s="14" t="s">
        <v>113</v>
      </c>
      <c r="AD314" s="14" t="s">
        <v>114</v>
      </c>
    </row>
    <row r="315" customFormat="false" ht="78" hidden="false" customHeight="true" outlineLevel="0" collapsed="false">
      <c r="A315" s="14" t="s">
        <v>4047</v>
      </c>
      <c r="B315" s="14" t="s">
        <v>44</v>
      </c>
      <c r="C315" s="14" t="s">
        <v>4048</v>
      </c>
      <c r="D315" s="14" t="s">
        <v>40</v>
      </c>
      <c r="E315" s="14" t="s">
        <v>4049</v>
      </c>
      <c r="F315" s="15" t="s">
        <v>4050</v>
      </c>
      <c r="G315" s="14" t="s">
        <v>533</v>
      </c>
      <c r="H315" s="14" t="s">
        <v>4051</v>
      </c>
      <c r="I315" s="14" t="s">
        <v>4052</v>
      </c>
      <c r="J315" s="14" t="s">
        <v>57</v>
      </c>
      <c r="K315" s="22" t="s">
        <v>1668</v>
      </c>
      <c r="L315" s="14" t="s">
        <v>4053</v>
      </c>
      <c r="M315" s="14" t="s">
        <v>4054</v>
      </c>
      <c r="N315" s="14" t="s">
        <v>4055</v>
      </c>
      <c r="O315" s="14"/>
      <c r="P315" s="14" t="s">
        <v>4056</v>
      </c>
      <c r="Q315" s="14" t="s">
        <v>4057</v>
      </c>
      <c r="R315" s="14" t="s">
        <v>235</v>
      </c>
      <c r="S315" s="20" t="s">
        <v>324</v>
      </c>
      <c r="T315" s="17" t="s">
        <v>107</v>
      </c>
      <c r="U315" s="14" t="s">
        <v>4058</v>
      </c>
      <c r="V315" s="14" t="s">
        <v>109</v>
      </c>
      <c r="W315" s="21" t="s">
        <v>429</v>
      </c>
      <c r="X315" s="14" t="s">
        <v>4059</v>
      </c>
      <c r="Y315" s="14" t="s">
        <v>194</v>
      </c>
      <c r="Z315" s="14" t="s">
        <v>107</v>
      </c>
      <c r="AA315" s="14" t="s">
        <v>107</v>
      </c>
      <c r="AB315" s="14" t="s">
        <v>112</v>
      </c>
      <c r="AC315" s="14" t="s">
        <v>113</v>
      </c>
      <c r="AD315" s="14" t="s">
        <v>114</v>
      </c>
    </row>
    <row r="316" customFormat="false" ht="78" hidden="false" customHeight="true" outlineLevel="0" collapsed="false">
      <c r="A316" s="14" t="s">
        <v>4060</v>
      </c>
      <c r="B316" s="14" t="s">
        <v>44</v>
      </c>
      <c r="C316" s="14" t="s">
        <v>4061</v>
      </c>
      <c r="D316" s="14" t="s">
        <v>40</v>
      </c>
      <c r="E316" s="14" t="s">
        <v>225</v>
      </c>
      <c r="F316" s="15" t="s">
        <v>226</v>
      </c>
      <c r="G316" s="14" t="s">
        <v>227</v>
      </c>
      <c r="H316" s="14" t="s">
        <v>4062</v>
      </c>
      <c r="I316" s="14" t="s">
        <v>4063</v>
      </c>
      <c r="J316" s="14" t="s">
        <v>57</v>
      </c>
      <c r="K316" s="22" t="s">
        <v>1668</v>
      </c>
      <c r="L316" s="14" t="s">
        <v>4064</v>
      </c>
      <c r="M316" s="14" t="s">
        <v>4065</v>
      </c>
      <c r="N316" s="14" t="s">
        <v>4066</v>
      </c>
      <c r="O316" s="14"/>
      <c r="P316" s="14" t="s">
        <v>4067</v>
      </c>
      <c r="Q316" s="14" t="s">
        <v>4068</v>
      </c>
      <c r="R316" s="14" t="s">
        <v>235</v>
      </c>
      <c r="S316" s="17" t="s">
        <v>107</v>
      </c>
      <c r="T316" s="20" t="s">
        <v>324</v>
      </c>
      <c r="U316" s="14" t="s">
        <v>4069</v>
      </c>
      <c r="V316" s="14" t="s">
        <v>109</v>
      </c>
      <c r="W316" s="18" t="s">
        <v>110</v>
      </c>
      <c r="X316" s="14" t="s">
        <v>4070</v>
      </c>
      <c r="Y316" s="14" t="s">
        <v>194</v>
      </c>
      <c r="Z316" s="14" t="s">
        <v>107</v>
      </c>
      <c r="AA316" s="14" t="s">
        <v>107</v>
      </c>
      <c r="AB316" s="14" t="s">
        <v>112</v>
      </c>
      <c r="AC316" s="14" t="s">
        <v>113</v>
      </c>
      <c r="AD316" s="14" t="s">
        <v>114</v>
      </c>
    </row>
    <row r="317" customFormat="false" ht="78" hidden="false" customHeight="true" outlineLevel="0" collapsed="false">
      <c r="A317" s="14" t="s">
        <v>4071</v>
      </c>
      <c r="B317" s="14" t="s">
        <v>44</v>
      </c>
      <c r="C317" s="14" t="s">
        <v>4072</v>
      </c>
      <c r="D317" s="14" t="s">
        <v>40</v>
      </c>
      <c r="E317" s="14" t="s">
        <v>4073</v>
      </c>
      <c r="F317" s="15" t="s">
        <v>4074</v>
      </c>
      <c r="G317" s="14" t="s">
        <v>4075</v>
      </c>
      <c r="H317" s="14" t="s">
        <v>4076</v>
      </c>
      <c r="I317" s="14" t="s">
        <v>4077</v>
      </c>
      <c r="J317" s="14" t="s">
        <v>99</v>
      </c>
      <c r="K317" s="22" t="s">
        <v>1668</v>
      </c>
      <c r="L317" s="14" t="s">
        <v>4078</v>
      </c>
      <c r="M317" s="14" t="s">
        <v>4079</v>
      </c>
      <c r="N317" s="14" t="s">
        <v>4080</v>
      </c>
      <c r="O317" s="14"/>
      <c r="P317" s="14" t="s">
        <v>4081</v>
      </c>
      <c r="Q317" s="14" t="s">
        <v>4082</v>
      </c>
      <c r="R317" s="14" t="s">
        <v>235</v>
      </c>
      <c r="S317" s="17" t="s">
        <v>107</v>
      </c>
      <c r="T317" s="17" t="s">
        <v>107</v>
      </c>
      <c r="U317" s="14" t="s">
        <v>4083</v>
      </c>
      <c r="V317" s="14" t="s">
        <v>109</v>
      </c>
      <c r="W317" s="18" t="s">
        <v>110</v>
      </c>
      <c r="X317" s="14" t="s">
        <v>4084</v>
      </c>
      <c r="Y317" s="14" t="s">
        <v>194</v>
      </c>
      <c r="Z317" s="14" t="s">
        <v>107</v>
      </c>
      <c r="AA317" s="14" t="s">
        <v>107</v>
      </c>
      <c r="AB317" s="14" t="s">
        <v>112</v>
      </c>
      <c r="AC317" s="14" t="s">
        <v>113</v>
      </c>
      <c r="AD317" s="14" t="s">
        <v>114</v>
      </c>
    </row>
    <row r="318" customFormat="false" ht="78" hidden="false" customHeight="true" outlineLevel="0" collapsed="false">
      <c r="A318" s="14" t="s">
        <v>4085</v>
      </c>
      <c r="B318" s="14" t="s">
        <v>45</v>
      </c>
      <c r="C318" s="14" t="s">
        <v>4086</v>
      </c>
      <c r="D318" s="14" t="s">
        <v>40</v>
      </c>
      <c r="E318" s="14" t="s">
        <v>1612</v>
      </c>
      <c r="F318" s="15" t="s">
        <v>1768</v>
      </c>
      <c r="G318" s="14" t="s">
        <v>285</v>
      </c>
      <c r="H318" s="14" t="s">
        <v>4087</v>
      </c>
      <c r="I318" s="14" t="s">
        <v>4088</v>
      </c>
      <c r="J318" s="14" t="s">
        <v>56</v>
      </c>
      <c r="K318" s="22" t="s">
        <v>1668</v>
      </c>
      <c r="L318" s="14" t="s">
        <v>4089</v>
      </c>
      <c r="M318" s="14" t="s">
        <v>4090</v>
      </c>
      <c r="N318" s="14" t="s">
        <v>4091</v>
      </c>
      <c r="O318" s="14"/>
      <c r="P318" s="14" t="s">
        <v>4092</v>
      </c>
      <c r="Q318" s="14" t="s">
        <v>4093</v>
      </c>
      <c r="R318" s="14" t="s">
        <v>3966</v>
      </c>
      <c r="S318" s="20" t="s">
        <v>324</v>
      </c>
      <c r="T318" s="17" t="s">
        <v>107</v>
      </c>
      <c r="U318" s="14" t="s">
        <v>4094</v>
      </c>
      <c r="V318" s="14" t="s">
        <v>109</v>
      </c>
      <c r="W318" s="18" t="s">
        <v>110</v>
      </c>
      <c r="X318" s="14" t="s">
        <v>4095</v>
      </c>
      <c r="Y318" s="14" t="s">
        <v>1668</v>
      </c>
      <c r="Z318" s="14" t="s">
        <v>107</v>
      </c>
      <c r="AA318" s="14" t="s">
        <v>107</v>
      </c>
      <c r="AB318" s="14" t="s">
        <v>921</v>
      </c>
      <c r="AC318" s="14" t="s">
        <v>113</v>
      </c>
      <c r="AD318" s="14" t="s">
        <v>114</v>
      </c>
    </row>
    <row r="319" customFormat="false" ht="78" hidden="false" customHeight="true" outlineLevel="0" collapsed="false">
      <c r="A319" s="14" t="s">
        <v>4096</v>
      </c>
      <c r="B319" s="14" t="s">
        <v>45</v>
      </c>
      <c r="C319" s="14" t="s">
        <v>4097</v>
      </c>
      <c r="D319" s="14" t="s">
        <v>40</v>
      </c>
      <c r="E319" s="14" t="s">
        <v>4098</v>
      </c>
      <c r="F319" s="15" t="s">
        <v>4099</v>
      </c>
      <c r="G319" s="14" t="s">
        <v>285</v>
      </c>
      <c r="H319" s="14" t="s">
        <v>4100</v>
      </c>
      <c r="I319" s="14" t="s">
        <v>4101</v>
      </c>
      <c r="J319" s="14" t="s">
        <v>56</v>
      </c>
      <c r="K319" s="22" t="s">
        <v>1668</v>
      </c>
      <c r="L319" s="14" t="s">
        <v>4102</v>
      </c>
      <c r="M319" s="14" t="s">
        <v>4103</v>
      </c>
      <c r="N319" s="14" t="s">
        <v>4104</v>
      </c>
      <c r="O319" s="14"/>
      <c r="P319" s="14" t="s">
        <v>4105</v>
      </c>
      <c r="Q319" s="14" t="s">
        <v>4106</v>
      </c>
      <c r="R319" s="14" t="s">
        <v>3966</v>
      </c>
      <c r="S319" s="20" t="s">
        <v>324</v>
      </c>
      <c r="T319" s="17" t="s">
        <v>107</v>
      </c>
      <c r="U319" s="14" t="s">
        <v>4107</v>
      </c>
      <c r="V319" s="14" t="s">
        <v>109</v>
      </c>
      <c r="W319" s="18" t="s">
        <v>110</v>
      </c>
      <c r="X319" s="14" t="s">
        <v>4108</v>
      </c>
      <c r="Y319" s="14" t="s">
        <v>1668</v>
      </c>
      <c r="Z319" s="14" t="s">
        <v>107</v>
      </c>
      <c r="AA319" s="14" t="s">
        <v>107</v>
      </c>
      <c r="AB319" s="14" t="s">
        <v>921</v>
      </c>
      <c r="AC319" s="14" t="s">
        <v>113</v>
      </c>
      <c r="AD319" s="14" t="s">
        <v>114</v>
      </c>
    </row>
    <row r="320" customFormat="false" ht="78" hidden="false" customHeight="true" outlineLevel="0" collapsed="false">
      <c r="A320" s="14" t="s">
        <v>4109</v>
      </c>
      <c r="B320" s="14" t="s">
        <v>45</v>
      </c>
      <c r="C320" s="14" t="s">
        <v>4110</v>
      </c>
      <c r="D320" s="14" t="s">
        <v>40</v>
      </c>
      <c r="E320" s="14" t="s">
        <v>4111</v>
      </c>
      <c r="F320" s="15" t="s">
        <v>4112</v>
      </c>
      <c r="G320" s="14" t="s">
        <v>285</v>
      </c>
      <c r="H320" s="14" t="s">
        <v>4113</v>
      </c>
      <c r="I320" s="14" t="s">
        <v>4114</v>
      </c>
      <c r="J320" s="14" t="s">
        <v>56</v>
      </c>
      <c r="K320" s="22" t="s">
        <v>1668</v>
      </c>
      <c r="L320" s="14" t="s">
        <v>4115</v>
      </c>
      <c r="M320" s="14" t="s">
        <v>4116</v>
      </c>
      <c r="N320" s="14" t="s">
        <v>4117</v>
      </c>
      <c r="O320" s="14"/>
      <c r="P320" s="14" t="s">
        <v>4118</v>
      </c>
      <c r="Q320" s="14" t="s">
        <v>4119</v>
      </c>
      <c r="R320" s="14" t="s">
        <v>3966</v>
      </c>
      <c r="S320" s="20" t="s">
        <v>324</v>
      </c>
      <c r="T320" s="17" t="s">
        <v>107</v>
      </c>
      <c r="U320" s="14" t="s">
        <v>4120</v>
      </c>
      <c r="V320" s="14" t="s">
        <v>109</v>
      </c>
      <c r="W320" s="18" t="s">
        <v>110</v>
      </c>
      <c r="X320" s="14" t="s">
        <v>4121</v>
      </c>
      <c r="Y320" s="14" t="s">
        <v>1668</v>
      </c>
      <c r="Z320" s="14" t="s">
        <v>107</v>
      </c>
      <c r="AA320" s="14" t="s">
        <v>107</v>
      </c>
      <c r="AB320" s="14" t="s">
        <v>921</v>
      </c>
      <c r="AC320" s="14" t="s">
        <v>113</v>
      </c>
      <c r="AD320" s="14" t="s">
        <v>114</v>
      </c>
    </row>
    <row r="321" customFormat="false" ht="78" hidden="false" customHeight="true" outlineLevel="0" collapsed="false">
      <c r="A321" s="14" t="s">
        <v>4122</v>
      </c>
      <c r="B321" s="14" t="s">
        <v>45</v>
      </c>
      <c r="C321" s="14" t="s">
        <v>4123</v>
      </c>
      <c r="D321" s="14" t="s">
        <v>40</v>
      </c>
      <c r="E321" s="14" t="s">
        <v>225</v>
      </c>
      <c r="F321" s="15" t="s">
        <v>226</v>
      </c>
      <c r="G321" s="14" t="s">
        <v>227</v>
      </c>
      <c r="H321" s="14" t="s">
        <v>4124</v>
      </c>
      <c r="I321" s="14" t="s">
        <v>4125</v>
      </c>
      <c r="J321" s="14" t="s">
        <v>55</v>
      </c>
      <c r="K321" s="22" t="s">
        <v>1668</v>
      </c>
      <c r="L321" s="14" t="s">
        <v>4126</v>
      </c>
      <c r="M321" s="14" t="s">
        <v>4127</v>
      </c>
      <c r="N321" s="14" t="s">
        <v>4128</v>
      </c>
      <c r="O321" s="14"/>
      <c r="P321" s="14" t="s">
        <v>4129</v>
      </c>
      <c r="Q321" s="14" t="s">
        <v>4130</v>
      </c>
      <c r="R321" s="14" t="s">
        <v>4131</v>
      </c>
      <c r="S321" s="20" t="s">
        <v>324</v>
      </c>
      <c r="T321" s="17" t="s">
        <v>107</v>
      </c>
      <c r="U321" s="14" t="s">
        <v>4132</v>
      </c>
      <c r="V321" s="14" t="s">
        <v>109</v>
      </c>
      <c r="W321" s="18" t="s">
        <v>110</v>
      </c>
      <c r="X321" s="14" t="s">
        <v>4133</v>
      </c>
      <c r="Y321" s="14" t="s">
        <v>1668</v>
      </c>
      <c r="Z321" s="14" t="s">
        <v>107</v>
      </c>
      <c r="AA321" s="14" t="s">
        <v>107</v>
      </c>
      <c r="AB321" s="14" t="s">
        <v>921</v>
      </c>
      <c r="AC321" s="14" t="s">
        <v>113</v>
      </c>
      <c r="AD321" s="14" t="s">
        <v>114</v>
      </c>
    </row>
    <row r="322" customFormat="false" ht="78" hidden="false" customHeight="true" outlineLevel="0" collapsed="false">
      <c r="A322" s="14" t="s">
        <v>4134</v>
      </c>
      <c r="B322" s="14" t="s">
        <v>45</v>
      </c>
      <c r="C322" s="14" t="s">
        <v>4135</v>
      </c>
      <c r="D322" s="14" t="s">
        <v>40</v>
      </c>
      <c r="E322" s="14" t="s">
        <v>4136</v>
      </c>
      <c r="F322" s="15" t="s">
        <v>4137</v>
      </c>
      <c r="G322" s="14" t="s">
        <v>4138</v>
      </c>
      <c r="H322" s="14" t="s">
        <v>4139</v>
      </c>
      <c r="I322" s="14" t="s">
        <v>4140</v>
      </c>
      <c r="J322" s="14" t="s">
        <v>505</v>
      </c>
      <c r="K322" s="22" t="s">
        <v>1668</v>
      </c>
      <c r="L322" s="14" t="s">
        <v>4141</v>
      </c>
      <c r="M322" s="14" t="s">
        <v>4142</v>
      </c>
      <c r="N322" s="14" t="s">
        <v>4143</v>
      </c>
      <c r="O322" s="14"/>
      <c r="P322" s="14" t="s">
        <v>4144</v>
      </c>
      <c r="Q322" s="14" t="s">
        <v>4145</v>
      </c>
      <c r="R322" s="14" t="s">
        <v>235</v>
      </c>
      <c r="S322" s="20" t="s">
        <v>324</v>
      </c>
      <c r="T322" s="17" t="s">
        <v>107</v>
      </c>
      <c r="U322" s="14" t="s">
        <v>4146</v>
      </c>
      <c r="V322" s="14" t="s">
        <v>109</v>
      </c>
      <c r="W322" s="21" t="s">
        <v>429</v>
      </c>
      <c r="X322" s="14" t="s">
        <v>4147</v>
      </c>
      <c r="Y322" s="14" t="s">
        <v>1668</v>
      </c>
      <c r="Z322" s="14" t="s">
        <v>107</v>
      </c>
      <c r="AA322" s="14" t="s">
        <v>107</v>
      </c>
      <c r="AB322" s="14" t="s">
        <v>921</v>
      </c>
      <c r="AC322" s="14" t="s">
        <v>113</v>
      </c>
      <c r="AD322" s="14" t="s">
        <v>114</v>
      </c>
    </row>
    <row r="323" customFormat="false" ht="78" hidden="false" customHeight="true" outlineLevel="0" collapsed="false">
      <c r="A323" s="14" t="s">
        <v>4148</v>
      </c>
      <c r="B323" s="14" t="s">
        <v>48</v>
      </c>
      <c r="C323" s="14" t="s">
        <v>4149</v>
      </c>
      <c r="D323" s="14" t="s">
        <v>40</v>
      </c>
      <c r="E323" s="14" t="s">
        <v>4150</v>
      </c>
      <c r="F323" s="15" t="s">
        <v>4151</v>
      </c>
      <c r="G323" s="14" t="s">
        <v>4152</v>
      </c>
      <c r="H323" s="14" t="s">
        <v>4153</v>
      </c>
      <c r="I323" s="14" t="s">
        <v>4154</v>
      </c>
      <c r="J323" s="14" t="s">
        <v>54</v>
      </c>
      <c r="K323" s="22" t="s">
        <v>1668</v>
      </c>
      <c r="L323" s="14" t="s">
        <v>4155</v>
      </c>
      <c r="M323" s="14" t="s">
        <v>4156</v>
      </c>
      <c r="N323" s="14" t="s">
        <v>4157</v>
      </c>
      <c r="O323" s="14"/>
      <c r="P323" s="14" t="s">
        <v>4158</v>
      </c>
      <c r="Q323" s="14" t="s">
        <v>4159</v>
      </c>
      <c r="R323" s="14" t="s">
        <v>4160</v>
      </c>
      <c r="S323" s="17" t="s">
        <v>107</v>
      </c>
      <c r="T323" s="20" t="s">
        <v>324</v>
      </c>
      <c r="U323" s="14" t="s">
        <v>4161</v>
      </c>
      <c r="V323" s="14" t="s">
        <v>109</v>
      </c>
      <c r="W323" s="18" t="s">
        <v>110</v>
      </c>
      <c r="X323" s="14" t="s">
        <v>4162</v>
      </c>
      <c r="Y323" s="14" t="s">
        <v>1668</v>
      </c>
      <c r="Z323" s="14" t="s">
        <v>107</v>
      </c>
      <c r="AA323" s="14" t="s">
        <v>107</v>
      </c>
      <c r="AB323" s="14" t="s">
        <v>559</v>
      </c>
      <c r="AC323" s="14" t="s">
        <v>560</v>
      </c>
      <c r="AD323" s="14" t="s">
        <v>561</v>
      </c>
    </row>
    <row r="324" customFormat="false" ht="78" hidden="false" customHeight="true" outlineLevel="0" collapsed="false">
      <c r="A324" s="14" t="s">
        <v>4163</v>
      </c>
      <c r="B324" s="14" t="s">
        <v>43</v>
      </c>
      <c r="C324" s="14" t="s">
        <v>4164</v>
      </c>
      <c r="D324" s="14" t="s">
        <v>40</v>
      </c>
      <c r="E324" s="14" t="s">
        <v>2643</v>
      </c>
      <c r="F324" s="15" t="s">
        <v>1425</v>
      </c>
      <c r="G324" s="14" t="s">
        <v>285</v>
      </c>
      <c r="H324" s="14" t="s">
        <v>4165</v>
      </c>
      <c r="I324" s="14" t="s">
        <v>4166</v>
      </c>
      <c r="J324" s="14" t="s">
        <v>50</v>
      </c>
      <c r="K324" s="22" t="s">
        <v>1668</v>
      </c>
      <c r="L324" s="14" t="s">
        <v>4167</v>
      </c>
      <c r="M324" s="14" t="s">
        <v>4168</v>
      </c>
      <c r="N324" s="14" t="s">
        <v>4169</v>
      </c>
      <c r="O324" s="14"/>
      <c r="P324" s="14" t="s">
        <v>4170</v>
      </c>
      <c r="Q324" s="14" t="s">
        <v>4171</v>
      </c>
      <c r="R324" s="14" t="s">
        <v>1237</v>
      </c>
      <c r="S324" s="17" t="s">
        <v>107</v>
      </c>
      <c r="T324" s="17" t="s">
        <v>107</v>
      </c>
      <c r="U324" s="14" t="s">
        <v>4172</v>
      </c>
      <c r="V324" s="14" t="s">
        <v>109</v>
      </c>
      <c r="W324" s="18" t="s">
        <v>110</v>
      </c>
      <c r="X324" s="14" t="s">
        <v>4173</v>
      </c>
      <c r="Y324" s="14" t="s">
        <v>194</v>
      </c>
      <c r="Z324" s="14" t="s">
        <v>107</v>
      </c>
      <c r="AA324" s="14" t="s">
        <v>107</v>
      </c>
      <c r="AB324" s="14" t="s">
        <v>131</v>
      </c>
      <c r="AC324" s="14" t="s">
        <v>113</v>
      </c>
      <c r="AD324" s="14" t="s">
        <v>114</v>
      </c>
    </row>
    <row r="325" customFormat="false" ht="78" hidden="false" customHeight="true" outlineLevel="0" collapsed="false">
      <c r="A325" s="14" t="s">
        <v>4174</v>
      </c>
      <c r="B325" s="14" t="s">
        <v>43</v>
      </c>
      <c r="C325" s="14" t="s">
        <v>4175</v>
      </c>
      <c r="D325" s="14" t="s">
        <v>40</v>
      </c>
      <c r="E325" s="14" t="s">
        <v>4176</v>
      </c>
      <c r="F325" s="15" t="s">
        <v>3295</v>
      </c>
      <c r="G325" s="14" t="s">
        <v>285</v>
      </c>
      <c r="H325" s="14" t="s">
        <v>4177</v>
      </c>
      <c r="I325" s="14" t="s">
        <v>4178</v>
      </c>
      <c r="J325" s="14" t="s">
        <v>53</v>
      </c>
      <c r="K325" s="22" t="s">
        <v>1668</v>
      </c>
      <c r="L325" s="14" t="s">
        <v>4179</v>
      </c>
      <c r="M325" s="14" t="s">
        <v>4180</v>
      </c>
      <c r="N325" s="14" t="s">
        <v>4181</v>
      </c>
      <c r="O325" s="14"/>
      <c r="P325" s="14" t="s">
        <v>4182</v>
      </c>
      <c r="Q325" s="14" t="s">
        <v>4183</v>
      </c>
      <c r="R325" s="14" t="s">
        <v>1237</v>
      </c>
      <c r="S325" s="20" t="s">
        <v>324</v>
      </c>
      <c r="T325" s="17" t="s">
        <v>107</v>
      </c>
      <c r="U325" s="14" t="s">
        <v>4184</v>
      </c>
      <c r="V325" s="14" t="s">
        <v>109</v>
      </c>
      <c r="W325" s="18" t="s">
        <v>110</v>
      </c>
      <c r="X325" s="14" t="s">
        <v>4185</v>
      </c>
      <c r="Y325" s="14" t="s">
        <v>1668</v>
      </c>
      <c r="Z325" s="14" t="s">
        <v>107</v>
      </c>
      <c r="AA325" s="14" t="s">
        <v>107</v>
      </c>
      <c r="AB325" s="14" t="s">
        <v>131</v>
      </c>
      <c r="AC325" s="14" t="s">
        <v>113</v>
      </c>
      <c r="AD325" s="14" t="s">
        <v>114</v>
      </c>
    </row>
    <row r="326" customFormat="false" ht="78" hidden="false" customHeight="true" outlineLevel="0" collapsed="false">
      <c r="A326" s="14" t="s">
        <v>4186</v>
      </c>
      <c r="B326" s="14" t="s">
        <v>43</v>
      </c>
      <c r="C326" s="14" t="s">
        <v>4187</v>
      </c>
      <c r="D326" s="14" t="s">
        <v>40</v>
      </c>
      <c r="E326" s="14" t="s">
        <v>4188</v>
      </c>
      <c r="F326" s="15" t="s">
        <v>226</v>
      </c>
      <c r="G326" s="14" t="s">
        <v>227</v>
      </c>
      <c r="H326" s="14" t="s">
        <v>4189</v>
      </c>
      <c r="I326" s="14" t="s">
        <v>4190</v>
      </c>
      <c r="J326" s="14" t="s">
        <v>54</v>
      </c>
      <c r="K326" s="22" t="s">
        <v>1668</v>
      </c>
      <c r="L326" s="14" t="s">
        <v>4191</v>
      </c>
      <c r="M326" s="14" t="s">
        <v>4192</v>
      </c>
      <c r="N326" s="14" t="s">
        <v>4193</v>
      </c>
      <c r="O326" s="14"/>
      <c r="P326" s="14" t="s">
        <v>4194</v>
      </c>
      <c r="Q326" s="14" t="s">
        <v>4195</v>
      </c>
      <c r="R326" s="14" t="s">
        <v>235</v>
      </c>
      <c r="S326" s="17" t="s">
        <v>107</v>
      </c>
      <c r="T326" s="20" t="s">
        <v>324</v>
      </c>
      <c r="U326" s="14" t="s">
        <v>4196</v>
      </c>
      <c r="V326" s="14" t="s">
        <v>109</v>
      </c>
      <c r="W326" s="18" t="s">
        <v>110</v>
      </c>
      <c r="X326" s="14" t="s">
        <v>4197</v>
      </c>
      <c r="Y326" s="14" t="s">
        <v>194</v>
      </c>
      <c r="Z326" s="14" t="s">
        <v>107</v>
      </c>
      <c r="AA326" s="14" t="s">
        <v>107</v>
      </c>
      <c r="AB326" s="14" t="s">
        <v>131</v>
      </c>
      <c r="AC326" s="14" t="s">
        <v>560</v>
      </c>
      <c r="AD326" s="14" t="s">
        <v>561</v>
      </c>
    </row>
    <row r="327" customFormat="false" ht="78" hidden="false" customHeight="true" outlineLevel="0" collapsed="false">
      <c r="A327" s="14" t="s">
        <v>4198</v>
      </c>
      <c r="B327" s="14" t="s">
        <v>43</v>
      </c>
      <c r="C327" s="14" t="s">
        <v>4199</v>
      </c>
      <c r="D327" s="14" t="s">
        <v>40</v>
      </c>
      <c r="E327" s="14" t="s">
        <v>4200</v>
      </c>
      <c r="F327" s="15" t="s">
        <v>4151</v>
      </c>
      <c r="G327" s="14" t="s">
        <v>4152</v>
      </c>
      <c r="H327" s="14" t="s">
        <v>4201</v>
      </c>
      <c r="I327" s="14" t="s">
        <v>4202</v>
      </c>
      <c r="J327" s="14" t="s">
        <v>50</v>
      </c>
      <c r="K327" s="22" t="s">
        <v>1668</v>
      </c>
      <c r="L327" s="14" t="s">
        <v>4203</v>
      </c>
      <c r="M327" s="14" t="s">
        <v>4204</v>
      </c>
      <c r="N327" s="14" t="s">
        <v>4205</v>
      </c>
      <c r="O327" s="14"/>
      <c r="P327" s="14" t="s">
        <v>4206</v>
      </c>
      <c r="Q327" s="14" t="s">
        <v>4207</v>
      </c>
      <c r="R327" s="14" t="s">
        <v>1237</v>
      </c>
      <c r="S327" s="17" t="s">
        <v>107</v>
      </c>
      <c r="T327" s="17" t="s">
        <v>107</v>
      </c>
      <c r="U327" s="14" t="s">
        <v>4208</v>
      </c>
      <c r="V327" s="14" t="s">
        <v>109</v>
      </c>
      <c r="W327" s="18" t="s">
        <v>110</v>
      </c>
      <c r="X327" s="14" t="s">
        <v>4209</v>
      </c>
      <c r="Y327" s="14" t="s">
        <v>194</v>
      </c>
      <c r="Z327" s="14" t="s">
        <v>946</v>
      </c>
      <c r="AA327" s="14" t="s">
        <v>107</v>
      </c>
      <c r="AB327" s="14" t="s">
        <v>131</v>
      </c>
      <c r="AC327" s="14" t="s">
        <v>113</v>
      </c>
      <c r="AD327" s="14" t="s">
        <v>114</v>
      </c>
    </row>
    <row r="328" customFormat="false" ht="78" hidden="false" customHeight="true" outlineLevel="0" collapsed="false">
      <c r="A328" s="14" t="s">
        <v>4210</v>
      </c>
      <c r="B328" s="14" t="s">
        <v>43</v>
      </c>
      <c r="C328" s="14" t="s">
        <v>4211</v>
      </c>
      <c r="D328" s="14" t="s">
        <v>40</v>
      </c>
      <c r="E328" s="14" t="s">
        <v>4212</v>
      </c>
      <c r="F328" s="15" t="s">
        <v>4213</v>
      </c>
      <c r="G328" s="14" t="s">
        <v>4152</v>
      </c>
      <c r="H328" s="14" t="s">
        <v>4214</v>
      </c>
      <c r="I328" s="14" t="s">
        <v>4215</v>
      </c>
      <c r="J328" s="14" t="s">
        <v>505</v>
      </c>
      <c r="K328" s="22" t="s">
        <v>1668</v>
      </c>
      <c r="L328" s="14" t="s">
        <v>4216</v>
      </c>
      <c r="M328" s="14" t="s">
        <v>4217</v>
      </c>
      <c r="N328" s="14" t="s">
        <v>4218</v>
      </c>
      <c r="O328" s="14"/>
      <c r="P328" s="14" t="s">
        <v>4219</v>
      </c>
      <c r="Q328" s="14" t="s">
        <v>4220</v>
      </c>
      <c r="R328" s="14" t="s">
        <v>1237</v>
      </c>
      <c r="S328" s="17" t="s">
        <v>107</v>
      </c>
      <c r="T328" s="17" t="s">
        <v>107</v>
      </c>
      <c r="U328" s="14" t="s">
        <v>4221</v>
      </c>
      <c r="V328" s="14" t="s">
        <v>109</v>
      </c>
      <c r="W328" s="18" t="s">
        <v>110</v>
      </c>
      <c r="X328" s="14" t="s">
        <v>4222</v>
      </c>
      <c r="Y328" s="14" t="s">
        <v>194</v>
      </c>
      <c r="Z328" s="14" t="s">
        <v>107</v>
      </c>
      <c r="AA328" s="14" t="s">
        <v>107</v>
      </c>
      <c r="AB328" s="14" t="s">
        <v>131</v>
      </c>
      <c r="AC328" s="14" t="s">
        <v>113</v>
      </c>
      <c r="AD328" s="14" t="s">
        <v>114</v>
      </c>
    </row>
    <row r="329" customFormat="false" ht="78" hidden="false" customHeight="true" outlineLevel="0" collapsed="false">
      <c r="A329" s="14" t="s">
        <v>4223</v>
      </c>
      <c r="B329" s="14" t="s">
        <v>43</v>
      </c>
      <c r="C329" s="14" t="s">
        <v>4224</v>
      </c>
      <c r="D329" s="14" t="s">
        <v>40</v>
      </c>
      <c r="E329" s="14" t="s">
        <v>4225</v>
      </c>
      <c r="F329" s="15" t="s">
        <v>4050</v>
      </c>
      <c r="G329" s="14" t="s">
        <v>533</v>
      </c>
      <c r="H329" s="14" t="s">
        <v>4226</v>
      </c>
      <c r="I329" s="14" t="s">
        <v>4227</v>
      </c>
      <c r="J329" s="14" t="s">
        <v>50</v>
      </c>
      <c r="K329" s="22" t="s">
        <v>1668</v>
      </c>
      <c r="L329" s="14" t="s">
        <v>4228</v>
      </c>
      <c r="M329" s="14" t="s">
        <v>4229</v>
      </c>
      <c r="N329" s="14" t="s">
        <v>4230</v>
      </c>
      <c r="O329" s="14"/>
      <c r="P329" s="14" t="s">
        <v>4231</v>
      </c>
      <c r="Q329" s="14" t="s">
        <v>4232</v>
      </c>
      <c r="R329" s="14" t="s">
        <v>1237</v>
      </c>
      <c r="S329" s="20" t="s">
        <v>324</v>
      </c>
      <c r="T329" s="20" t="s">
        <v>324</v>
      </c>
      <c r="U329" s="14" t="s">
        <v>4233</v>
      </c>
      <c r="V329" s="14" t="s">
        <v>109</v>
      </c>
      <c r="W329" s="18" t="s">
        <v>110</v>
      </c>
      <c r="X329" s="14" t="s">
        <v>4234</v>
      </c>
      <c r="Y329" s="14" t="s">
        <v>1668</v>
      </c>
      <c r="Z329" s="14" t="s">
        <v>107</v>
      </c>
      <c r="AA329" s="14" t="s">
        <v>107</v>
      </c>
      <c r="AB329" s="14" t="s">
        <v>131</v>
      </c>
      <c r="AC329" s="14" t="s">
        <v>113</v>
      </c>
      <c r="AD329" s="14" t="s">
        <v>114</v>
      </c>
    </row>
    <row r="330" customFormat="false" ht="78" hidden="false" customHeight="true" outlineLevel="0" collapsed="false">
      <c r="A330" s="14" t="s">
        <v>4235</v>
      </c>
      <c r="B330" s="14" t="s">
        <v>43</v>
      </c>
      <c r="C330" s="14" t="s">
        <v>4236</v>
      </c>
      <c r="D330" s="14" t="s">
        <v>40</v>
      </c>
      <c r="E330" s="14" t="s">
        <v>4237</v>
      </c>
      <c r="F330" s="15" t="s">
        <v>896</v>
      </c>
      <c r="G330" s="14" t="s">
        <v>285</v>
      </c>
      <c r="H330" s="14" t="s">
        <v>4238</v>
      </c>
      <c r="I330" s="14" t="s">
        <v>4239</v>
      </c>
      <c r="J330" s="14" t="s">
        <v>1269</v>
      </c>
      <c r="K330" s="22" t="s">
        <v>1668</v>
      </c>
      <c r="L330" s="14" t="s">
        <v>4240</v>
      </c>
      <c r="M330" s="14" t="s">
        <v>4241</v>
      </c>
      <c r="N330" s="14" t="s">
        <v>4242</v>
      </c>
      <c r="O330" s="14"/>
      <c r="P330" s="14" t="s">
        <v>4243</v>
      </c>
      <c r="Q330" s="14" t="s">
        <v>4244</v>
      </c>
      <c r="R330" s="14" t="s">
        <v>1237</v>
      </c>
      <c r="S330" s="17" t="s">
        <v>107</v>
      </c>
      <c r="T330" s="17" t="s">
        <v>107</v>
      </c>
      <c r="U330" s="14" t="s">
        <v>4245</v>
      </c>
      <c r="V330" s="14" t="s">
        <v>109</v>
      </c>
      <c r="W330" s="18" t="s">
        <v>110</v>
      </c>
      <c r="X330" s="14" t="s">
        <v>4246</v>
      </c>
      <c r="Y330" s="14" t="s">
        <v>194</v>
      </c>
      <c r="Z330" s="14" t="s">
        <v>107</v>
      </c>
      <c r="AA330" s="14" t="s">
        <v>107</v>
      </c>
      <c r="AB330" s="14" t="s">
        <v>131</v>
      </c>
      <c r="AC330" s="14" t="s">
        <v>113</v>
      </c>
      <c r="AD330" s="14" t="s">
        <v>114</v>
      </c>
    </row>
    <row r="331" customFormat="false" ht="78" hidden="false" customHeight="true" outlineLevel="0" collapsed="false">
      <c r="A331" s="14" t="s">
        <v>4247</v>
      </c>
      <c r="B331" s="14" t="s">
        <v>43</v>
      </c>
      <c r="C331" s="14" t="s">
        <v>4248</v>
      </c>
      <c r="D331" s="14" t="s">
        <v>40</v>
      </c>
      <c r="E331" s="14" t="s">
        <v>4249</v>
      </c>
      <c r="F331" s="15" t="s">
        <v>4074</v>
      </c>
      <c r="G331" s="14" t="s">
        <v>4075</v>
      </c>
      <c r="H331" s="14" t="s">
        <v>4250</v>
      </c>
      <c r="I331" s="14" t="s">
        <v>4251</v>
      </c>
      <c r="J331" s="14" t="s">
        <v>50</v>
      </c>
      <c r="K331" s="22" t="s">
        <v>1668</v>
      </c>
      <c r="L331" s="14" t="s">
        <v>4252</v>
      </c>
      <c r="M331" s="14" t="s">
        <v>4253</v>
      </c>
      <c r="N331" s="14" t="s">
        <v>4254</v>
      </c>
      <c r="O331" s="14"/>
      <c r="P331" s="14" t="s">
        <v>4255</v>
      </c>
      <c r="Q331" s="14" t="s">
        <v>4256</v>
      </c>
      <c r="R331" s="14" t="s">
        <v>235</v>
      </c>
      <c r="S331" s="17" t="s">
        <v>107</v>
      </c>
      <c r="T331" s="17" t="s">
        <v>107</v>
      </c>
      <c r="U331" s="14" t="s">
        <v>4257</v>
      </c>
      <c r="V331" s="14" t="s">
        <v>109</v>
      </c>
      <c r="W331" s="18" t="s">
        <v>110</v>
      </c>
      <c r="X331" s="14" t="s">
        <v>4258</v>
      </c>
      <c r="Y331" s="14" t="s">
        <v>194</v>
      </c>
      <c r="Z331" s="14" t="s">
        <v>107</v>
      </c>
      <c r="AA331" s="14" t="s">
        <v>107</v>
      </c>
      <c r="AB331" s="14" t="s">
        <v>131</v>
      </c>
      <c r="AC331" s="14" t="s">
        <v>113</v>
      </c>
      <c r="AD331" s="14" t="s">
        <v>114</v>
      </c>
    </row>
    <row r="332" customFormat="false" ht="78" hidden="false" customHeight="true" outlineLevel="0" collapsed="false">
      <c r="A332" s="14" t="s">
        <v>4259</v>
      </c>
      <c r="B332" s="14" t="s">
        <v>46</v>
      </c>
      <c r="C332" s="14" t="s">
        <v>4260</v>
      </c>
      <c r="D332" s="14" t="s">
        <v>36</v>
      </c>
      <c r="E332" s="14" t="s">
        <v>4261</v>
      </c>
      <c r="F332" s="14"/>
      <c r="G332" s="14" t="s">
        <v>285</v>
      </c>
      <c r="H332" s="14" t="s">
        <v>4262</v>
      </c>
      <c r="I332" s="14" t="s">
        <v>4263</v>
      </c>
      <c r="J332" s="14" t="s">
        <v>51</v>
      </c>
      <c r="K332" s="22" t="s">
        <v>1668</v>
      </c>
      <c r="L332" s="14" t="s">
        <v>4264</v>
      </c>
      <c r="M332" s="14" t="s">
        <v>4265</v>
      </c>
      <c r="N332" s="14" t="s">
        <v>4266</v>
      </c>
      <c r="O332" s="14"/>
      <c r="P332" s="14" t="s">
        <v>4267</v>
      </c>
      <c r="Q332" s="14" t="s">
        <v>4268</v>
      </c>
      <c r="R332" s="14" t="s">
        <v>4160</v>
      </c>
      <c r="S332" s="17" t="s">
        <v>107</v>
      </c>
      <c r="T332" s="17" t="s">
        <v>107</v>
      </c>
      <c r="U332" s="14" t="s">
        <v>4269</v>
      </c>
      <c r="V332" s="14" t="s">
        <v>109</v>
      </c>
      <c r="W332" s="21" t="s">
        <v>429</v>
      </c>
      <c r="X332" s="14" t="s">
        <v>4270</v>
      </c>
      <c r="Y332" s="14" t="s">
        <v>100</v>
      </c>
      <c r="Z332" s="14" t="s">
        <v>107</v>
      </c>
      <c r="AA332" s="14" t="s">
        <v>107</v>
      </c>
      <c r="AB332" s="14" t="s">
        <v>147</v>
      </c>
      <c r="AC332" s="14" t="s">
        <v>1314</v>
      </c>
      <c r="AD332" s="14" t="s">
        <v>1315</v>
      </c>
    </row>
    <row r="333" customFormat="false" ht="78" hidden="false" customHeight="true" outlineLevel="0" collapsed="false">
      <c r="A333" s="14" t="s">
        <v>4271</v>
      </c>
      <c r="B333" s="14" t="s">
        <v>46</v>
      </c>
      <c r="C333" s="14" t="s">
        <v>4272</v>
      </c>
      <c r="D333" s="14" t="s">
        <v>36</v>
      </c>
      <c r="E333" s="14" t="s">
        <v>118</v>
      </c>
      <c r="F333" s="15" t="s">
        <v>119</v>
      </c>
      <c r="G333" s="14" t="s">
        <v>240</v>
      </c>
      <c r="H333" s="14" t="s">
        <v>4273</v>
      </c>
      <c r="I333" s="14" t="s">
        <v>4274</v>
      </c>
      <c r="J333" s="14" t="s">
        <v>57</v>
      </c>
      <c r="K333" s="22" t="s">
        <v>1668</v>
      </c>
      <c r="L333" s="14" t="s">
        <v>4275</v>
      </c>
      <c r="M333" s="14" t="s">
        <v>4276</v>
      </c>
      <c r="N333" s="14" t="s">
        <v>4277</v>
      </c>
      <c r="O333" s="14"/>
      <c r="P333" s="14" t="s">
        <v>4278</v>
      </c>
      <c r="Q333" s="14" t="s">
        <v>4279</v>
      </c>
      <c r="R333" s="14" t="s">
        <v>248</v>
      </c>
      <c r="S333" s="20" t="s">
        <v>324</v>
      </c>
      <c r="T333" s="17" t="s">
        <v>107</v>
      </c>
      <c r="U333" s="14" t="s">
        <v>4280</v>
      </c>
      <c r="V333" s="14" t="s">
        <v>109</v>
      </c>
      <c r="W333" s="18" t="s">
        <v>110</v>
      </c>
      <c r="X333" s="14" t="s">
        <v>4281</v>
      </c>
      <c r="Y333" s="14" t="s">
        <v>194</v>
      </c>
      <c r="Z333" s="14" t="s">
        <v>107</v>
      </c>
      <c r="AA333" s="14" t="s">
        <v>107</v>
      </c>
      <c r="AB333" s="14" t="s">
        <v>147</v>
      </c>
      <c r="AC333" s="14" t="s">
        <v>113</v>
      </c>
      <c r="AD333" s="14" t="s">
        <v>114</v>
      </c>
    </row>
    <row r="334" customFormat="false" ht="78" hidden="false" customHeight="true" outlineLevel="0" collapsed="false">
      <c r="A334" s="14" t="s">
        <v>4282</v>
      </c>
      <c r="B334" s="14" t="s">
        <v>46</v>
      </c>
      <c r="C334" s="14" t="s">
        <v>4283</v>
      </c>
      <c r="D334" s="14" t="s">
        <v>36</v>
      </c>
      <c r="E334" s="14" t="s">
        <v>1340</v>
      </c>
      <c r="F334" s="15" t="s">
        <v>1341</v>
      </c>
      <c r="G334" s="14" t="s">
        <v>1342</v>
      </c>
      <c r="H334" s="14" t="s">
        <v>4284</v>
      </c>
      <c r="I334" s="14" t="s">
        <v>4285</v>
      </c>
      <c r="J334" s="14" t="s">
        <v>202</v>
      </c>
      <c r="K334" s="22" t="s">
        <v>1668</v>
      </c>
      <c r="L334" s="14" t="s">
        <v>4286</v>
      </c>
      <c r="M334" s="14" t="s">
        <v>4287</v>
      </c>
      <c r="N334" s="14" t="s">
        <v>4288</v>
      </c>
      <c r="O334" s="14"/>
      <c r="P334" s="14" t="s">
        <v>4289</v>
      </c>
      <c r="Q334" s="14" t="s">
        <v>4290</v>
      </c>
      <c r="R334" s="14" t="s">
        <v>248</v>
      </c>
      <c r="S334" s="17" t="s">
        <v>107</v>
      </c>
      <c r="T334" s="20" t="s">
        <v>324</v>
      </c>
      <c r="U334" s="14" t="s">
        <v>4291</v>
      </c>
      <c r="V334" s="14" t="s">
        <v>109</v>
      </c>
      <c r="W334" s="18" t="s">
        <v>110</v>
      </c>
      <c r="X334" s="14" t="s">
        <v>4292</v>
      </c>
      <c r="Y334" s="14" t="s">
        <v>194</v>
      </c>
      <c r="Z334" s="14" t="s">
        <v>107</v>
      </c>
      <c r="AA334" s="14" t="s">
        <v>107</v>
      </c>
      <c r="AB334" s="14" t="s">
        <v>147</v>
      </c>
      <c r="AC334" s="14" t="s">
        <v>113</v>
      </c>
      <c r="AD334" s="14" t="s">
        <v>114</v>
      </c>
    </row>
    <row r="335" customFormat="false" ht="78" hidden="false" customHeight="true" outlineLevel="0" collapsed="false">
      <c r="A335" s="14" t="s">
        <v>4293</v>
      </c>
      <c r="B335" s="14" t="s">
        <v>46</v>
      </c>
      <c r="C335" s="14" t="s">
        <v>4294</v>
      </c>
      <c r="D335" s="14" t="s">
        <v>36</v>
      </c>
      <c r="E335" s="14" t="s">
        <v>4295</v>
      </c>
      <c r="F335" s="15" t="s">
        <v>4296</v>
      </c>
      <c r="G335" s="14" t="s">
        <v>533</v>
      </c>
      <c r="H335" s="14" t="s">
        <v>4297</v>
      </c>
      <c r="I335" s="14" t="s">
        <v>4298</v>
      </c>
      <c r="J335" s="14" t="s">
        <v>202</v>
      </c>
      <c r="K335" s="22" t="s">
        <v>1668</v>
      </c>
      <c r="L335" s="14" t="s">
        <v>4299</v>
      </c>
      <c r="M335" s="14" t="s">
        <v>4300</v>
      </c>
      <c r="N335" s="14" t="s">
        <v>4301</v>
      </c>
      <c r="O335" s="14"/>
      <c r="P335" s="14" t="s">
        <v>4302</v>
      </c>
      <c r="Q335" s="14" t="s">
        <v>4303</v>
      </c>
      <c r="R335" s="14" t="s">
        <v>248</v>
      </c>
      <c r="S335" s="17" t="s">
        <v>107</v>
      </c>
      <c r="T335" s="17" t="s">
        <v>107</v>
      </c>
      <c r="U335" s="14" t="s">
        <v>4304</v>
      </c>
      <c r="V335" s="14" t="s">
        <v>109</v>
      </c>
      <c r="W335" s="21" t="s">
        <v>429</v>
      </c>
      <c r="X335" s="14" t="s">
        <v>4305</v>
      </c>
      <c r="Y335" s="14" t="s">
        <v>194</v>
      </c>
      <c r="Z335" s="14" t="s">
        <v>946</v>
      </c>
      <c r="AA335" s="14" t="s">
        <v>107</v>
      </c>
      <c r="AB335" s="14" t="s">
        <v>147</v>
      </c>
      <c r="AC335" s="14" t="s">
        <v>113</v>
      </c>
      <c r="AD335" s="14" t="s">
        <v>114</v>
      </c>
    </row>
    <row r="336" customFormat="false" ht="78" hidden="false" customHeight="true" outlineLevel="0" collapsed="false">
      <c r="A336" s="14" t="s">
        <v>4306</v>
      </c>
      <c r="B336" s="14" t="s">
        <v>44</v>
      </c>
      <c r="C336" s="14" t="s">
        <v>4307</v>
      </c>
      <c r="D336" s="14" t="s">
        <v>36</v>
      </c>
      <c r="E336" s="14" t="s">
        <v>118</v>
      </c>
      <c r="F336" s="15" t="s">
        <v>119</v>
      </c>
      <c r="G336" s="14" t="s">
        <v>240</v>
      </c>
      <c r="H336" s="14" t="s">
        <v>4308</v>
      </c>
      <c r="I336" s="14" t="s">
        <v>4309</v>
      </c>
      <c r="J336" s="14" t="s">
        <v>400</v>
      </c>
      <c r="K336" s="22" t="s">
        <v>1668</v>
      </c>
      <c r="L336" s="14" t="s">
        <v>4310</v>
      </c>
      <c r="M336" s="14" t="s">
        <v>4311</v>
      </c>
      <c r="N336" s="14" t="s">
        <v>4312</v>
      </c>
      <c r="O336" s="14"/>
      <c r="P336" s="14" t="s">
        <v>4313</v>
      </c>
      <c r="Q336" s="14" t="s">
        <v>4314</v>
      </c>
      <c r="R336" s="14" t="s">
        <v>248</v>
      </c>
      <c r="S336" s="17" t="s">
        <v>107</v>
      </c>
      <c r="T336" s="20" t="s">
        <v>324</v>
      </c>
      <c r="U336" s="14" t="s">
        <v>4315</v>
      </c>
      <c r="V336" s="14" t="s">
        <v>109</v>
      </c>
      <c r="W336" s="18" t="s">
        <v>110</v>
      </c>
      <c r="X336" s="14" t="s">
        <v>4316</v>
      </c>
      <c r="Y336" s="14" t="s">
        <v>194</v>
      </c>
      <c r="Z336" s="14" t="s">
        <v>107</v>
      </c>
      <c r="AA336" s="14" t="s">
        <v>107</v>
      </c>
      <c r="AB336" s="14" t="s">
        <v>112</v>
      </c>
      <c r="AC336" s="14" t="s">
        <v>113</v>
      </c>
      <c r="AD336" s="14" t="s">
        <v>114</v>
      </c>
    </row>
    <row r="337" customFormat="false" ht="78" hidden="false" customHeight="true" outlineLevel="0" collapsed="false">
      <c r="A337" s="14" t="s">
        <v>4317</v>
      </c>
      <c r="B337" s="14" t="s">
        <v>44</v>
      </c>
      <c r="C337" s="14" t="s">
        <v>4318</v>
      </c>
      <c r="D337" s="14" t="s">
        <v>36</v>
      </c>
      <c r="E337" s="14" t="s">
        <v>118</v>
      </c>
      <c r="F337" s="15" t="s">
        <v>119</v>
      </c>
      <c r="G337" s="14" t="s">
        <v>240</v>
      </c>
      <c r="H337" s="14" t="s">
        <v>4319</v>
      </c>
      <c r="I337" s="14" t="s">
        <v>4320</v>
      </c>
      <c r="J337" s="14" t="s">
        <v>400</v>
      </c>
      <c r="K337" s="22" t="s">
        <v>1668</v>
      </c>
      <c r="L337" s="14" t="s">
        <v>4321</v>
      </c>
      <c r="M337" s="14" t="s">
        <v>4322</v>
      </c>
      <c r="N337" s="14" t="s">
        <v>4323</v>
      </c>
      <c r="O337" s="14"/>
      <c r="P337" s="14" t="s">
        <v>4324</v>
      </c>
      <c r="Q337" s="14" t="s">
        <v>4325</v>
      </c>
      <c r="R337" s="14" t="s">
        <v>248</v>
      </c>
      <c r="S337" s="20" t="s">
        <v>324</v>
      </c>
      <c r="T337" s="17" t="s">
        <v>107</v>
      </c>
      <c r="U337" s="14" t="s">
        <v>4326</v>
      </c>
      <c r="V337" s="14" t="s">
        <v>109</v>
      </c>
      <c r="W337" s="18" t="s">
        <v>110</v>
      </c>
      <c r="X337" s="14" t="s">
        <v>4327</v>
      </c>
      <c r="Y337" s="14" t="s">
        <v>1668</v>
      </c>
      <c r="Z337" s="14" t="s">
        <v>107</v>
      </c>
      <c r="AA337" s="14" t="s">
        <v>107</v>
      </c>
      <c r="AB337" s="14" t="s">
        <v>112</v>
      </c>
      <c r="AC337" s="14" t="s">
        <v>113</v>
      </c>
      <c r="AD337" s="14" t="s">
        <v>114</v>
      </c>
    </row>
    <row r="338" customFormat="false" ht="78" hidden="false" customHeight="true" outlineLevel="0" collapsed="false">
      <c r="A338" s="14" t="s">
        <v>4328</v>
      </c>
      <c r="B338" s="14" t="s">
        <v>44</v>
      </c>
      <c r="C338" s="14" t="s">
        <v>4329</v>
      </c>
      <c r="D338" s="14" t="s">
        <v>36</v>
      </c>
      <c r="E338" s="14" t="s">
        <v>4330</v>
      </c>
      <c r="F338" s="15" t="s">
        <v>119</v>
      </c>
      <c r="G338" s="14" t="s">
        <v>240</v>
      </c>
      <c r="H338" s="14" t="s">
        <v>4331</v>
      </c>
      <c r="I338" s="14" t="s">
        <v>4332</v>
      </c>
      <c r="J338" s="14" t="s">
        <v>55</v>
      </c>
      <c r="K338" s="22" t="s">
        <v>1668</v>
      </c>
      <c r="L338" s="14" t="s">
        <v>4333</v>
      </c>
      <c r="M338" s="14" t="s">
        <v>4334</v>
      </c>
      <c r="N338" s="14" t="s">
        <v>4335</v>
      </c>
      <c r="O338" s="14"/>
      <c r="P338" s="14" t="s">
        <v>4336</v>
      </c>
      <c r="Q338" s="14" t="s">
        <v>4337</v>
      </c>
      <c r="R338" s="14" t="s">
        <v>248</v>
      </c>
      <c r="S338" s="20" t="s">
        <v>324</v>
      </c>
      <c r="T338" s="17" t="s">
        <v>107</v>
      </c>
      <c r="U338" s="14" t="s">
        <v>4338</v>
      </c>
      <c r="V338" s="14" t="s">
        <v>109</v>
      </c>
      <c r="W338" s="18" t="s">
        <v>110</v>
      </c>
      <c r="X338" s="14" t="s">
        <v>4339</v>
      </c>
      <c r="Y338" s="14" t="s">
        <v>194</v>
      </c>
      <c r="Z338" s="14" t="s">
        <v>107</v>
      </c>
      <c r="AA338" s="14" t="s">
        <v>107</v>
      </c>
      <c r="AB338" s="14" t="s">
        <v>112</v>
      </c>
      <c r="AC338" s="14" t="s">
        <v>113</v>
      </c>
      <c r="AD338" s="14" t="s">
        <v>114</v>
      </c>
    </row>
    <row r="339" customFormat="false" ht="78" hidden="false" customHeight="true" outlineLevel="0" collapsed="false">
      <c r="A339" s="14" t="s">
        <v>4340</v>
      </c>
      <c r="B339" s="14" t="s">
        <v>44</v>
      </c>
      <c r="C339" s="14" t="s">
        <v>4341</v>
      </c>
      <c r="D339" s="14" t="s">
        <v>36</v>
      </c>
      <c r="E339" s="14" t="s">
        <v>4342</v>
      </c>
      <c r="F339" s="15" t="s">
        <v>4343</v>
      </c>
      <c r="G339" s="14" t="s">
        <v>4344</v>
      </c>
      <c r="H339" s="14" t="s">
        <v>4345</v>
      </c>
      <c r="I339" s="14" t="s">
        <v>4346</v>
      </c>
      <c r="J339" s="14" t="s">
        <v>99</v>
      </c>
      <c r="K339" s="22" t="s">
        <v>1668</v>
      </c>
      <c r="L339" s="14" t="s">
        <v>4347</v>
      </c>
      <c r="M339" s="14" t="s">
        <v>4348</v>
      </c>
      <c r="N339" s="14" t="s">
        <v>4349</v>
      </c>
      <c r="O339" s="14"/>
      <c r="P339" s="14" t="s">
        <v>4350</v>
      </c>
      <c r="Q339" s="14" t="s">
        <v>4351</v>
      </c>
      <c r="R339" s="14" t="s">
        <v>248</v>
      </c>
      <c r="S339" s="17" t="s">
        <v>107</v>
      </c>
      <c r="T339" s="17" t="s">
        <v>107</v>
      </c>
      <c r="U339" s="14" t="s">
        <v>4352</v>
      </c>
      <c r="V339" s="14" t="s">
        <v>109</v>
      </c>
      <c r="W339" s="18" t="s">
        <v>110</v>
      </c>
      <c r="X339" s="14" t="s">
        <v>4353</v>
      </c>
      <c r="Y339" s="14" t="s">
        <v>194</v>
      </c>
      <c r="Z339" s="14" t="s">
        <v>107</v>
      </c>
      <c r="AA339" s="14" t="s">
        <v>107</v>
      </c>
      <c r="AB339" s="14" t="s">
        <v>112</v>
      </c>
      <c r="AC339" s="14" t="s">
        <v>113</v>
      </c>
      <c r="AD339" s="14" t="s">
        <v>114</v>
      </c>
    </row>
    <row r="340" customFormat="false" ht="78" hidden="false" customHeight="true" outlineLevel="0" collapsed="false">
      <c r="A340" s="14" t="s">
        <v>4354</v>
      </c>
      <c r="B340" s="14" t="s">
        <v>44</v>
      </c>
      <c r="C340" s="14" t="s">
        <v>4355</v>
      </c>
      <c r="D340" s="14" t="s">
        <v>36</v>
      </c>
      <c r="E340" s="14" t="s">
        <v>4342</v>
      </c>
      <c r="F340" s="15" t="s">
        <v>4343</v>
      </c>
      <c r="G340" s="14" t="s">
        <v>4344</v>
      </c>
      <c r="H340" s="14" t="s">
        <v>4356</v>
      </c>
      <c r="I340" s="14" t="s">
        <v>4357</v>
      </c>
      <c r="J340" s="14" t="s">
        <v>54</v>
      </c>
      <c r="K340" s="22" t="s">
        <v>1668</v>
      </c>
      <c r="L340" s="14" t="s">
        <v>4358</v>
      </c>
      <c r="M340" s="14" t="s">
        <v>4359</v>
      </c>
      <c r="N340" s="14" t="s">
        <v>4360</v>
      </c>
      <c r="O340" s="14"/>
      <c r="P340" s="14" t="s">
        <v>4361</v>
      </c>
      <c r="Q340" s="14" t="s">
        <v>4362</v>
      </c>
      <c r="R340" s="14" t="s">
        <v>248</v>
      </c>
      <c r="S340" s="17" t="s">
        <v>107</v>
      </c>
      <c r="T340" s="17" t="s">
        <v>107</v>
      </c>
      <c r="U340" s="14" t="s">
        <v>4363</v>
      </c>
      <c r="V340" s="14" t="s">
        <v>109</v>
      </c>
      <c r="W340" s="21" t="s">
        <v>429</v>
      </c>
      <c r="X340" s="14" t="s">
        <v>4364</v>
      </c>
      <c r="Y340" s="14" t="s">
        <v>194</v>
      </c>
      <c r="Z340" s="14" t="s">
        <v>107</v>
      </c>
      <c r="AA340" s="14" t="s">
        <v>107</v>
      </c>
      <c r="AB340" s="14" t="s">
        <v>112</v>
      </c>
      <c r="AC340" s="14" t="s">
        <v>560</v>
      </c>
      <c r="AD340" s="14" t="s">
        <v>561</v>
      </c>
    </row>
    <row r="341" customFormat="false" ht="78" hidden="false" customHeight="true" outlineLevel="0" collapsed="false">
      <c r="A341" s="14" t="s">
        <v>4365</v>
      </c>
      <c r="B341" s="14" t="s">
        <v>44</v>
      </c>
      <c r="C341" s="14" t="s">
        <v>4366</v>
      </c>
      <c r="D341" s="14" t="s">
        <v>36</v>
      </c>
      <c r="E341" s="14" t="s">
        <v>4367</v>
      </c>
      <c r="F341" s="14"/>
      <c r="G341" s="14" t="s">
        <v>533</v>
      </c>
      <c r="H341" s="14" t="s">
        <v>4368</v>
      </c>
      <c r="I341" s="14" t="s">
        <v>4369</v>
      </c>
      <c r="J341" s="14" t="s">
        <v>53</v>
      </c>
      <c r="K341" s="22" t="s">
        <v>1668</v>
      </c>
      <c r="L341" s="14" t="s">
        <v>4370</v>
      </c>
      <c r="M341" s="14" t="s">
        <v>4371</v>
      </c>
      <c r="N341" s="14" t="s">
        <v>4372</v>
      </c>
      <c r="O341" s="14"/>
      <c r="P341" s="14" t="s">
        <v>4373</v>
      </c>
      <c r="Q341" s="14" t="s">
        <v>4374</v>
      </c>
      <c r="R341" s="14" t="s">
        <v>1237</v>
      </c>
      <c r="S341" s="20" t="s">
        <v>324</v>
      </c>
      <c r="T341" s="17" t="s">
        <v>107</v>
      </c>
      <c r="U341" s="14" t="s">
        <v>4375</v>
      </c>
      <c r="V341" s="14" t="s">
        <v>109</v>
      </c>
      <c r="W341" s="18" t="s">
        <v>110</v>
      </c>
      <c r="X341" s="14" t="s">
        <v>4376</v>
      </c>
      <c r="Y341" s="14" t="s">
        <v>1668</v>
      </c>
      <c r="Z341" s="14" t="s">
        <v>107</v>
      </c>
      <c r="AA341" s="14" t="s">
        <v>107</v>
      </c>
      <c r="AB341" s="14" t="s">
        <v>112</v>
      </c>
      <c r="AC341" s="14" t="s">
        <v>113</v>
      </c>
      <c r="AD341" s="14" t="s">
        <v>114</v>
      </c>
    </row>
    <row r="342" customFormat="false" ht="78" hidden="false" customHeight="true" outlineLevel="0" collapsed="false">
      <c r="A342" s="14" t="s">
        <v>4377</v>
      </c>
      <c r="B342" s="14" t="s">
        <v>44</v>
      </c>
      <c r="C342" s="14" t="s">
        <v>4378</v>
      </c>
      <c r="D342" s="14" t="s">
        <v>36</v>
      </c>
      <c r="E342" s="14" t="s">
        <v>2218</v>
      </c>
      <c r="F342" s="15" t="s">
        <v>2219</v>
      </c>
      <c r="G342" s="14" t="s">
        <v>240</v>
      </c>
      <c r="H342" s="14" t="s">
        <v>4379</v>
      </c>
      <c r="I342" s="14" t="s">
        <v>4380</v>
      </c>
      <c r="J342" s="14" t="s">
        <v>50</v>
      </c>
      <c r="K342" s="22" t="s">
        <v>1668</v>
      </c>
      <c r="L342" s="14" t="s">
        <v>4381</v>
      </c>
      <c r="M342" s="14" t="s">
        <v>4382</v>
      </c>
      <c r="N342" s="14" t="s">
        <v>4383</v>
      </c>
      <c r="O342" s="14"/>
      <c r="P342" s="14" t="s">
        <v>4384</v>
      </c>
      <c r="Q342" s="14" t="s">
        <v>4385</v>
      </c>
      <c r="R342" s="14" t="s">
        <v>1237</v>
      </c>
      <c r="S342" s="20" t="s">
        <v>324</v>
      </c>
      <c r="T342" s="20" t="s">
        <v>324</v>
      </c>
      <c r="U342" s="14" t="s">
        <v>4386</v>
      </c>
      <c r="V342" s="14" t="s">
        <v>109</v>
      </c>
      <c r="W342" s="18" t="s">
        <v>110</v>
      </c>
      <c r="X342" s="14" t="s">
        <v>4387</v>
      </c>
      <c r="Y342" s="14" t="s">
        <v>1668</v>
      </c>
      <c r="Z342" s="14" t="s">
        <v>107</v>
      </c>
      <c r="AA342" s="14" t="s">
        <v>107</v>
      </c>
      <c r="AB342" s="14" t="s">
        <v>112</v>
      </c>
      <c r="AC342" s="14" t="s">
        <v>113</v>
      </c>
      <c r="AD342" s="14" t="s">
        <v>114</v>
      </c>
    </row>
    <row r="343" customFormat="false" ht="78" hidden="false" customHeight="true" outlineLevel="0" collapsed="false">
      <c r="A343" s="14" t="s">
        <v>4388</v>
      </c>
      <c r="B343" s="14" t="s">
        <v>45</v>
      </c>
      <c r="C343" s="14" t="s">
        <v>4389</v>
      </c>
      <c r="D343" s="14" t="s">
        <v>36</v>
      </c>
      <c r="E343" s="14" t="s">
        <v>4390</v>
      </c>
      <c r="F343" s="15" t="s">
        <v>1768</v>
      </c>
      <c r="G343" s="14" t="s">
        <v>1932</v>
      </c>
      <c r="H343" s="14" t="s">
        <v>4391</v>
      </c>
      <c r="I343" s="14" t="s">
        <v>4392</v>
      </c>
      <c r="J343" s="14" t="s">
        <v>56</v>
      </c>
      <c r="K343" s="22" t="s">
        <v>1668</v>
      </c>
      <c r="L343" s="14" t="s">
        <v>4393</v>
      </c>
      <c r="M343" s="14" t="s">
        <v>4394</v>
      </c>
      <c r="N343" s="14" t="s">
        <v>4395</v>
      </c>
      <c r="O343" s="14"/>
      <c r="P343" s="14" t="s">
        <v>4396</v>
      </c>
      <c r="Q343" s="14" t="s">
        <v>4397</v>
      </c>
      <c r="R343" s="14" t="s">
        <v>3966</v>
      </c>
      <c r="S343" s="20" t="s">
        <v>324</v>
      </c>
      <c r="T343" s="17" t="s">
        <v>107</v>
      </c>
      <c r="U343" s="14" t="s">
        <v>4398</v>
      </c>
      <c r="V343" s="14" t="s">
        <v>109</v>
      </c>
      <c r="W343" s="18" t="s">
        <v>110</v>
      </c>
      <c r="X343" s="14" t="s">
        <v>4399</v>
      </c>
      <c r="Y343" s="14" t="s">
        <v>1668</v>
      </c>
      <c r="Z343" s="14" t="s">
        <v>107</v>
      </c>
      <c r="AA343" s="14" t="s">
        <v>107</v>
      </c>
      <c r="AB343" s="14" t="s">
        <v>921</v>
      </c>
      <c r="AC343" s="14" t="s">
        <v>113</v>
      </c>
      <c r="AD343" s="14" t="s">
        <v>114</v>
      </c>
    </row>
    <row r="344" customFormat="false" ht="78" hidden="false" customHeight="true" outlineLevel="0" collapsed="false">
      <c r="A344" s="14" t="s">
        <v>4400</v>
      </c>
      <c r="B344" s="14" t="s">
        <v>45</v>
      </c>
      <c r="C344" s="14" t="s">
        <v>4401</v>
      </c>
      <c r="D344" s="14" t="s">
        <v>36</v>
      </c>
      <c r="E344" s="14" t="s">
        <v>2193</v>
      </c>
      <c r="F344" s="15" t="s">
        <v>4402</v>
      </c>
      <c r="G344" s="14" t="s">
        <v>285</v>
      </c>
      <c r="H344" s="14" t="s">
        <v>4403</v>
      </c>
      <c r="I344" s="14" t="s">
        <v>4404</v>
      </c>
      <c r="J344" s="14" t="s">
        <v>54</v>
      </c>
      <c r="K344" s="22" t="s">
        <v>1668</v>
      </c>
      <c r="L344" s="14" t="s">
        <v>4405</v>
      </c>
      <c r="M344" s="14" t="s">
        <v>4406</v>
      </c>
      <c r="N344" s="14" t="s">
        <v>4407</v>
      </c>
      <c r="O344" s="14"/>
      <c r="P344" s="14" t="s">
        <v>4408</v>
      </c>
      <c r="Q344" s="14" t="s">
        <v>4409</v>
      </c>
      <c r="R344" s="14" t="s">
        <v>3966</v>
      </c>
      <c r="S344" s="20" t="s">
        <v>324</v>
      </c>
      <c r="T344" s="17" t="s">
        <v>107</v>
      </c>
      <c r="U344" s="14" t="s">
        <v>4410</v>
      </c>
      <c r="V344" s="14" t="s">
        <v>109</v>
      </c>
      <c r="W344" s="18" t="s">
        <v>110</v>
      </c>
      <c r="X344" s="14" t="s">
        <v>4411</v>
      </c>
      <c r="Y344" s="14" t="s">
        <v>1668</v>
      </c>
      <c r="Z344" s="14" t="s">
        <v>107</v>
      </c>
      <c r="AA344" s="14" t="s">
        <v>107</v>
      </c>
      <c r="AB344" s="14" t="s">
        <v>921</v>
      </c>
      <c r="AC344" s="14" t="s">
        <v>560</v>
      </c>
      <c r="AD344" s="14" t="s">
        <v>561</v>
      </c>
    </row>
    <row r="345" customFormat="false" ht="78" hidden="false" customHeight="true" outlineLevel="0" collapsed="false">
      <c r="A345" s="14" t="s">
        <v>4412</v>
      </c>
      <c r="B345" s="14" t="s">
        <v>47</v>
      </c>
      <c r="C345" s="14" t="s">
        <v>4413</v>
      </c>
      <c r="D345" s="14" t="s">
        <v>36</v>
      </c>
      <c r="E345" s="14" t="s">
        <v>4330</v>
      </c>
      <c r="F345" s="15" t="s">
        <v>119</v>
      </c>
      <c r="G345" s="14" t="s">
        <v>240</v>
      </c>
      <c r="H345" s="14" t="s">
        <v>4414</v>
      </c>
      <c r="I345" s="14" t="s">
        <v>4415</v>
      </c>
      <c r="J345" s="14" t="s">
        <v>52</v>
      </c>
      <c r="K345" s="22" t="s">
        <v>1668</v>
      </c>
      <c r="L345" s="14" t="s">
        <v>4416</v>
      </c>
      <c r="M345" s="14" t="s">
        <v>4417</v>
      </c>
      <c r="N345" s="14" t="s">
        <v>4418</v>
      </c>
      <c r="O345" s="14"/>
      <c r="P345" s="14" t="s">
        <v>4419</v>
      </c>
      <c r="Q345" s="14" t="s">
        <v>4420</v>
      </c>
      <c r="R345" s="14" t="s">
        <v>248</v>
      </c>
      <c r="S345" s="20" t="s">
        <v>324</v>
      </c>
      <c r="T345" s="17" t="s">
        <v>107</v>
      </c>
      <c r="U345" s="14" t="s">
        <v>4421</v>
      </c>
      <c r="V345" s="14" t="s">
        <v>109</v>
      </c>
      <c r="W345" s="18" t="s">
        <v>110</v>
      </c>
      <c r="X345" s="14" t="s">
        <v>4422</v>
      </c>
      <c r="Y345" s="14" t="s">
        <v>1668</v>
      </c>
      <c r="Z345" s="14" t="s">
        <v>107</v>
      </c>
      <c r="AA345" s="14" t="s">
        <v>107</v>
      </c>
      <c r="AB345" s="14" t="s">
        <v>2204</v>
      </c>
      <c r="AC345" s="14" t="s">
        <v>113</v>
      </c>
      <c r="AD345" s="14" t="s">
        <v>114</v>
      </c>
    </row>
    <row r="346" customFormat="false" ht="78" hidden="false" customHeight="true" outlineLevel="0" collapsed="false">
      <c r="A346" s="14" t="s">
        <v>4423</v>
      </c>
      <c r="B346" s="14" t="s">
        <v>48</v>
      </c>
      <c r="C346" s="14" t="s">
        <v>4424</v>
      </c>
      <c r="D346" s="14" t="s">
        <v>36</v>
      </c>
      <c r="E346" s="14" t="s">
        <v>4425</v>
      </c>
      <c r="F346" s="15" t="s">
        <v>4426</v>
      </c>
      <c r="G346" s="14" t="s">
        <v>285</v>
      </c>
      <c r="H346" s="14" t="s">
        <v>4427</v>
      </c>
      <c r="I346" s="14" t="s">
        <v>4428</v>
      </c>
      <c r="J346" s="14" t="s">
        <v>54</v>
      </c>
      <c r="K346" s="22" t="s">
        <v>1668</v>
      </c>
      <c r="L346" s="14" t="s">
        <v>4429</v>
      </c>
      <c r="M346" s="14" t="s">
        <v>4430</v>
      </c>
      <c r="N346" s="14" t="s">
        <v>4431</v>
      </c>
      <c r="O346" s="14"/>
      <c r="P346" s="14" t="s">
        <v>4432</v>
      </c>
      <c r="Q346" s="14" t="s">
        <v>4433</v>
      </c>
      <c r="R346" s="14" t="s">
        <v>4160</v>
      </c>
      <c r="S346" s="17" t="s">
        <v>107</v>
      </c>
      <c r="T346" s="20" t="s">
        <v>324</v>
      </c>
      <c r="U346" s="14" t="s">
        <v>4434</v>
      </c>
      <c r="V346" s="14" t="s">
        <v>109</v>
      </c>
      <c r="W346" s="18" t="s">
        <v>110</v>
      </c>
      <c r="X346" s="14" t="s">
        <v>4435</v>
      </c>
      <c r="Y346" s="14" t="s">
        <v>1668</v>
      </c>
      <c r="Z346" s="14" t="s">
        <v>107</v>
      </c>
      <c r="AA346" s="14" t="s">
        <v>107</v>
      </c>
      <c r="AB346" s="14" t="s">
        <v>559</v>
      </c>
      <c r="AC346" s="14" t="s">
        <v>560</v>
      </c>
      <c r="AD346" s="14" t="s">
        <v>561</v>
      </c>
    </row>
    <row r="347" customFormat="false" ht="78" hidden="false" customHeight="true" outlineLevel="0" collapsed="false">
      <c r="A347" s="14" t="s">
        <v>4436</v>
      </c>
      <c r="B347" s="14" t="s">
        <v>43</v>
      </c>
      <c r="C347" s="14" t="s">
        <v>4437</v>
      </c>
      <c r="D347" s="14" t="s">
        <v>36</v>
      </c>
      <c r="E347" s="14" t="s">
        <v>118</v>
      </c>
      <c r="F347" s="15" t="s">
        <v>119</v>
      </c>
      <c r="G347" s="14" t="s">
        <v>240</v>
      </c>
      <c r="H347" s="14" t="s">
        <v>4438</v>
      </c>
      <c r="I347" s="14" t="s">
        <v>4439</v>
      </c>
      <c r="J347" s="14" t="s">
        <v>54</v>
      </c>
      <c r="K347" s="22" t="s">
        <v>1668</v>
      </c>
      <c r="L347" s="14" t="s">
        <v>4440</v>
      </c>
      <c r="M347" s="14" t="s">
        <v>4441</v>
      </c>
      <c r="N347" s="14" t="s">
        <v>4442</v>
      </c>
      <c r="O347" s="14"/>
      <c r="P347" s="14" t="s">
        <v>4443</v>
      </c>
      <c r="Q347" s="14" t="s">
        <v>4444</v>
      </c>
      <c r="R347" s="14" t="s">
        <v>248</v>
      </c>
      <c r="S347" s="17" t="s">
        <v>107</v>
      </c>
      <c r="T347" s="20" t="s">
        <v>324</v>
      </c>
      <c r="U347" s="14" t="s">
        <v>4445</v>
      </c>
      <c r="V347" s="14" t="s">
        <v>109</v>
      </c>
      <c r="W347" s="18" t="s">
        <v>110</v>
      </c>
      <c r="X347" s="14" t="s">
        <v>4446</v>
      </c>
      <c r="Y347" s="14" t="s">
        <v>194</v>
      </c>
      <c r="Z347" s="14" t="s">
        <v>107</v>
      </c>
      <c r="AA347" s="14" t="s">
        <v>107</v>
      </c>
      <c r="AB347" s="14" t="s">
        <v>131</v>
      </c>
      <c r="AC347" s="14" t="s">
        <v>560</v>
      </c>
      <c r="AD347" s="14" t="s">
        <v>561</v>
      </c>
    </row>
    <row r="348" customFormat="false" ht="78" hidden="false" customHeight="true" outlineLevel="0" collapsed="false">
      <c r="A348" s="14" t="s">
        <v>4447</v>
      </c>
      <c r="B348" s="14" t="s">
        <v>43</v>
      </c>
      <c r="C348" s="14" t="s">
        <v>4448</v>
      </c>
      <c r="D348" s="14" t="s">
        <v>36</v>
      </c>
      <c r="E348" s="14" t="s">
        <v>4449</v>
      </c>
      <c r="F348" s="15" t="s">
        <v>1303</v>
      </c>
      <c r="G348" s="14" t="s">
        <v>1304</v>
      </c>
      <c r="H348" s="14" t="s">
        <v>4450</v>
      </c>
      <c r="I348" s="14" t="s">
        <v>4451</v>
      </c>
      <c r="J348" s="14" t="s">
        <v>50</v>
      </c>
      <c r="K348" s="22" t="s">
        <v>1668</v>
      </c>
      <c r="L348" s="14" t="s">
        <v>4452</v>
      </c>
      <c r="M348" s="14" t="s">
        <v>4453</v>
      </c>
      <c r="N348" s="14" t="s">
        <v>4454</v>
      </c>
      <c r="O348" s="14"/>
      <c r="P348" s="14" t="s">
        <v>4455</v>
      </c>
      <c r="Q348" s="14" t="s">
        <v>4456</v>
      </c>
      <c r="R348" s="14" t="s">
        <v>1237</v>
      </c>
      <c r="S348" s="17" t="s">
        <v>107</v>
      </c>
      <c r="T348" s="17" t="s">
        <v>107</v>
      </c>
      <c r="U348" s="14" t="s">
        <v>4457</v>
      </c>
      <c r="V348" s="14" t="s">
        <v>109</v>
      </c>
      <c r="W348" s="18" t="s">
        <v>110</v>
      </c>
      <c r="X348" s="14" t="s">
        <v>4458</v>
      </c>
      <c r="Y348" s="14" t="s">
        <v>194</v>
      </c>
      <c r="Z348" s="14" t="s">
        <v>107</v>
      </c>
      <c r="AA348" s="14" t="s">
        <v>107</v>
      </c>
      <c r="AB348" s="14" t="s">
        <v>131</v>
      </c>
      <c r="AC348" s="14" t="s">
        <v>113</v>
      </c>
      <c r="AD348" s="14" t="s">
        <v>114</v>
      </c>
    </row>
    <row r="349" customFormat="false" ht="78" hidden="false" customHeight="true" outlineLevel="0" collapsed="false">
      <c r="A349" s="14" t="s">
        <v>4459</v>
      </c>
      <c r="B349" s="14" t="s">
        <v>43</v>
      </c>
      <c r="C349" s="14" t="s">
        <v>4460</v>
      </c>
      <c r="D349" s="14" t="s">
        <v>36</v>
      </c>
      <c r="E349" s="14" t="s">
        <v>4461</v>
      </c>
      <c r="F349" s="15" t="s">
        <v>1425</v>
      </c>
      <c r="G349" s="14" t="s">
        <v>285</v>
      </c>
      <c r="H349" s="14" t="s">
        <v>4462</v>
      </c>
      <c r="I349" s="14" t="s">
        <v>4463</v>
      </c>
      <c r="J349" s="14" t="s">
        <v>50</v>
      </c>
      <c r="K349" s="22" t="s">
        <v>1668</v>
      </c>
      <c r="L349" s="14" t="s">
        <v>4464</v>
      </c>
      <c r="M349" s="14" t="s">
        <v>4465</v>
      </c>
      <c r="N349" s="14" t="s">
        <v>4466</v>
      </c>
      <c r="O349" s="14"/>
      <c r="P349" s="14" t="s">
        <v>4467</v>
      </c>
      <c r="Q349" s="14" t="s">
        <v>4468</v>
      </c>
      <c r="R349" s="14" t="s">
        <v>1237</v>
      </c>
      <c r="S349" s="17" t="s">
        <v>107</v>
      </c>
      <c r="T349" s="17" t="s">
        <v>107</v>
      </c>
      <c r="U349" s="14" t="s">
        <v>4469</v>
      </c>
      <c r="V349" s="14" t="s">
        <v>109</v>
      </c>
      <c r="W349" s="18" t="s">
        <v>110</v>
      </c>
      <c r="X349" s="14" t="s">
        <v>4470</v>
      </c>
      <c r="Y349" s="14" t="s">
        <v>194</v>
      </c>
      <c r="Z349" s="14" t="s">
        <v>107</v>
      </c>
      <c r="AA349" s="14" t="s">
        <v>107</v>
      </c>
      <c r="AB349" s="14" t="s">
        <v>131</v>
      </c>
      <c r="AC349" s="14" t="s">
        <v>113</v>
      </c>
      <c r="AD349" s="14" t="s">
        <v>114</v>
      </c>
    </row>
    <row r="350" customFormat="false" ht="78" hidden="false" customHeight="true" outlineLevel="0" collapsed="false">
      <c r="A350" s="14" t="s">
        <v>4471</v>
      </c>
      <c r="B350" s="14" t="s">
        <v>43</v>
      </c>
      <c r="C350" s="14" t="s">
        <v>4211</v>
      </c>
      <c r="D350" s="14" t="s">
        <v>36</v>
      </c>
      <c r="E350" s="14" t="s">
        <v>4472</v>
      </c>
      <c r="F350" s="15" t="s">
        <v>4343</v>
      </c>
      <c r="G350" s="14" t="s">
        <v>4344</v>
      </c>
      <c r="H350" s="14" t="s">
        <v>4214</v>
      </c>
      <c r="I350" s="14" t="s">
        <v>4473</v>
      </c>
      <c r="J350" s="14" t="s">
        <v>505</v>
      </c>
      <c r="K350" s="22" t="s">
        <v>1668</v>
      </c>
      <c r="L350" s="14" t="s">
        <v>4474</v>
      </c>
      <c r="M350" s="14" t="s">
        <v>4475</v>
      </c>
      <c r="N350" s="14" t="s">
        <v>4476</v>
      </c>
      <c r="O350" s="14"/>
      <c r="P350" s="14" t="s">
        <v>4477</v>
      </c>
      <c r="Q350" s="14" t="s">
        <v>4478</v>
      </c>
      <c r="R350" s="14" t="s">
        <v>1237</v>
      </c>
      <c r="S350" s="17" t="s">
        <v>107</v>
      </c>
      <c r="T350" s="17" t="s">
        <v>107</v>
      </c>
      <c r="U350" s="14" t="s">
        <v>4479</v>
      </c>
      <c r="V350" s="14" t="s">
        <v>109</v>
      </c>
      <c r="W350" s="18" t="s">
        <v>110</v>
      </c>
      <c r="X350" s="14" t="s">
        <v>4480</v>
      </c>
      <c r="Y350" s="14" t="s">
        <v>194</v>
      </c>
      <c r="Z350" s="14" t="s">
        <v>107</v>
      </c>
      <c r="AA350" s="14" t="s">
        <v>107</v>
      </c>
      <c r="AB350" s="14" t="s">
        <v>131</v>
      </c>
      <c r="AC350" s="14" t="s">
        <v>113</v>
      </c>
      <c r="AD350" s="14" t="s">
        <v>114</v>
      </c>
    </row>
    <row r="351" customFormat="false" ht="78" hidden="false" customHeight="true" outlineLevel="0" collapsed="false">
      <c r="A351" s="14" t="s">
        <v>4481</v>
      </c>
      <c r="B351" s="14" t="s">
        <v>43</v>
      </c>
      <c r="C351" s="14" t="s">
        <v>4482</v>
      </c>
      <c r="D351" s="14" t="s">
        <v>36</v>
      </c>
      <c r="E351" s="14" t="s">
        <v>4483</v>
      </c>
      <c r="F351" s="15" t="s">
        <v>4343</v>
      </c>
      <c r="G351" s="14" t="s">
        <v>4344</v>
      </c>
      <c r="H351" s="14" t="s">
        <v>4484</v>
      </c>
      <c r="I351" s="14" t="s">
        <v>4485</v>
      </c>
      <c r="J351" s="14" t="s">
        <v>50</v>
      </c>
      <c r="K351" s="22" t="s">
        <v>1668</v>
      </c>
      <c r="L351" s="14" t="s">
        <v>4486</v>
      </c>
      <c r="M351" s="14" t="s">
        <v>4487</v>
      </c>
      <c r="N351" s="14" t="s">
        <v>4488</v>
      </c>
      <c r="O351" s="14"/>
      <c r="P351" s="14" t="s">
        <v>4489</v>
      </c>
      <c r="Q351" s="14" t="s">
        <v>4490</v>
      </c>
      <c r="R351" s="14" t="s">
        <v>1237</v>
      </c>
      <c r="S351" s="20" t="s">
        <v>324</v>
      </c>
      <c r="T351" s="17" t="s">
        <v>107</v>
      </c>
      <c r="U351" s="14" t="s">
        <v>4491</v>
      </c>
      <c r="V351" s="14" t="s">
        <v>109</v>
      </c>
      <c r="W351" s="18" t="s">
        <v>110</v>
      </c>
      <c r="X351" s="14" t="s">
        <v>4492</v>
      </c>
      <c r="Y351" s="14" t="s">
        <v>1668</v>
      </c>
      <c r="Z351" s="14" t="s">
        <v>107</v>
      </c>
      <c r="AA351" s="14" t="s">
        <v>107</v>
      </c>
      <c r="AB351" s="14" t="s">
        <v>131</v>
      </c>
      <c r="AC351" s="14" t="s">
        <v>113</v>
      </c>
      <c r="AD351" s="14" t="s">
        <v>114</v>
      </c>
    </row>
    <row r="352" customFormat="false" ht="78" hidden="false" customHeight="true" outlineLevel="0" collapsed="false">
      <c r="A352" s="14" t="s">
        <v>4493</v>
      </c>
      <c r="B352" s="14" t="s">
        <v>43</v>
      </c>
      <c r="C352" s="14" t="s">
        <v>4494</v>
      </c>
      <c r="D352" s="14" t="s">
        <v>36</v>
      </c>
      <c r="E352" s="14" t="s">
        <v>4495</v>
      </c>
      <c r="F352" s="15" t="s">
        <v>1303</v>
      </c>
      <c r="G352" s="14" t="s">
        <v>1304</v>
      </c>
      <c r="H352" s="14" t="s">
        <v>4496</v>
      </c>
      <c r="I352" s="14" t="s">
        <v>4497</v>
      </c>
      <c r="J352" s="14" t="s">
        <v>50</v>
      </c>
      <c r="K352" s="22" t="s">
        <v>1668</v>
      </c>
      <c r="L352" s="14" t="s">
        <v>4498</v>
      </c>
      <c r="M352" s="14" t="s">
        <v>4499</v>
      </c>
      <c r="N352" s="14" t="s">
        <v>4500</v>
      </c>
      <c r="O352" s="14"/>
      <c r="P352" s="14" t="s">
        <v>4501</v>
      </c>
      <c r="Q352" s="14" t="s">
        <v>4502</v>
      </c>
      <c r="R352" s="14" t="s">
        <v>1237</v>
      </c>
      <c r="S352" s="17" t="s">
        <v>107</v>
      </c>
      <c r="T352" s="17" t="s">
        <v>107</v>
      </c>
      <c r="U352" s="14" t="s">
        <v>4503</v>
      </c>
      <c r="V352" s="14" t="s">
        <v>109</v>
      </c>
      <c r="W352" s="21" t="s">
        <v>429</v>
      </c>
      <c r="X352" s="14" t="s">
        <v>4504</v>
      </c>
      <c r="Y352" s="14" t="s">
        <v>194</v>
      </c>
      <c r="Z352" s="14" t="s">
        <v>107</v>
      </c>
      <c r="AA352" s="14" t="s">
        <v>107</v>
      </c>
      <c r="AB352" s="14" t="s">
        <v>131</v>
      </c>
      <c r="AC352" s="14" t="s">
        <v>113</v>
      </c>
      <c r="AD352" s="14" t="s">
        <v>114</v>
      </c>
    </row>
    <row r="353" customFormat="false" ht="78" hidden="false" customHeight="true" outlineLevel="0" collapsed="false">
      <c r="A353" s="14" t="s">
        <v>4505</v>
      </c>
      <c r="B353" s="14" t="s">
        <v>46</v>
      </c>
      <c r="C353" s="14" t="s">
        <v>4506</v>
      </c>
      <c r="D353" s="14" t="s">
        <v>252</v>
      </c>
      <c r="E353" s="14" t="s">
        <v>4507</v>
      </c>
      <c r="F353" s="15" t="s">
        <v>4508</v>
      </c>
      <c r="G353" s="14" t="s">
        <v>168</v>
      </c>
      <c r="H353" s="14" t="s">
        <v>4509</v>
      </c>
      <c r="I353" s="14" t="s">
        <v>4510</v>
      </c>
      <c r="J353" s="14" t="s">
        <v>51</v>
      </c>
      <c r="K353" s="22" t="s">
        <v>1668</v>
      </c>
      <c r="L353" s="14" t="s">
        <v>4511</v>
      </c>
      <c r="M353" s="14" t="s">
        <v>4512</v>
      </c>
      <c r="N353" s="14" t="s">
        <v>4513</v>
      </c>
      <c r="O353" s="14"/>
      <c r="P353" s="14" t="s">
        <v>4514</v>
      </c>
      <c r="Q353" s="14" t="s">
        <v>4515</v>
      </c>
      <c r="R353" s="14" t="s">
        <v>4160</v>
      </c>
      <c r="S353" s="20" t="s">
        <v>324</v>
      </c>
      <c r="T353" s="17" t="s">
        <v>107</v>
      </c>
      <c r="U353" s="14" t="s">
        <v>4516</v>
      </c>
      <c r="V353" s="14" t="s">
        <v>109</v>
      </c>
      <c r="W353" s="18" t="s">
        <v>110</v>
      </c>
      <c r="X353" s="14" t="s">
        <v>4517</v>
      </c>
      <c r="Y353" s="14" t="s">
        <v>1668</v>
      </c>
      <c r="Z353" s="14" t="s">
        <v>107</v>
      </c>
      <c r="AA353" s="14" t="s">
        <v>107</v>
      </c>
      <c r="AB353" s="14" t="s">
        <v>147</v>
      </c>
      <c r="AC353" s="14" t="s">
        <v>113</v>
      </c>
      <c r="AD353" s="14" t="s">
        <v>114</v>
      </c>
    </row>
    <row r="354" customFormat="false" ht="78" hidden="false" customHeight="true" outlineLevel="0" collapsed="false">
      <c r="A354" s="14" t="s">
        <v>4518</v>
      </c>
      <c r="B354" s="14" t="s">
        <v>44</v>
      </c>
      <c r="C354" s="14" t="s">
        <v>4519</v>
      </c>
      <c r="D354" s="14" t="s">
        <v>252</v>
      </c>
      <c r="E354" s="14" t="s">
        <v>268</v>
      </c>
      <c r="F354" s="15" t="s">
        <v>269</v>
      </c>
      <c r="G354" s="14" t="s">
        <v>270</v>
      </c>
      <c r="H354" s="14" t="s">
        <v>4520</v>
      </c>
      <c r="I354" s="14" t="s">
        <v>4521</v>
      </c>
      <c r="J354" s="14" t="s">
        <v>53</v>
      </c>
      <c r="K354" s="22" t="s">
        <v>1668</v>
      </c>
      <c r="L354" s="14" t="s">
        <v>4522</v>
      </c>
      <c r="M354" s="14" t="s">
        <v>4523</v>
      </c>
      <c r="N354" s="14" t="s">
        <v>4524</v>
      </c>
      <c r="O354" s="14"/>
      <c r="P354" s="14" t="s">
        <v>4525</v>
      </c>
      <c r="Q354" s="14" t="s">
        <v>4526</v>
      </c>
      <c r="R354" s="14" t="s">
        <v>263</v>
      </c>
      <c r="S354" s="17" t="s">
        <v>107</v>
      </c>
      <c r="T354" s="17" t="s">
        <v>107</v>
      </c>
      <c r="U354" s="14" t="s">
        <v>4527</v>
      </c>
      <c r="V354" s="14" t="s">
        <v>109</v>
      </c>
      <c r="W354" s="18" t="s">
        <v>110</v>
      </c>
      <c r="X354" s="14" t="s">
        <v>4528</v>
      </c>
      <c r="Y354" s="14" t="s">
        <v>194</v>
      </c>
      <c r="Z354" s="14" t="s">
        <v>107</v>
      </c>
      <c r="AA354" s="14" t="s">
        <v>107</v>
      </c>
      <c r="AB354" s="14" t="s">
        <v>112</v>
      </c>
      <c r="AC354" s="14" t="s">
        <v>113</v>
      </c>
      <c r="AD354" s="14" t="s">
        <v>114</v>
      </c>
    </row>
    <row r="355" customFormat="false" ht="78" hidden="false" customHeight="true" outlineLevel="0" collapsed="false">
      <c r="A355" s="14" t="s">
        <v>4529</v>
      </c>
      <c r="B355" s="14" t="s">
        <v>44</v>
      </c>
      <c r="C355" s="14" t="s">
        <v>4530</v>
      </c>
      <c r="D355" s="14" t="s">
        <v>252</v>
      </c>
      <c r="E355" s="14" t="s">
        <v>253</v>
      </c>
      <c r="F355" s="15" t="s">
        <v>254</v>
      </c>
      <c r="G355" s="14" t="s">
        <v>255</v>
      </c>
      <c r="H355" s="14" t="s">
        <v>4531</v>
      </c>
      <c r="I355" s="14" t="s">
        <v>4532</v>
      </c>
      <c r="J355" s="14" t="s">
        <v>400</v>
      </c>
      <c r="K355" s="22" t="s">
        <v>1668</v>
      </c>
      <c r="L355" s="14" t="s">
        <v>4533</v>
      </c>
      <c r="M355" s="14" t="s">
        <v>4534</v>
      </c>
      <c r="N355" s="14" t="s">
        <v>4535</v>
      </c>
      <c r="O355" s="14"/>
      <c r="P355" s="14" t="s">
        <v>4536</v>
      </c>
      <c r="Q355" s="14" t="s">
        <v>4537</v>
      </c>
      <c r="R355" s="14" t="s">
        <v>263</v>
      </c>
      <c r="S355" s="17" t="s">
        <v>107</v>
      </c>
      <c r="T355" s="20" t="s">
        <v>324</v>
      </c>
      <c r="U355" s="14" t="s">
        <v>4538</v>
      </c>
      <c r="V355" s="14" t="s">
        <v>109</v>
      </c>
      <c r="W355" s="18" t="s">
        <v>110</v>
      </c>
      <c r="X355" s="14" t="s">
        <v>4539</v>
      </c>
      <c r="Y355" s="14" t="s">
        <v>194</v>
      </c>
      <c r="Z355" s="14" t="s">
        <v>107</v>
      </c>
      <c r="AA355" s="14" t="s">
        <v>107</v>
      </c>
      <c r="AB355" s="14" t="s">
        <v>112</v>
      </c>
      <c r="AC355" s="14" t="s">
        <v>113</v>
      </c>
      <c r="AD355" s="14" t="s">
        <v>114</v>
      </c>
    </row>
    <row r="356" customFormat="false" ht="78" hidden="false" customHeight="true" outlineLevel="0" collapsed="false">
      <c r="A356" s="14" t="s">
        <v>4540</v>
      </c>
      <c r="B356" s="14" t="s">
        <v>44</v>
      </c>
      <c r="C356" s="14" t="s">
        <v>4541</v>
      </c>
      <c r="D356" s="14" t="s">
        <v>252</v>
      </c>
      <c r="E356" s="14" t="s">
        <v>253</v>
      </c>
      <c r="F356" s="15" t="s">
        <v>254</v>
      </c>
      <c r="G356" s="14" t="s">
        <v>255</v>
      </c>
      <c r="H356" s="14" t="s">
        <v>4542</v>
      </c>
      <c r="I356" s="14" t="s">
        <v>4543</v>
      </c>
      <c r="J356" s="14" t="s">
        <v>55</v>
      </c>
      <c r="K356" s="22" t="s">
        <v>1668</v>
      </c>
      <c r="L356" s="14" t="s">
        <v>4544</v>
      </c>
      <c r="M356" s="14" t="s">
        <v>4545</v>
      </c>
      <c r="N356" s="14" t="s">
        <v>4546</v>
      </c>
      <c r="O356" s="14"/>
      <c r="P356" s="14" t="s">
        <v>4547</v>
      </c>
      <c r="Q356" s="14" t="s">
        <v>4548</v>
      </c>
      <c r="R356" s="14" t="s">
        <v>263</v>
      </c>
      <c r="S356" s="17" t="s">
        <v>107</v>
      </c>
      <c r="T356" s="20" t="s">
        <v>324</v>
      </c>
      <c r="U356" s="14" t="s">
        <v>4549</v>
      </c>
      <c r="V356" s="14" t="s">
        <v>109</v>
      </c>
      <c r="W356" s="18" t="s">
        <v>110</v>
      </c>
      <c r="X356" s="14" t="s">
        <v>4550</v>
      </c>
      <c r="Y356" s="14" t="s">
        <v>194</v>
      </c>
      <c r="Z356" s="14" t="s">
        <v>107</v>
      </c>
      <c r="AA356" s="14" t="s">
        <v>107</v>
      </c>
      <c r="AB356" s="14" t="s">
        <v>112</v>
      </c>
      <c r="AC356" s="14" t="s">
        <v>113</v>
      </c>
      <c r="AD356" s="14" t="s">
        <v>114</v>
      </c>
    </row>
    <row r="357" customFormat="false" ht="78" hidden="false" customHeight="true" outlineLevel="0" collapsed="false">
      <c r="A357" s="14" t="s">
        <v>4551</v>
      </c>
      <c r="B357" s="14" t="s">
        <v>44</v>
      </c>
      <c r="C357" s="14" t="s">
        <v>4552</v>
      </c>
      <c r="D357" s="14" t="s">
        <v>252</v>
      </c>
      <c r="E357" s="14" t="s">
        <v>4553</v>
      </c>
      <c r="F357" s="15" t="s">
        <v>269</v>
      </c>
      <c r="G357" s="14" t="s">
        <v>270</v>
      </c>
      <c r="H357" s="14" t="s">
        <v>4554</v>
      </c>
      <c r="I357" s="14" t="s">
        <v>4555</v>
      </c>
      <c r="J357" s="14" t="s">
        <v>57</v>
      </c>
      <c r="K357" s="22" t="s">
        <v>1668</v>
      </c>
      <c r="L357" s="14" t="s">
        <v>4556</v>
      </c>
      <c r="M357" s="14" t="s">
        <v>4557</v>
      </c>
      <c r="N357" s="14" t="s">
        <v>4558</v>
      </c>
      <c r="O357" s="14"/>
      <c r="P357" s="14" t="s">
        <v>4559</v>
      </c>
      <c r="Q357" s="14" t="s">
        <v>4560</v>
      </c>
      <c r="R357" s="14" t="s">
        <v>263</v>
      </c>
      <c r="S357" s="17" t="s">
        <v>107</v>
      </c>
      <c r="T357" s="20" t="s">
        <v>324</v>
      </c>
      <c r="U357" s="14" t="s">
        <v>4561</v>
      </c>
      <c r="V357" s="14" t="s">
        <v>109</v>
      </c>
      <c r="W357" s="18" t="s">
        <v>110</v>
      </c>
      <c r="X357" s="14" t="s">
        <v>4562</v>
      </c>
      <c r="Y357" s="14" t="s">
        <v>194</v>
      </c>
      <c r="Z357" s="14" t="s">
        <v>107</v>
      </c>
      <c r="AA357" s="14" t="s">
        <v>107</v>
      </c>
      <c r="AB357" s="14" t="s">
        <v>112</v>
      </c>
      <c r="AC357" s="14" t="s">
        <v>113</v>
      </c>
      <c r="AD357" s="14" t="s">
        <v>114</v>
      </c>
    </row>
    <row r="358" customFormat="false" ht="78" hidden="false" customHeight="true" outlineLevel="0" collapsed="false">
      <c r="A358" s="14" t="s">
        <v>4563</v>
      </c>
      <c r="B358" s="14" t="s">
        <v>44</v>
      </c>
      <c r="C358" s="14" t="s">
        <v>4564</v>
      </c>
      <c r="D358" s="14" t="s">
        <v>252</v>
      </c>
      <c r="E358" s="14" t="s">
        <v>4565</v>
      </c>
      <c r="F358" s="15" t="s">
        <v>4566</v>
      </c>
      <c r="G358" s="14" t="s">
        <v>4567</v>
      </c>
      <c r="H358" s="14" t="s">
        <v>4568</v>
      </c>
      <c r="I358" s="14" t="s">
        <v>4569</v>
      </c>
      <c r="J358" s="14" t="s">
        <v>53</v>
      </c>
      <c r="K358" s="22" t="s">
        <v>1668</v>
      </c>
      <c r="L358" s="14" t="s">
        <v>4570</v>
      </c>
      <c r="M358" s="14" t="s">
        <v>4571</v>
      </c>
      <c r="N358" s="14" t="s">
        <v>4572</v>
      </c>
      <c r="O358" s="14"/>
      <c r="P358" s="14" t="s">
        <v>4573</v>
      </c>
      <c r="Q358" s="14" t="s">
        <v>4574</v>
      </c>
      <c r="R358" s="14" t="s">
        <v>263</v>
      </c>
      <c r="S358" s="17" t="s">
        <v>107</v>
      </c>
      <c r="T358" s="17" t="s">
        <v>107</v>
      </c>
      <c r="U358" s="14" t="s">
        <v>4575</v>
      </c>
      <c r="V358" s="14" t="s">
        <v>109</v>
      </c>
      <c r="W358" s="18" t="s">
        <v>110</v>
      </c>
      <c r="X358" s="14" t="s">
        <v>4576</v>
      </c>
      <c r="Y358" s="14" t="s">
        <v>194</v>
      </c>
      <c r="Z358" s="14" t="s">
        <v>107</v>
      </c>
      <c r="AA358" s="14" t="s">
        <v>107</v>
      </c>
      <c r="AB358" s="14" t="s">
        <v>112</v>
      </c>
      <c r="AC358" s="14" t="s">
        <v>113</v>
      </c>
      <c r="AD358" s="14" t="s">
        <v>114</v>
      </c>
    </row>
    <row r="359" customFormat="false" ht="78" hidden="false" customHeight="true" outlineLevel="0" collapsed="false">
      <c r="A359" s="14" t="s">
        <v>4577</v>
      </c>
      <c r="B359" s="14" t="s">
        <v>44</v>
      </c>
      <c r="C359" s="14" t="s">
        <v>4578</v>
      </c>
      <c r="D359" s="14" t="s">
        <v>252</v>
      </c>
      <c r="E359" s="14" t="s">
        <v>4579</v>
      </c>
      <c r="F359" s="14"/>
      <c r="G359" s="14" t="s">
        <v>533</v>
      </c>
      <c r="H359" s="14" t="s">
        <v>4580</v>
      </c>
      <c r="I359" s="14" t="s">
        <v>4581</v>
      </c>
      <c r="J359" s="14" t="s">
        <v>53</v>
      </c>
      <c r="K359" s="22" t="s">
        <v>1668</v>
      </c>
      <c r="L359" s="14" t="s">
        <v>4582</v>
      </c>
      <c r="M359" s="14" t="s">
        <v>4583</v>
      </c>
      <c r="N359" s="14" t="s">
        <v>4584</v>
      </c>
      <c r="O359" s="14"/>
      <c r="P359" s="14" t="s">
        <v>4585</v>
      </c>
      <c r="Q359" s="14" t="s">
        <v>4586</v>
      </c>
      <c r="R359" s="14" t="s">
        <v>1237</v>
      </c>
      <c r="S359" s="20" t="s">
        <v>324</v>
      </c>
      <c r="T359" s="17" t="s">
        <v>107</v>
      </c>
      <c r="U359" s="14" t="s">
        <v>4587</v>
      </c>
      <c r="V359" s="14" t="s">
        <v>109</v>
      </c>
      <c r="W359" s="18" t="s">
        <v>110</v>
      </c>
      <c r="X359" s="14" t="s">
        <v>4588</v>
      </c>
      <c r="Y359" s="14" t="s">
        <v>1668</v>
      </c>
      <c r="Z359" s="14" t="s">
        <v>107</v>
      </c>
      <c r="AA359" s="14" t="s">
        <v>107</v>
      </c>
      <c r="AB359" s="14" t="s">
        <v>112</v>
      </c>
      <c r="AC359" s="14" t="s">
        <v>1314</v>
      </c>
      <c r="AD359" s="14" t="s">
        <v>1315</v>
      </c>
    </row>
    <row r="360" customFormat="false" ht="78" hidden="false" customHeight="true" outlineLevel="0" collapsed="false">
      <c r="A360" s="14" t="s">
        <v>4589</v>
      </c>
      <c r="B360" s="14" t="s">
        <v>44</v>
      </c>
      <c r="C360" s="14" t="s">
        <v>4590</v>
      </c>
      <c r="D360" s="14" t="s">
        <v>252</v>
      </c>
      <c r="E360" s="14" t="s">
        <v>4591</v>
      </c>
      <c r="F360" s="15" t="s">
        <v>4592</v>
      </c>
      <c r="G360" s="14" t="s">
        <v>270</v>
      </c>
      <c r="H360" s="14" t="s">
        <v>4593</v>
      </c>
      <c r="I360" s="14" t="s">
        <v>4594</v>
      </c>
      <c r="J360" s="14" t="s">
        <v>55</v>
      </c>
      <c r="K360" s="22" t="s">
        <v>1668</v>
      </c>
      <c r="L360" s="14" t="s">
        <v>4595</v>
      </c>
      <c r="M360" s="14" t="s">
        <v>4596</v>
      </c>
      <c r="N360" s="14" t="s">
        <v>4597</v>
      </c>
      <c r="O360" s="14"/>
      <c r="P360" s="14" t="s">
        <v>4598</v>
      </c>
      <c r="Q360" s="14" t="s">
        <v>4599</v>
      </c>
      <c r="R360" s="14" t="s">
        <v>263</v>
      </c>
      <c r="S360" s="20" t="s">
        <v>324</v>
      </c>
      <c r="T360" s="17" t="s">
        <v>107</v>
      </c>
      <c r="U360" s="14" t="s">
        <v>4600</v>
      </c>
      <c r="V360" s="14" t="s">
        <v>109</v>
      </c>
      <c r="W360" s="18" t="s">
        <v>110</v>
      </c>
      <c r="X360" s="14" t="s">
        <v>4601</v>
      </c>
      <c r="Y360" s="14" t="s">
        <v>194</v>
      </c>
      <c r="Z360" s="14" t="s">
        <v>107</v>
      </c>
      <c r="AA360" s="14" t="s">
        <v>107</v>
      </c>
      <c r="AB360" s="14" t="s">
        <v>112</v>
      </c>
      <c r="AC360" s="14" t="s">
        <v>113</v>
      </c>
      <c r="AD360" s="14" t="s">
        <v>114</v>
      </c>
    </row>
    <row r="361" customFormat="false" ht="78" hidden="false" customHeight="true" outlineLevel="0" collapsed="false">
      <c r="A361" s="14" t="s">
        <v>4602</v>
      </c>
      <c r="B361" s="14" t="s">
        <v>44</v>
      </c>
      <c r="C361" s="14" t="s">
        <v>4603</v>
      </c>
      <c r="D361" s="14" t="s">
        <v>252</v>
      </c>
      <c r="E361" s="14" t="s">
        <v>4604</v>
      </c>
      <c r="F361" s="15" t="s">
        <v>1366</v>
      </c>
      <c r="G361" s="14" t="s">
        <v>255</v>
      </c>
      <c r="H361" s="14" t="s">
        <v>4605</v>
      </c>
      <c r="I361" s="14" t="s">
        <v>4606</v>
      </c>
      <c r="J361" s="14" t="s">
        <v>53</v>
      </c>
      <c r="K361" s="22" t="s">
        <v>1668</v>
      </c>
      <c r="L361" s="14" t="s">
        <v>4607</v>
      </c>
      <c r="M361" s="14" t="s">
        <v>4608</v>
      </c>
      <c r="N361" s="14" t="s">
        <v>4609</v>
      </c>
      <c r="O361" s="14"/>
      <c r="P361" s="14" t="s">
        <v>4610</v>
      </c>
      <c r="Q361" s="14" t="s">
        <v>4611</v>
      </c>
      <c r="R361" s="14" t="s">
        <v>263</v>
      </c>
      <c r="S361" s="20" t="s">
        <v>324</v>
      </c>
      <c r="T361" s="17" t="s">
        <v>107</v>
      </c>
      <c r="U361" s="14" t="s">
        <v>4612</v>
      </c>
      <c r="V361" s="14" t="s">
        <v>109</v>
      </c>
      <c r="W361" s="18" t="s">
        <v>110</v>
      </c>
      <c r="X361" s="14" t="s">
        <v>4613</v>
      </c>
      <c r="Y361" s="14" t="s">
        <v>1668</v>
      </c>
      <c r="Z361" s="14" t="s">
        <v>107</v>
      </c>
      <c r="AA361" s="14" t="s">
        <v>107</v>
      </c>
      <c r="AB361" s="14" t="s">
        <v>112</v>
      </c>
      <c r="AC361" s="14" t="s">
        <v>113</v>
      </c>
      <c r="AD361" s="14" t="s">
        <v>114</v>
      </c>
    </row>
    <row r="362" customFormat="false" ht="78" hidden="false" customHeight="true" outlineLevel="0" collapsed="false">
      <c r="A362" s="14" t="s">
        <v>4614</v>
      </c>
      <c r="B362" s="14" t="s">
        <v>45</v>
      </c>
      <c r="C362" s="14" t="s">
        <v>4615</v>
      </c>
      <c r="D362" s="14" t="s">
        <v>252</v>
      </c>
      <c r="E362" s="14" t="s">
        <v>4616</v>
      </c>
      <c r="F362" s="15" t="s">
        <v>4617</v>
      </c>
      <c r="G362" s="14" t="s">
        <v>285</v>
      </c>
      <c r="H362" s="14" t="s">
        <v>4618</v>
      </c>
      <c r="I362" s="14" t="s">
        <v>4619</v>
      </c>
      <c r="J362" s="14" t="s">
        <v>56</v>
      </c>
      <c r="K362" s="22" t="s">
        <v>1668</v>
      </c>
      <c r="L362" s="14" t="s">
        <v>4620</v>
      </c>
      <c r="M362" s="14" t="s">
        <v>4621</v>
      </c>
      <c r="N362" s="14" t="s">
        <v>4622</v>
      </c>
      <c r="O362" s="14"/>
      <c r="P362" s="14" t="s">
        <v>4623</v>
      </c>
      <c r="Q362" s="14" t="s">
        <v>4624</v>
      </c>
      <c r="R362" s="14" t="s">
        <v>3966</v>
      </c>
      <c r="S362" s="20" t="s">
        <v>324</v>
      </c>
      <c r="T362" s="17" t="s">
        <v>107</v>
      </c>
      <c r="U362" s="14" t="s">
        <v>4625</v>
      </c>
      <c r="V362" s="14" t="s">
        <v>109</v>
      </c>
      <c r="W362" s="18" t="s">
        <v>110</v>
      </c>
      <c r="X362" s="14" t="s">
        <v>4626</v>
      </c>
      <c r="Y362" s="14" t="s">
        <v>1668</v>
      </c>
      <c r="Z362" s="14" t="s">
        <v>107</v>
      </c>
      <c r="AA362" s="14" t="s">
        <v>107</v>
      </c>
      <c r="AB362" s="14" t="s">
        <v>921</v>
      </c>
      <c r="AC362" s="14" t="s">
        <v>113</v>
      </c>
      <c r="AD362" s="14" t="s">
        <v>114</v>
      </c>
    </row>
    <row r="363" customFormat="false" ht="78" hidden="false" customHeight="true" outlineLevel="0" collapsed="false">
      <c r="A363" s="14" t="s">
        <v>4627</v>
      </c>
      <c r="B363" s="14" t="s">
        <v>45</v>
      </c>
      <c r="C363" s="14" t="s">
        <v>4628</v>
      </c>
      <c r="D363" s="14" t="s">
        <v>252</v>
      </c>
      <c r="E363" s="14" t="s">
        <v>4629</v>
      </c>
      <c r="F363" s="15" t="s">
        <v>1768</v>
      </c>
      <c r="G363" s="14" t="s">
        <v>1932</v>
      </c>
      <c r="H363" s="14" t="s">
        <v>4630</v>
      </c>
      <c r="I363" s="14" t="s">
        <v>4631</v>
      </c>
      <c r="J363" s="14" t="s">
        <v>50</v>
      </c>
      <c r="K363" s="22" t="s">
        <v>1668</v>
      </c>
      <c r="L363" s="14" t="s">
        <v>4632</v>
      </c>
      <c r="M363" s="14" t="s">
        <v>4633</v>
      </c>
      <c r="N363" s="14" t="s">
        <v>4634</v>
      </c>
      <c r="O363" s="14"/>
      <c r="P363" s="14" t="s">
        <v>4635</v>
      </c>
      <c r="Q363" s="14" t="s">
        <v>4636</v>
      </c>
      <c r="R363" s="14" t="s">
        <v>1237</v>
      </c>
      <c r="S363" s="20" t="s">
        <v>324</v>
      </c>
      <c r="T363" s="17" t="s">
        <v>107</v>
      </c>
      <c r="U363" s="14" t="s">
        <v>4637</v>
      </c>
      <c r="V363" s="14" t="s">
        <v>109</v>
      </c>
      <c r="W363" s="18" t="s">
        <v>110</v>
      </c>
      <c r="X363" s="14" t="s">
        <v>4638</v>
      </c>
      <c r="Y363" s="14" t="s">
        <v>1668</v>
      </c>
      <c r="Z363" s="14" t="s">
        <v>107</v>
      </c>
      <c r="AA363" s="14" t="s">
        <v>107</v>
      </c>
      <c r="AB363" s="14" t="s">
        <v>921</v>
      </c>
      <c r="AC363" s="14" t="s">
        <v>113</v>
      </c>
      <c r="AD363" s="14" t="s">
        <v>114</v>
      </c>
    </row>
    <row r="364" customFormat="false" ht="78" hidden="false" customHeight="true" outlineLevel="0" collapsed="false">
      <c r="A364" s="14" t="s">
        <v>4639</v>
      </c>
      <c r="B364" s="14" t="s">
        <v>45</v>
      </c>
      <c r="C364" s="14" t="s">
        <v>4640</v>
      </c>
      <c r="D364" s="14" t="s">
        <v>252</v>
      </c>
      <c r="E364" s="14" t="s">
        <v>4641</v>
      </c>
      <c r="F364" s="15" t="s">
        <v>254</v>
      </c>
      <c r="G364" s="14" t="s">
        <v>255</v>
      </c>
      <c r="H364" s="14" t="s">
        <v>4642</v>
      </c>
      <c r="I364" s="14" t="s">
        <v>4643</v>
      </c>
      <c r="J364" s="14" t="s">
        <v>52</v>
      </c>
      <c r="K364" s="22" t="s">
        <v>1668</v>
      </c>
      <c r="L364" s="14" t="s">
        <v>4644</v>
      </c>
      <c r="M364" s="14" t="s">
        <v>4645</v>
      </c>
      <c r="N364" s="14" t="s">
        <v>4646</v>
      </c>
      <c r="O364" s="14"/>
      <c r="P364" s="14" t="s">
        <v>4647</v>
      </c>
      <c r="Q364" s="14" t="s">
        <v>4648</v>
      </c>
      <c r="R364" s="14" t="s">
        <v>4649</v>
      </c>
      <c r="S364" s="20" t="s">
        <v>324</v>
      </c>
      <c r="T364" s="17" t="s">
        <v>107</v>
      </c>
      <c r="U364" s="14" t="s">
        <v>4650</v>
      </c>
      <c r="V364" s="14" t="s">
        <v>109</v>
      </c>
      <c r="W364" s="18" t="s">
        <v>110</v>
      </c>
      <c r="X364" s="14" t="s">
        <v>4651</v>
      </c>
      <c r="Y364" s="14" t="s">
        <v>1668</v>
      </c>
      <c r="Z364" s="14" t="s">
        <v>107</v>
      </c>
      <c r="AA364" s="14" t="s">
        <v>107</v>
      </c>
      <c r="AB364" s="14" t="s">
        <v>921</v>
      </c>
      <c r="AC364" s="14" t="s">
        <v>113</v>
      </c>
      <c r="AD364" s="14" t="s">
        <v>114</v>
      </c>
    </row>
    <row r="365" customFormat="false" ht="78" hidden="false" customHeight="true" outlineLevel="0" collapsed="false">
      <c r="A365" s="14" t="s">
        <v>4652</v>
      </c>
      <c r="B365" s="14" t="s">
        <v>47</v>
      </c>
      <c r="C365" s="14" t="s">
        <v>4653</v>
      </c>
      <c r="D365" s="14" t="s">
        <v>252</v>
      </c>
      <c r="E365" s="14" t="s">
        <v>253</v>
      </c>
      <c r="F365" s="15" t="s">
        <v>254</v>
      </c>
      <c r="G365" s="14" t="s">
        <v>255</v>
      </c>
      <c r="H365" s="14" t="s">
        <v>4654</v>
      </c>
      <c r="I365" s="14" t="s">
        <v>4655</v>
      </c>
      <c r="J365" s="14" t="s">
        <v>1057</v>
      </c>
      <c r="K365" s="22" t="s">
        <v>1668</v>
      </c>
      <c r="L365" s="14" t="s">
        <v>4656</v>
      </c>
      <c r="M365" s="14" t="s">
        <v>4657</v>
      </c>
      <c r="N365" s="14" t="s">
        <v>4658</v>
      </c>
      <c r="O365" s="14"/>
      <c r="P365" s="14" t="s">
        <v>4659</v>
      </c>
      <c r="Q365" s="14" t="s">
        <v>4660</v>
      </c>
      <c r="R365" s="14" t="s">
        <v>4649</v>
      </c>
      <c r="S365" s="20" t="s">
        <v>324</v>
      </c>
      <c r="T365" s="17" t="s">
        <v>107</v>
      </c>
      <c r="U365" s="14" t="s">
        <v>4661</v>
      </c>
      <c r="V365" s="14" t="s">
        <v>109</v>
      </c>
      <c r="W365" s="18" t="s">
        <v>110</v>
      </c>
      <c r="X365" s="14" t="s">
        <v>4662</v>
      </c>
      <c r="Y365" s="14" t="s">
        <v>1668</v>
      </c>
      <c r="Z365" s="14" t="s">
        <v>107</v>
      </c>
      <c r="AA365" s="14" t="s">
        <v>107</v>
      </c>
      <c r="AB365" s="14" t="s">
        <v>2204</v>
      </c>
      <c r="AC365" s="14" t="s">
        <v>113</v>
      </c>
      <c r="AD365" s="14" t="s">
        <v>114</v>
      </c>
    </row>
    <row r="366" customFormat="false" ht="78" hidden="false" customHeight="true" outlineLevel="0" collapsed="false">
      <c r="A366" s="14" t="s">
        <v>4663</v>
      </c>
      <c r="B366" s="14" t="s">
        <v>48</v>
      </c>
      <c r="C366" s="14" t="s">
        <v>4424</v>
      </c>
      <c r="D366" s="14" t="s">
        <v>252</v>
      </c>
      <c r="E366" s="14" t="s">
        <v>4664</v>
      </c>
      <c r="F366" s="15" t="s">
        <v>269</v>
      </c>
      <c r="G366" s="14" t="s">
        <v>270</v>
      </c>
      <c r="H366" s="14" t="s">
        <v>4665</v>
      </c>
      <c r="I366" s="14" t="s">
        <v>4666</v>
      </c>
      <c r="J366" s="14" t="s">
        <v>54</v>
      </c>
      <c r="K366" s="22" t="s">
        <v>1668</v>
      </c>
      <c r="L366" s="14" t="s">
        <v>4667</v>
      </c>
      <c r="M366" s="14" t="s">
        <v>4668</v>
      </c>
      <c r="N366" s="14" t="s">
        <v>4669</v>
      </c>
      <c r="O366" s="14"/>
      <c r="P366" s="14" t="s">
        <v>4670</v>
      </c>
      <c r="Q366" s="14" t="s">
        <v>4671</v>
      </c>
      <c r="R366" s="14" t="s">
        <v>4160</v>
      </c>
      <c r="S366" s="17" t="s">
        <v>107</v>
      </c>
      <c r="T366" s="20" t="s">
        <v>324</v>
      </c>
      <c r="U366" s="14" t="s">
        <v>4672</v>
      </c>
      <c r="V366" s="14" t="s">
        <v>109</v>
      </c>
      <c r="W366" s="18" t="s">
        <v>110</v>
      </c>
      <c r="X366" s="14" t="s">
        <v>4673</v>
      </c>
      <c r="Y366" s="14" t="s">
        <v>1668</v>
      </c>
      <c r="Z366" s="14" t="s">
        <v>107</v>
      </c>
      <c r="AA366" s="14" t="s">
        <v>107</v>
      </c>
      <c r="AB366" s="14" t="s">
        <v>559</v>
      </c>
      <c r="AC366" s="14" t="s">
        <v>560</v>
      </c>
      <c r="AD366" s="14" t="s">
        <v>561</v>
      </c>
    </row>
    <row r="367" customFormat="false" ht="78" hidden="false" customHeight="true" outlineLevel="0" collapsed="false">
      <c r="A367" s="14" t="s">
        <v>4674</v>
      </c>
      <c r="B367" s="14" t="s">
        <v>43</v>
      </c>
      <c r="C367" s="14" t="s">
        <v>4187</v>
      </c>
      <c r="D367" s="14" t="s">
        <v>252</v>
      </c>
      <c r="E367" s="14" t="s">
        <v>4641</v>
      </c>
      <c r="F367" s="15" t="s">
        <v>254</v>
      </c>
      <c r="G367" s="14" t="s">
        <v>255</v>
      </c>
      <c r="H367" s="14" t="s">
        <v>4189</v>
      </c>
      <c r="I367" s="14" t="s">
        <v>4675</v>
      </c>
      <c r="J367" s="14" t="s">
        <v>54</v>
      </c>
      <c r="K367" s="22" t="s">
        <v>1668</v>
      </c>
      <c r="L367" s="14" t="s">
        <v>4676</v>
      </c>
      <c r="M367" s="14" t="s">
        <v>4677</v>
      </c>
      <c r="N367" s="14" t="s">
        <v>4678</v>
      </c>
      <c r="O367" s="14"/>
      <c r="P367" s="14" t="s">
        <v>4679</v>
      </c>
      <c r="Q367" s="14" t="s">
        <v>4680</v>
      </c>
      <c r="R367" s="14" t="s">
        <v>263</v>
      </c>
      <c r="S367" s="17" t="s">
        <v>107</v>
      </c>
      <c r="T367" s="20" t="s">
        <v>324</v>
      </c>
      <c r="U367" s="14" t="s">
        <v>4681</v>
      </c>
      <c r="V367" s="14" t="s">
        <v>109</v>
      </c>
      <c r="W367" s="18" t="s">
        <v>110</v>
      </c>
      <c r="X367" s="14" t="s">
        <v>4682</v>
      </c>
      <c r="Y367" s="14" t="s">
        <v>194</v>
      </c>
      <c r="Z367" s="14" t="s">
        <v>107</v>
      </c>
      <c r="AA367" s="14" t="s">
        <v>107</v>
      </c>
      <c r="AB367" s="14" t="s">
        <v>131</v>
      </c>
      <c r="AC367" s="14" t="s">
        <v>560</v>
      </c>
      <c r="AD367" s="14" t="s">
        <v>561</v>
      </c>
    </row>
    <row r="368" customFormat="false" ht="78" hidden="false" customHeight="true" outlineLevel="0" collapsed="false">
      <c r="A368" s="14" t="s">
        <v>4683</v>
      </c>
      <c r="B368" s="14" t="s">
        <v>43</v>
      </c>
      <c r="C368" s="14" t="s">
        <v>4684</v>
      </c>
      <c r="D368" s="14" t="s">
        <v>252</v>
      </c>
      <c r="E368" s="14" t="s">
        <v>4685</v>
      </c>
      <c r="F368" s="15" t="s">
        <v>4686</v>
      </c>
      <c r="G368" s="14" t="s">
        <v>4687</v>
      </c>
      <c r="H368" s="14" t="s">
        <v>4688</v>
      </c>
      <c r="I368" s="14" t="s">
        <v>4689</v>
      </c>
      <c r="J368" s="14" t="s">
        <v>50</v>
      </c>
      <c r="K368" s="22" t="s">
        <v>1668</v>
      </c>
      <c r="L368" s="14" t="s">
        <v>4690</v>
      </c>
      <c r="M368" s="14" t="s">
        <v>4691</v>
      </c>
      <c r="N368" s="14" t="s">
        <v>4692</v>
      </c>
      <c r="O368" s="14"/>
      <c r="P368" s="14" t="s">
        <v>4693</v>
      </c>
      <c r="Q368" s="14" t="s">
        <v>4694</v>
      </c>
      <c r="R368" s="14" t="s">
        <v>1237</v>
      </c>
      <c r="S368" s="20" t="s">
        <v>324</v>
      </c>
      <c r="T368" s="20" t="s">
        <v>324</v>
      </c>
      <c r="U368" s="14" t="s">
        <v>4695</v>
      </c>
      <c r="V368" s="14" t="s">
        <v>109</v>
      </c>
      <c r="W368" s="18" t="s">
        <v>110</v>
      </c>
      <c r="X368" s="14" t="s">
        <v>4696</v>
      </c>
      <c r="Y368" s="14" t="s">
        <v>1668</v>
      </c>
      <c r="Z368" s="14" t="s">
        <v>107</v>
      </c>
      <c r="AA368" s="14" t="s">
        <v>107</v>
      </c>
      <c r="AB368" s="14" t="s">
        <v>131</v>
      </c>
      <c r="AC368" s="14" t="s">
        <v>113</v>
      </c>
      <c r="AD368" s="14" t="s">
        <v>114</v>
      </c>
    </row>
    <row r="369" customFormat="false" ht="78" hidden="false" customHeight="true" outlineLevel="0" collapsed="false">
      <c r="A369" s="14" t="s">
        <v>4697</v>
      </c>
      <c r="B369" s="14" t="s">
        <v>43</v>
      </c>
      <c r="C369" s="14" t="s">
        <v>4248</v>
      </c>
      <c r="D369" s="14" t="s">
        <v>252</v>
      </c>
      <c r="E369" s="14" t="s">
        <v>4591</v>
      </c>
      <c r="F369" s="15" t="s">
        <v>4592</v>
      </c>
      <c r="G369" s="14" t="s">
        <v>270</v>
      </c>
      <c r="H369" s="14" t="s">
        <v>4698</v>
      </c>
      <c r="I369" s="14" t="s">
        <v>4699</v>
      </c>
      <c r="J369" s="14" t="s">
        <v>50</v>
      </c>
      <c r="K369" s="22" t="s">
        <v>1668</v>
      </c>
      <c r="L369" s="14" t="s">
        <v>4700</v>
      </c>
      <c r="M369" s="14" t="s">
        <v>4701</v>
      </c>
      <c r="N369" s="14" t="s">
        <v>4702</v>
      </c>
      <c r="O369" s="14"/>
      <c r="P369" s="14" t="s">
        <v>4703</v>
      </c>
      <c r="Q369" s="14" t="s">
        <v>4704</v>
      </c>
      <c r="R369" s="14" t="s">
        <v>263</v>
      </c>
      <c r="S369" s="17" t="s">
        <v>107</v>
      </c>
      <c r="T369" s="17" t="s">
        <v>107</v>
      </c>
      <c r="U369" s="14" t="s">
        <v>4705</v>
      </c>
      <c r="V369" s="14" t="s">
        <v>109</v>
      </c>
      <c r="W369" s="18" t="s">
        <v>110</v>
      </c>
      <c r="X369" s="14" t="s">
        <v>4706</v>
      </c>
      <c r="Y369" s="14" t="s">
        <v>194</v>
      </c>
      <c r="Z369" s="14" t="s">
        <v>107</v>
      </c>
      <c r="AA369" s="14" t="s">
        <v>107</v>
      </c>
      <c r="AB369" s="14" t="s">
        <v>131</v>
      </c>
      <c r="AC369" s="14" t="s">
        <v>113</v>
      </c>
      <c r="AD369" s="14" t="s">
        <v>114</v>
      </c>
    </row>
    <row r="370" customFormat="false" ht="78" hidden="false" customHeight="true" outlineLevel="0" collapsed="false">
      <c r="A370" s="14" t="s">
        <v>4707</v>
      </c>
      <c r="B370" s="14" t="s">
        <v>43</v>
      </c>
      <c r="C370" s="14" t="s">
        <v>4211</v>
      </c>
      <c r="D370" s="14" t="s">
        <v>252</v>
      </c>
      <c r="E370" s="14" t="s">
        <v>4708</v>
      </c>
      <c r="F370" s="15" t="s">
        <v>1438</v>
      </c>
      <c r="G370" s="14" t="s">
        <v>1439</v>
      </c>
      <c r="H370" s="14" t="s">
        <v>4214</v>
      </c>
      <c r="I370" s="14" t="s">
        <v>4709</v>
      </c>
      <c r="J370" s="14" t="s">
        <v>505</v>
      </c>
      <c r="K370" s="22" t="s">
        <v>1668</v>
      </c>
      <c r="L370" s="14" t="s">
        <v>4710</v>
      </c>
      <c r="M370" s="14" t="s">
        <v>4711</v>
      </c>
      <c r="N370" s="14" t="s">
        <v>4712</v>
      </c>
      <c r="O370" s="14"/>
      <c r="P370" s="14" t="s">
        <v>4713</v>
      </c>
      <c r="Q370" s="14" t="s">
        <v>4714</v>
      </c>
      <c r="R370" s="14" t="s">
        <v>1237</v>
      </c>
      <c r="S370" s="17" t="s">
        <v>107</v>
      </c>
      <c r="T370" s="17" t="s">
        <v>107</v>
      </c>
      <c r="U370" s="14" t="s">
        <v>4715</v>
      </c>
      <c r="V370" s="14" t="s">
        <v>109</v>
      </c>
      <c r="W370" s="18" t="s">
        <v>110</v>
      </c>
      <c r="X370" s="14" t="s">
        <v>4716</v>
      </c>
      <c r="Y370" s="14" t="s">
        <v>194</v>
      </c>
      <c r="Z370" s="14" t="s">
        <v>107</v>
      </c>
      <c r="AA370" s="14" t="s">
        <v>107</v>
      </c>
      <c r="AB370" s="14" t="s">
        <v>131</v>
      </c>
      <c r="AC370" s="14" t="s">
        <v>113</v>
      </c>
      <c r="AD370" s="14" t="s">
        <v>114</v>
      </c>
    </row>
    <row r="371" customFormat="false" ht="78" hidden="false" customHeight="true" outlineLevel="0" collapsed="false">
      <c r="A371" s="14" t="s">
        <v>4717</v>
      </c>
      <c r="B371" s="14" t="s">
        <v>43</v>
      </c>
      <c r="C371" s="14" t="s">
        <v>4718</v>
      </c>
      <c r="D371" s="14" t="s">
        <v>252</v>
      </c>
      <c r="E371" s="14" t="s">
        <v>4719</v>
      </c>
      <c r="F371" s="15" t="s">
        <v>4566</v>
      </c>
      <c r="G371" s="14" t="s">
        <v>533</v>
      </c>
      <c r="H371" s="14" t="s">
        <v>4720</v>
      </c>
      <c r="I371" s="14" t="s">
        <v>4721</v>
      </c>
      <c r="J371" s="14" t="s">
        <v>1269</v>
      </c>
      <c r="K371" s="22" t="s">
        <v>1668</v>
      </c>
      <c r="L371" s="14" t="s">
        <v>4722</v>
      </c>
      <c r="M371" s="14" t="s">
        <v>4723</v>
      </c>
      <c r="N371" s="14" t="s">
        <v>4724</v>
      </c>
      <c r="O371" s="14"/>
      <c r="P371" s="14" t="s">
        <v>4725</v>
      </c>
      <c r="Q371" s="14" t="s">
        <v>4726</v>
      </c>
      <c r="R371" s="14" t="s">
        <v>263</v>
      </c>
      <c r="S371" s="20" t="s">
        <v>324</v>
      </c>
      <c r="T371" s="20" t="s">
        <v>324</v>
      </c>
      <c r="U371" s="14" t="s">
        <v>4727</v>
      </c>
      <c r="V371" s="14" t="s">
        <v>109</v>
      </c>
      <c r="W371" s="18" t="s">
        <v>110</v>
      </c>
      <c r="X371" s="14" t="s">
        <v>4728</v>
      </c>
      <c r="Y371" s="14" t="s">
        <v>1668</v>
      </c>
      <c r="Z371" s="14" t="s">
        <v>107</v>
      </c>
      <c r="AA371" s="14" t="s">
        <v>107</v>
      </c>
      <c r="AB371" s="14" t="s">
        <v>131</v>
      </c>
      <c r="AC371" s="14" t="s">
        <v>113</v>
      </c>
      <c r="AD371" s="14" t="s">
        <v>114</v>
      </c>
    </row>
    <row r="372" customFormat="false" ht="78" hidden="false" customHeight="true" outlineLevel="0" collapsed="false">
      <c r="A372" s="14" t="s">
        <v>4729</v>
      </c>
      <c r="B372" s="14" t="s">
        <v>43</v>
      </c>
      <c r="C372" s="14" t="s">
        <v>4730</v>
      </c>
      <c r="D372" s="14" t="s">
        <v>252</v>
      </c>
      <c r="E372" s="14" t="s">
        <v>4731</v>
      </c>
      <c r="F372" s="15" t="s">
        <v>1438</v>
      </c>
      <c r="G372" s="14" t="s">
        <v>1439</v>
      </c>
      <c r="H372" s="14" t="s">
        <v>4732</v>
      </c>
      <c r="I372" s="14" t="s">
        <v>4733</v>
      </c>
      <c r="J372" s="14" t="s">
        <v>50</v>
      </c>
      <c r="K372" s="22" t="s">
        <v>1668</v>
      </c>
      <c r="L372" s="14" t="s">
        <v>4734</v>
      </c>
      <c r="M372" s="14" t="s">
        <v>4735</v>
      </c>
      <c r="N372" s="14" t="s">
        <v>4736</v>
      </c>
      <c r="O372" s="14"/>
      <c r="P372" s="14" t="s">
        <v>4737</v>
      </c>
      <c r="Q372" s="14" t="s">
        <v>4738</v>
      </c>
      <c r="R372" s="14" t="s">
        <v>1237</v>
      </c>
      <c r="S372" s="20" t="s">
        <v>324</v>
      </c>
      <c r="T372" s="17" t="s">
        <v>107</v>
      </c>
      <c r="U372" s="14" t="s">
        <v>4739</v>
      </c>
      <c r="V372" s="14" t="s">
        <v>109</v>
      </c>
      <c r="W372" s="18" t="s">
        <v>110</v>
      </c>
      <c r="X372" s="14" t="s">
        <v>4740</v>
      </c>
      <c r="Y372" s="14" t="s">
        <v>1668</v>
      </c>
      <c r="Z372" s="14" t="s">
        <v>107</v>
      </c>
      <c r="AA372" s="14" t="s">
        <v>107</v>
      </c>
      <c r="AB372" s="14" t="s">
        <v>131</v>
      </c>
      <c r="AC372" s="14" t="s">
        <v>113</v>
      </c>
      <c r="AD372" s="14" t="s">
        <v>114</v>
      </c>
    </row>
    <row r="373" customFormat="false" ht="78" hidden="false" customHeight="true" outlineLevel="0" collapsed="false">
      <c r="A373" s="14" t="s">
        <v>4741</v>
      </c>
      <c r="B373" s="14" t="s">
        <v>46</v>
      </c>
      <c r="C373" s="14" t="s">
        <v>4742</v>
      </c>
      <c r="D373" s="14" t="s">
        <v>1451</v>
      </c>
      <c r="E373" s="14" t="s">
        <v>4743</v>
      </c>
      <c r="F373" s="15" t="s">
        <v>548</v>
      </c>
      <c r="G373" s="14" t="s">
        <v>285</v>
      </c>
      <c r="H373" s="14" t="s">
        <v>4744</v>
      </c>
      <c r="I373" s="14" t="s">
        <v>4745</v>
      </c>
      <c r="J373" s="14" t="s">
        <v>51</v>
      </c>
      <c r="K373" s="22" t="s">
        <v>1668</v>
      </c>
      <c r="L373" s="14" t="s">
        <v>4746</v>
      </c>
      <c r="M373" s="14" t="s">
        <v>4747</v>
      </c>
      <c r="N373" s="14" t="s">
        <v>4748</v>
      </c>
      <c r="O373" s="14"/>
      <c r="P373" s="14" t="s">
        <v>4749</v>
      </c>
      <c r="Q373" s="14" t="s">
        <v>4750</v>
      </c>
      <c r="R373" s="14" t="s">
        <v>1237</v>
      </c>
      <c r="S373" s="17" t="s">
        <v>107</v>
      </c>
      <c r="T373" s="17" t="s">
        <v>107</v>
      </c>
      <c r="U373" s="14" t="s">
        <v>4751</v>
      </c>
      <c r="V373" s="14" t="s">
        <v>109</v>
      </c>
      <c r="W373" s="18" t="s">
        <v>110</v>
      </c>
      <c r="X373" s="14" t="s">
        <v>4752</v>
      </c>
      <c r="Y373" s="14" t="s">
        <v>194</v>
      </c>
      <c r="Z373" s="14" t="s">
        <v>107</v>
      </c>
      <c r="AA373" s="14" t="s">
        <v>107</v>
      </c>
      <c r="AB373" s="14" t="s">
        <v>147</v>
      </c>
      <c r="AC373" s="14" t="s">
        <v>113</v>
      </c>
      <c r="AD373" s="14" t="s">
        <v>114</v>
      </c>
    </row>
    <row r="374" customFormat="false" ht="78" hidden="false" customHeight="true" outlineLevel="0" collapsed="false">
      <c r="A374" s="14" t="s">
        <v>4753</v>
      </c>
      <c r="B374" s="14" t="s">
        <v>44</v>
      </c>
      <c r="C374" s="14" t="s">
        <v>4754</v>
      </c>
      <c r="D374" s="14" t="s">
        <v>1451</v>
      </c>
      <c r="E374" s="14" t="s">
        <v>4755</v>
      </c>
      <c r="F374" s="15" t="s">
        <v>4756</v>
      </c>
      <c r="G374" s="14" t="s">
        <v>4757</v>
      </c>
      <c r="H374" s="14" t="s">
        <v>4758</v>
      </c>
      <c r="I374" s="14" t="s">
        <v>4759</v>
      </c>
      <c r="J374" s="14" t="s">
        <v>55</v>
      </c>
      <c r="K374" s="22" t="s">
        <v>1668</v>
      </c>
      <c r="L374" s="14" t="s">
        <v>4760</v>
      </c>
      <c r="M374" s="14" t="s">
        <v>4761</v>
      </c>
      <c r="N374" s="14" t="s">
        <v>4762</v>
      </c>
      <c r="O374" s="14"/>
      <c r="P374" s="14" t="s">
        <v>4763</v>
      </c>
      <c r="Q374" s="14" t="s">
        <v>4764</v>
      </c>
      <c r="R374" s="14" t="s">
        <v>1522</v>
      </c>
      <c r="S374" s="17" t="s">
        <v>107</v>
      </c>
      <c r="T374" s="17" t="s">
        <v>107</v>
      </c>
      <c r="U374" s="14" t="s">
        <v>4765</v>
      </c>
      <c r="V374" s="14" t="s">
        <v>109</v>
      </c>
      <c r="W374" s="21" t="s">
        <v>429</v>
      </c>
      <c r="X374" s="14" t="s">
        <v>4766</v>
      </c>
      <c r="Y374" s="14" t="s">
        <v>100</v>
      </c>
      <c r="Z374" s="14" t="s">
        <v>107</v>
      </c>
      <c r="AA374" s="14" t="s">
        <v>107</v>
      </c>
      <c r="AB374" s="14" t="s">
        <v>112</v>
      </c>
      <c r="AC374" s="14" t="s">
        <v>113</v>
      </c>
      <c r="AD374" s="14" t="s">
        <v>114</v>
      </c>
    </row>
    <row r="375" customFormat="false" ht="78" hidden="false" customHeight="true" outlineLevel="0" collapsed="false">
      <c r="A375" s="14" t="s">
        <v>4767</v>
      </c>
      <c r="B375" s="14" t="s">
        <v>44</v>
      </c>
      <c r="C375" s="14" t="s">
        <v>4768</v>
      </c>
      <c r="D375" s="14" t="s">
        <v>1451</v>
      </c>
      <c r="E375" s="14" t="s">
        <v>4769</v>
      </c>
      <c r="F375" s="15" t="s">
        <v>1111</v>
      </c>
      <c r="G375" s="14" t="s">
        <v>4770</v>
      </c>
      <c r="H375" s="14" t="s">
        <v>4771</v>
      </c>
      <c r="I375" s="14" t="s">
        <v>4772</v>
      </c>
      <c r="J375" s="14" t="s">
        <v>50</v>
      </c>
      <c r="K375" s="22" t="s">
        <v>1668</v>
      </c>
      <c r="L375" s="14" t="s">
        <v>4773</v>
      </c>
      <c r="M375" s="14" t="s">
        <v>4774</v>
      </c>
      <c r="N375" s="14" t="s">
        <v>4775</v>
      </c>
      <c r="O375" s="14"/>
      <c r="P375" s="14" t="s">
        <v>4776</v>
      </c>
      <c r="Q375" s="14" t="s">
        <v>4777</v>
      </c>
      <c r="R375" s="14" t="s">
        <v>1237</v>
      </c>
      <c r="S375" s="17" t="s">
        <v>107</v>
      </c>
      <c r="T375" s="17" t="s">
        <v>107</v>
      </c>
      <c r="U375" s="14" t="s">
        <v>4778</v>
      </c>
      <c r="V375" s="14" t="s">
        <v>109</v>
      </c>
      <c r="W375" s="18" t="s">
        <v>110</v>
      </c>
      <c r="X375" s="14" t="s">
        <v>4779</v>
      </c>
      <c r="Y375" s="14" t="s">
        <v>194</v>
      </c>
      <c r="Z375" s="14" t="s">
        <v>107</v>
      </c>
      <c r="AA375" s="14" t="s">
        <v>107</v>
      </c>
      <c r="AB375" s="14" t="s">
        <v>112</v>
      </c>
      <c r="AC375" s="14" t="s">
        <v>113</v>
      </c>
      <c r="AD375" s="14" t="s">
        <v>114</v>
      </c>
    </row>
    <row r="376" customFormat="false" ht="78" hidden="false" customHeight="true" outlineLevel="0" collapsed="false">
      <c r="A376" s="14" t="s">
        <v>4780</v>
      </c>
      <c r="B376" s="14" t="s">
        <v>44</v>
      </c>
      <c r="C376" s="14" t="s">
        <v>4781</v>
      </c>
      <c r="D376" s="14" t="s">
        <v>1451</v>
      </c>
      <c r="E376" s="14" t="s">
        <v>4782</v>
      </c>
      <c r="F376" s="14"/>
      <c r="G376" s="14" t="s">
        <v>533</v>
      </c>
      <c r="H376" s="14" t="s">
        <v>4783</v>
      </c>
      <c r="I376" s="14" t="s">
        <v>4784</v>
      </c>
      <c r="J376" s="14" t="s">
        <v>53</v>
      </c>
      <c r="K376" s="22" t="s">
        <v>1668</v>
      </c>
      <c r="L376" s="14" t="s">
        <v>4785</v>
      </c>
      <c r="M376" s="14" t="s">
        <v>4786</v>
      </c>
      <c r="N376" s="14" t="s">
        <v>4787</v>
      </c>
      <c r="O376" s="14"/>
      <c r="P376" s="14" t="s">
        <v>4788</v>
      </c>
      <c r="Q376" s="14" t="s">
        <v>4789</v>
      </c>
      <c r="R376" s="14" t="s">
        <v>1237</v>
      </c>
      <c r="S376" s="20" t="s">
        <v>324</v>
      </c>
      <c r="T376" s="17" t="s">
        <v>107</v>
      </c>
      <c r="U376" s="14" t="s">
        <v>4790</v>
      </c>
      <c r="V376" s="14" t="s">
        <v>109</v>
      </c>
      <c r="W376" s="18" t="s">
        <v>110</v>
      </c>
      <c r="X376" s="14" t="s">
        <v>4791</v>
      </c>
      <c r="Y376" s="14" t="s">
        <v>1668</v>
      </c>
      <c r="Z376" s="14" t="s">
        <v>107</v>
      </c>
      <c r="AA376" s="14" t="s">
        <v>107</v>
      </c>
      <c r="AB376" s="14" t="s">
        <v>112</v>
      </c>
      <c r="AC376" s="14" t="s">
        <v>1314</v>
      </c>
      <c r="AD376" s="14" t="s">
        <v>1315</v>
      </c>
    </row>
    <row r="377" customFormat="false" ht="78" hidden="false" customHeight="true" outlineLevel="0" collapsed="false">
      <c r="A377" s="14" t="s">
        <v>4792</v>
      </c>
      <c r="B377" s="14" t="s">
        <v>44</v>
      </c>
      <c r="C377" s="14" t="s">
        <v>4793</v>
      </c>
      <c r="D377" s="14" t="s">
        <v>1451</v>
      </c>
      <c r="E377" s="14" t="s">
        <v>1514</v>
      </c>
      <c r="F377" s="15" t="s">
        <v>367</v>
      </c>
      <c r="G377" s="14" t="s">
        <v>1490</v>
      </c>
      <c r="H377" s="14" t="s">
        <v>4794</v>
      </c>
      <c r="I377" s="14" t="s">
        <v>4795</v>
      </c>
      <c r="J377" s="14" t="s">
        <v>57</v>
      </c>
      <c r="K377" s="22" t="s">
        <v>1668</v>
      </c>
      <c r="L377" s="14" t="s">
        <v>4796</v>
      </c>
      <c r="M377" s="14" t="s">
        <v>4797</v>
      </c>
      <c r="N377" s="14" t="s">
        <v>4798</v>
      </c>
      <c r="O377" s="14"/>
      <c r="P377" s="14" t="s">
        <v>4799</v>
      </c>
      <c r="Q377" s="14" t="s">
        <v>4800</v>
      </c>
      <c r="R377" s="14" t="s">
        <v>1522</v>
      </c>
      <c r="S377" s="20" t="s">
        <v>324</v>
      </c>
      <c r="T377" s="20" t="s">
        <v>324</v>
      </c>
      <c r="U377" s="14" t="s">
        <v>4801</v>
      </c>
      <c r="V377" s="14" t="s">
        <v>109</v>
      </c>
      <c r="W377" s="18" t="s">
        <v>110</v>
      </c>
      <c r="X377" s="14" t="s">
        <v>4802</v>
      </c>
      <c r="Y377" s="14" t="s">
        <v>194</v>
      </c>
      <c r="Z377" s="14" t="s">
        <v>107</v>
      </c>
      <c r="AA377" s="14" t="s">
        <v>107</v>
      </c>
      <c r="AB377" s="14" t="s">
        <v>112</v>
      </c>
      <c r="AC377" s="14" t="s">
        <v>113</v>
      </c>
      <c r="AD377" s="14" t="s">
        <v>114</v>
      </c>
    </row>
    <row r="378" customFormat="false" ht="78" hidden="false" customHeight="true" outlineLevel="0" collapsed="false">
      <c r="A378" s="14" t="s">
        <v>4803</v>
      </c>
      <c r="B378" s="14" t="s">
        <v>44</v>
      </c>
      <c r="C378" s="14" t="s">
        <v>4804</v>
      </c>
      <c r="D378" s="14" t="s">
        <v>1451</v>
      </c>
      <c r="E378" s="14" t="s">
        <v>4805</v>
      </c>
      <c r="F378" s="15" t="s">
        <v>4756</v>
      </c>
      <c r="G378" s="14" t="s">
        <v>4757</v>
      </c>
      <c r="H378" s="14" t="s">
        <v>4806</v>
      </c>
      <c r="I378" s="14" t="s">
        <v>4807</v>
      </c>
      <c r="J378" s="14" t="s">
        <v>57</v>
      </c>
      <c r="K378" s="22" t="s">
        <v>1668</v>
      </c>
      <c r="L378" s="14" t="s">
        <v>4808</v>
      </c>
      <c r="M378" s="14" t="s">
        <v>4809</v>
      </c>
      <c r="N378" s="14" t="s">
        <v>4810</v>
      </c>
      <c r="O378" s="14"/>
      <c r="P378" s="14" t="s">
        <v>4811</v>
      </c>
      <c r="Q378" s="14" t="s">
        <v>4812</v>
      </c>
      <c r="R378" s="14" t="s">
        <v>1522</v>
      </c>
      <c r="S378" s="17" t="s">
        <v>107</v>
      </c>
      <c r="T378" s="17" t="s">
        <v>107</v>
      </c>
      <c r="U378" s="14" t="s">
        <v>4813</v>
      </c>
      <c r="V378" s="14" t="s">
        <v>109</v>
      </c>
      <c r="W378" s="18" t="s">
        <v>110</v>
      </c>
      <c r="X378" s="14" t="s">
        <v>4814</v>
      </c>
      <c r="Y378" s="14" t="s">
        <v>194</v>
      </c>
      <c r="Z378" s="14" t="s">
        <v>107</v>
      </c>
      <c r="AA378" s="14" t="s">
        <v>107</v>
      </c>
      <c r="AB378" s="14" t="s">
        <v>112</v>
      </c>
      <c r="AC378" s="14" t="s">
        <v>113</v>
      </c>
      <c r="AD378" s="14" t="s">
        <v>114</v>
      </c>
    </row>
    <row r="379" customFormat="false" ht="78" hidden="false" customHeight="true" outlineLevel="0" collapsed="false">
      <c r="A379" s="14" t="s">
        <v>4815</v>
      </c>
      <c r="B379" s="14" t="s">
        <v>44</v>
      </c>
      <c r="C379" s="14" t="s">
        <v>4816</v>
      </c>
      <c r="D379" s="14" t="s">
        <v>1451</v>
      </c>
      <c r="E379" s="14" t="s">
        <v>381</v>
      </c>
      <c r="F379" s="15" t="s">
        <v>382</v>
      </c>
      <c r="G379" s="14" t="s">
        <v>4817</v>
      </c>
      <c r="H379" s="14" t="s">
        <v>4818</v>
      </c>
      <c r="I379" s="14" t="s">
        <v>4819</v>
      </c>
      <c r="J379" s="14" t="s">
        <v>99</v>
      </c>
      <c r="K379" s="22" t="s">
        <v>1668</v>
      </c>
      <c r="L379" s="14" t="s">
        <v>4820</v>
      </c>
      <c r="M379" s="14" t="s">
        <v>4821</v>
      </c>
      <c r="N379" s="14" t="s">
        <v>4822</v>
      </c>
      <c r="O379" s="14"/>
      <c r="P379" s="14" t="s">
        <v>4823</v>
      </c>
      <c r="Q379" s="14" t="s">
        <v>4824</v>
      </c>
      <c r="R379" s="14" t="s">
        <v>1522</v>
      </c>
      <c r="S379" s="17" t="s">
        <v>107</v>
      </c>
      <c r="T379" s="17" t="s">
        <v>107</v>
      </c>
      <c r="U379" s="14" t="s">
        <v>4825</v>
      </c>
      <c r="V379" s="14" t="s">
        <v>109</v>
      </c>
      <c r="W379" s="18" t="s">
        <v>110</v>
      </c>
      <c r="X379" s="14" t="s">
        <v>4826</v>
      </c>
      <c r="Y379" s="14" t="s">
        <v>194</v>
      </c>
      <c r="Z379" s="14" t="s">
        <v>107</v>
      </c>
      <c r="AA379" s="14" t="s">
        <v>107</v>
      </c>
      <c r="AB379" s="14" t="s">
        <v>112</v>
      </c>
      <c r="AC379" s="14" t="s">
        <v>113</v>
      </c>
      <c r="AD379" s="14" t="s">
        <v>114</v>
      </c>
    </row>
    <row r="380" customFormat="false" ht="78" hidden="false" customHeight="true" outlineLevel="0" collapsed="false">
      <c r="A380" s="14" t="s">
        <v>4827</v>
      </c>
      <c r="B380" s="14" t="s">
        <v>44</v>
      </c>
      <c r="C380" s="14" t="s">
        <v>4828</v>
      </c>
      <c r="D380" s="14" t="s">
        <v>1451</v>
      </c>
      <c r="E380" s="14" t="s">
        <v>4829</v>
      </c>
      <c r="F380" s="15" t="s">
        <v>4830</v>
      </c>
      <c r="G380" s="14" t="s">
        <v>1454</v>
      </c>
      <c r="H380" s="14" t="s">
        <v>4831</v>
      </c>
      <c r="I380" s="14" t="s">
        <v>4832</v>
      </c>
      <c r="J380" s="14" t="s">
        <v>99</v>
      </c>
      <c r="K380" s="22" t="s">
        <v>1668</v>
      </c>
      <c r="L380" s="14" t="s">
        <v>4833</v>
      </c>
      <c r="M380" s="14" t="s">
        <v>4834</v>
      </c>
      <c r="N380" s="14" t="s">
        <v>4835</v>
      </c>
      <c r="O380" s="14"/>
      <c r="P380" s="14" t="s">
        <v>4836</v>
      </c>
      <c r="Q380" s="14" t="s">
        <v>4837</v>
      </c>
      <c r="R380" s="14" t="s">
        <v>1522</v>
      </c>
      <c r="S380" s="17" t="s">
        <v>107</v>
      </c>
      <c r="T380" s="17" t="s">
        <v>107</v>
      </c>
      <c r="U380" s="14" t="s">
        <v>4838</v>
      </c>
      <c r="V380" s="14" t="s">
        <v>109</v>
      </c>
      <c r="W380" s="18" t="s">
        <v>110</v>
      </c>
      <c r="X380" s="14" t="s">
        <v>4839</v>
      </c>
      <c r="Y380" s="14" t="s">
        <v>194</v>
      </c>
      <c r="Z380" s="14" t="s">
        <v>107</v>
      </c>
      <c r="AA380" s="14" t="s">
        <v>107</v>
      </c>
      <c r="AB380" s="14" t="s">
        <v>112</v>
      </c>
      <c r="AC380" s="14" t="s">
        <v>113</v>
      </c>
      <c r="AD380" s="14" t="s">
        <v>114</v>
      </c>
    </row>
    <row r="381" customFormat="false" ht="78" hidden="false" customHeight="true" outlineLevel="0" collapsed="false">
      <c r="A381" s="14" t="s">
        <v>4840</v>
      </c>
      <c r="B381" s="14" t="s">
        <v>45</v>
      </c>
      <c r="C381" s="14" t="s">
        <v>4841</v>
      </c>
      <c r="D381" s="14" t="s">
        <v>1451</v>
      </c>
      <c r="E381" s="14" t="s">
        <v>4842</v>
      </c>
      <c r="F381" s="15" t="s">
        <v>367</v>
      </c>
      <c r="G381" s="14" t="s">
        <v>1490</v>
      </c>
      <c r="H381" s="14" t="s">
        <v>4843</v>
      </c>
      <c r="I381" s="14" t="s">
        <v>4844</v>
      </c>
      <c r="J381" s="14" t="s">
        <v>52</v>
      </c>
      <c r="K381" s="22" t="s">
        <v>1668</v>
      </c>
      <c r="L381" s="14" t="s">
        <v>4845</v>
      </c>
      <c r="M381" s="14" t="s">
        <v>4846</v>
      </c>
      <c r="N381" s="14" t="s">
        <v>4847</v>
      </c>
      <c r="O381" s="14"/>
      <c r="P381" s="14" t="s">
        <v>4848</v>
      </c>
      <c r="Q381" s="14" t="s">
        <v>4849</v>
      </c>
      <c r="R381" s="14" t="s">
        <v>4850</v>
      </c>
      <c r="S381" s="20" t="s">
        <v>324</v>
      </c>
      <c r="T381" s="17" t="s">
        <v>107</v>
      </c>
      <c r="U381" s="14" t="s">
        <v>4851</v>
      </c>
      <c r="V381" s="14" t="s">
        <v>109</v>
      </c>
      <c r="W381" s="18" t="s">
        <v>110</v>
      </c>
      <c r="X381" s="14" t="s">
        <v>4852</v>
      </c>
      <c r="Y381" s="14" t="s">
        <v>1668</v>
      </c>
      <c r="Z381" s="14" t="s">
        <v>107</v>
      </c>
      <c r="AA381" s="14" t="s">
        <v>107</v>
      </c>
      <c r="AB381" s="14" t="s">
        <v>921</v>
      </c>
      <c r="AC381" s="14" t="s">
        <v>113</v>
      </c>
      <c r="AD381" s="14" t="s">
        <v>114</v>
      </c>
    </row>
    <row r="382" customFormat="false" ht="78" hidden="false" customHeight="true" outlineLevel="0" collapsed="false">
      <c r="A382" s="14" t="s">
        <v>4853</v>
      </c>
      <c r="B382" s="14" t="s">
        <v>47</v>
      </c>
      <c r="C382" s="14" t="s">
        <v>4854</v>
      </c>
      <c r="D382" s="14" t="s">
        <v>1451</v>
      </c>
      <c r="E382" s="14" t="s">
        <v>1150</v>
      </c>
      <c r="F382" s="15" t="s">
        <v>1151</v>
      </c>
      <c r="G382" s="14" t="s">
        <v>1490</v>
      </c>
      <c r="H382" s="14" t="s">
        <v>4855</v>
      </c>
      <c r="I382" s="14" t="s">
        <v>4856</v>
      </c>
      <c r="J382" s="14" t="s">
        <v>52</v>
      </c>
      <c r="K382" s="22" t="s">
        <v>1668</v>
      </c>
      <c r="L382" s="14" t="s">
        <v>4857</v>
      </c>
      <c r="M382" s="14" t="s">
        <v>4858</v>
      </c>
      <c r="N382" s="14" t="s">
        <v>4859</v>
      </c>
      <c r="O382" s="14"/>
      <c r="P382" s="14" t="s">
        <v>4860</v>
      </c>
      <c r="Q382" s="14" t="s">
        <v>4861</v>
      </c>
      <c r="R382" s="14" t="s">
        <v>4850</v>
      </c>
      <c r="S382" s="20" t="s">
        <v>324</v>
      </c>
      <c r="T382" s="17" t="s">
        <v>107</v>
      </c>
      <c r="U382" s="14" t="s">
        <v>4862</v>
      </c>
      <c r="V382" s="14" t="s">
        <v>109</v>
      </c>
      <c r="W382" s="18" t="s">
        <v>110</v>
      </c>
      <c r="X382" s="14" t="s">
        <v>4863</v>
      </c>
      <c r="Y382" s="14" t="s">
        <v>1668</v>
      </c>
      <c r="Z382" s="14" t="s">
        <v>107</v>
      </c>
      <c r="AA382" s="14" t="s">
        <v>107</v>
      </c>
      <c r="AB382" s="14" t="s">
        <v>2204</v>
      </c>
      <c r="AC382" s="14" t="s">
        <v>113</v>
      </c>
      <c r="AD382" s="14" t="s">
        <v>114</v>
      </c>
    </row>
    <row r="383" customFormat="false" ht="78" hidden="false" customHeight="true" outlineLevel="0" collapsed="false">
      <c r="A383" s="14" t="s">
        <v>4864</v>
      </c>
      <c r="B383" s="14" t="s">
        <v>48</v>
      </c>
      <c r="C383" s="14" t="s">
        <v>4865</v>
      </c>
      <c r="D383" s="14" t="s">
        <v>1451</v>
      </c>
      <c r="E383" s="14" t="s">
        <v>4866</v>
      </c>
      <c r="F383" s="15" t="s">
        <v>367</v>
      </c>
      <c r="G383" s="14" t="s">
        <v>1490</v>
      </c>
      <c r="H383" s="14" t="s">
        <v>4867</v>
      </c>
      <c r="I383" s="14" t="s">
        <v>4868</v>
      </c>
      <c r="J383" s="14" t="s">
        <v>551</v>
      </c>
      <c r="K383" s="22" t="s">
        <v>1668</v>
      </c>
      <c r="L383" s="14" t="s">
        <v>4869</v>
      </c>
      <c r="M383" s="14" t="s">
        <v>4870</v>
      </c>
      <c r="N383" s="14" t="s">
        <v>4871</v>
      </c>
      <c r="O383" s="14"/>
      <c r="P383" s="14" t="s">
        <v>4872</v>
      </c>
      <c r="Q383" s="14" t="s">
        <v>4873</v>
      </c>
      <c r="R383" s="14" t="s">
        <v>4874</v>
      </c>
      <c r="S383" s="17" t="s">
        <v>107</v>
      </c>
      <c r="T383" s="20" t="s">
        <v>324</v>
      </c>
      <c r="U383" s="14" t="s">
        <v>4875</v>
      </c>
      <c r="V383" s="14" t="s">
        <v>109</v>
      </c>
      <c r="W383" s="18" t="s">
        <v>110</v>
      </c>
      <c r="X383" s="14" t="s">
        <v>4876</v>
      </c>
      <c r="Y383" s="14" t="s">
        <v>1668</v>
      </c>
      <c r="Z383" s="14" t="s">
        <v>107</v>
      </c>
      <c r="AA383" s="14" t="s">
        <v>107</v>
      </c>
      <c r="AB383" s="14" t="s">
        <v>559</v>
      </c>
      <c r="AC383" s="14" t="s">
        <v>560</v>
      </c>
      <c r="AD383" s="14" t="s">
        <v>561</v>
      </c>
    </row>
    <row r="384" customFormat="false" ht="78" hidden="false" customHeight="true" outlineLevel="0" collapsed="false">
      <c r="A384" s="14" t="s">
        <v>4877</v>
      </c>
      <c r="B384" s="14" t="s">
        <v>43</v>
      </c>
      <c r="C384" s="14" t="s">
        <v>4878</v>
      </c>
      <c r="D384" s="14" t="s">
        <v>1451</v>
      </c>
      <c r="E384" s="14" t="s">
        <v>4879</v>
      </c>
      <c r="F384" s="15" t="s">
        <v>4880</v>
      </c>
      <c r="G384" s="14" t="s">
        <v>1490</v>
      </c>
      <c r="H384" s="14" t="s">
        <v>4250</v>
      </c>
      <c r="I384" s="14" t="s">
        <v>4881</v>
      </c>
      <c r="J384" s="14" t="s">
        <v>50</v>
      </c>
      <c r="K384" s="22" t="s">
        <v>1668</v>
      </c>
      <c r="L384" s="14" t="s">
        <v>4882</v>
      </c>
      <c r="M384" s="14" t="s">
        <v>4883</v>
      </c>
      <c r="N384" s="14" t="s">
        <v>4884</v>
      </c>
      <c r="O384" s="14"/>
      <c r="P384" s="14" t="s">
        <v>4885</v>
      </c>
      <c r="Q384" s="14" t="s">
        <v>4886</v>
      </c>
      <c r="R384" s="14" t="s">
        <v>1522</v>
      </c>
      <c r="S384" s="17" t="s">
        <v>107</v>
      </c>
      <c r="T384" s="17" t="s">
        <v>107</v>
      </c>
      <c r="U384" s="14" t="s">
        <v>4887</v>
      </c>
      <c r="V384" s="14" t="s">
        <v>109</v>
      </c>
      <c r="W384" s="21" t="s">
        <v>429</v>
      </c>
      <c r="X384" s="14" t="s">
        <v>4888</v>
      </c>
      <c r="Y384" s="14" t="s">
        <v>100</v>
      </c>
      <c r="Z384" s="14" t="s">
        <v>107</v>
      </c>
      <c r="AA384" s="14" t="s">
        <v>107</v>
      </c>
      <c r="AB384" s="14" t="s">
        <v>131</v>
      </c>
      <c r="AC384" s="14" t="s">
        <v>113</v>
      </c>
      <c r="AD384" s="14" t="s">
        <v>114</v>
      </c>
    </row>
    <row r="385" customFormat="false" ht="78" hidden="false" customHeight="true" outlineLevel="0" collapsed="false">
      <c r="A385" s="14" t="s">
        <v>4889</v>
      </c>
      <c r="B385" s="14" t="s">
        <v>43</v>
      </c>
      <c r="C385" s="14" t="s">
        <v>4890</v>
      </c>
      <c r="D385" s="14" t="s">
        <v>1451</v>
      </c>
      <c r="E385" s="14" t="s">
        <v>4891</v>
      </c>
      <c r="F385" s="15" t="s">
        <v>4880</v>
      </c>
      <c r="G385" s="14" t="s">
        <v>1490</v>
      </c>
      <c r="H385" s="14" t="s">
        <v>4892</v>
      </c>
      <c r="I385" s="14" t="s">
        <v>4893</v>
      </c>
      <c r="J385" s="14" t="s">
        <v>50</v>
      </c>
      <c r="K385" s="22" t="s">
        <v>1668</v>
      </c>
      <c r="L385" s="14" t="s">
        <v>4894</v>
      </c>
      <c r="M385" s="14" t="s">
        <v>4895</v>
      </c>
      <c r="N385" s="14" t="s">
        <v>4896</v>
      </c>
      <c r="O385" s="14"/>
      <c r="P385" s="14" t="s">
        <v>4897</v>
      </c>
      <c r="Q385" s="14" t="s">
        <v>4898</v>
      </c>
      <c r="R385" s="14" t="s">
        <v>1237</v>
      </c>
      <c r="S385" s="17" t="s">
        <v>107</v>
      </c>
      <c r="T385" s="17" t="s">
        <v>107</v>
      </c>
      <c r="U385" s="14" t="s">
        <v>4899</v>
      </c>
      <c r="V385" s="14" t="s">
        <v>109</v>
      </c>
      <c r="W385" s="18" t="s">
        <v>110</v>
      </c>
      <c r="X385" s="14" t="s">
        <v>4900</v>
      </c>
      <c r="Y385" s="14" t="s">
        <v>194</v>
      </c>
      <c r="Z385" s="14" t="s">
        <v>107</v>
      </c>
      <c r="AA385" s="14" t="s">
        <v>107</v>
      </c>
      <c r="AB385" s="14" t="s">
        <v>131</v>
      </c>
      <c r="AC385" s="14" t="s">
        <v>113</v>
      </c>
      <c r="AD385" s="14" t="s">
        <v>114</v>
      </c>
    </row>
    <row r="386" customFormat="false" ht="78" hidden="false" customHeight="true" outlineLevel="0" collapsed="false">
      <c r="A386" s="14" t="s">
        <v>4901</v>
      </c>
      <c r="B386" s="14" t="s">
        <v>43</v>
      </c>
      <c r="C386" s="14" t="s">
        <v>4211</v>
      </c>
      <c r="D386" s="14" t="s">
        <v>1451</v>
      </c>
      <c r="E386" s="14" t="s">
        <v>4902</v>
      </c>
      <c r="F386" s="15" t="s">
        <v>4880</v>
      </c>
      <c r="G386" s="14" t="s">
        <v>1490</v>
      </c>
      <c r="H386" s="14" t="s">
        <v>4903</v>
      </c>
      <c r="I386" s="14" t="s">
        <v>4904</v>
      </c>
      <c r="J386" s="14" t="s">
        <v>505</v>
      </c>
      <c r="K386" s="22" t="s">
        <v>1668</v>
      </c>
      <c r="L386" s="14" t="s">
        <v>4905</v>
      </c>
      <c r="M386" s="14" t="s">
        <v>4906</v>
      </c>
      <c r="N386" s="14" t="s">
        <v>4907</v>
      </c>
      <c r="O386" s="14"/>
      <c r="P386" s="14" t="s">
        <v>4908</v>
      </c>
      <c r="Q386" s="14" t="s">
        <v>4909</v>
      </c>
      <c r="R386" s="14" t="s">
        <v>1522</v>
      </c>
      <c r="S386" s="20" t="s">
        <v>324</v>
      </c>
      <c r="T386" s="17" t="s">
        <v>107</v>
      </c>
      <c r="U386" s="14" t="s">
        <v>4910</v>
      </c>
      <c r="V386" s="14" t="s">
        <v>109</v>
      </c>
      <c r="W386" s="18" t="s">
        <v>110</v>
      </c>
      <c r="X386" s="14" t="s">
        <v>4911</v>
      </c>
      <c r="Y386" s="14" t="s">
        <v>1668</v>
      </c>
      <c r="Z386" s="14" t="s">
        <v>107</v>
      </c>
      <c r="AA386" s="14" t="s">
        <v>107</v>
      </c>
      <c r="AB386" s="14" t="s">
        <v>131</v>
      </c>
      <c r="AC386" s="14" t="s">
        <v>113</v>
      </c>
      <c r="AD386" s="14" t="s">
        <v>114</v>
      </c>
    </row>
    <row r="387" customFormat="false" ht="78" hidden="false" customHeight="true" outlineLevel="0" collapsed="false">
      <c r="A387" s="14" t="s">
        <v>4912</v>
      </c>
      <c r="B387" s="14" t="s">
        <v>43</v>
      </c>
      <c r="C387" s="14" t="s">
        <v>4913</v>
      </c>
      <c r="D387" s="14" t="s">
        <v>1451</v>
      </c>
      <c r="E387" s="14" t="s">
        <v>4914</v>
      </c>
      <c r="F387" s="15" t="s">
        <v>4880</v>
      </c>
      <c r="G387" s="14" t="s">
        <v>1490</v>
      </c>
      <c r="H387" s="14" t="s">
        <v>4915</v>
      </c>
      <c r="I387" s="14" t="s">
        <v>4916</v>
      </c>
      <c r="J387" s="14" t="s">
        <v>54</v>
      </c>
      <c r="K387" s="22" t="s">
        <v>1668</v>
      </c>
      <c r="L387" s="14" t="s">
        <v>4917</v>
      </c>
      <c r="M387" s="14" t="s">
        <v>4918</v>
      </c>
      <c r="N387" s="14" t="s">
        <v>4919</v>
      </c>
      <c r="O387" s="14"/>
      <c r="P387" s="14" t="s">
        <v>4920</v>
      </c>
      <c r="Q387" s="14" t="s">
        <v>4921</v>
      </c>
      <c r="R387" s="14" t="s">
        <v>1522</v>
      </c>
      <c r="S387" s="17" t="s">
        <v>107</v>
      </c>
      <c r="T387" s="17" t="s">
        <v>107</v>
      </c>
      <c r="U387" s="14" t="s">
        <v>4922</v>
      </c>
      <c r="V387" s="14" t="s">
        <v>109</v>
      </c>
      <c r="W387" s="18" t="s">
        <v>110</v>
      </c>
      <c r="X387" s="14" t="s">
        <v>4923</v>
      </c>
      <c r="Y387" s="14" t="s">
        <v>194</v>
      </c>
      <c r="Z387" s="14" t="s">
        <v>107</v>
      </c>
      <c r="AA387" s="14" t="s">
        <v>107</v>
      </c>
      <c r="AB387" s="14" t="s">
        <v>131</v>
      </c>
      <c r="AC387" s="14" t="s">
        <v>560</v>
      </c>
      <c r="AD387" s="14" t="s">
        <v>561</v>
      </c>
    </row>
    <row r="388" customFormat="false" ht="78" hidden="false" customHeight="true" outlineLevel="0" collapsed="false">
      <c r="A388" s="14" t="s">
        <v>4924</v>
      </c>
      <c r="B388" s="14" t="s">
        <v>46</v>
      </c>
      <c r="C388" s="14" t="s">
        <v>4925</v>
      </c>
      <c r="D388" s="14" t="s">
        <v>1539</v>
      </c>
      <c r="E388" s="14" t="s">
        <v>4926</v>
      </c>
      <c r="F388" s="15" t="s">
        <v>4927</v>
      </c>
      <c r="G388" s="14" t="s">
        <v>285</v>
      </c>
      <c r="H388" s="14" t="s">
        <v>4928</v>
      </c>
      <c r="I388" s="14" t="s">
        <v>4929</v>
      </c>
      <c r="J388" s="14" t="s">
        <v>54</v>
      </c>
      <c r="K388" s="22" t="s">
        <v>1668</v>
      </c>
      <c r="L388" s="14" t="s">
        <v>4930</v>
      </c>
      <c r="M388" s="14" t="s">
        <v>4931</v>
      </c>
      <c r="N388" s="14" t="s">
        <v>4932</v>
      </c>
      <c r="O388" s="14"/>
      <c r="P388" s="14" t="s">
        <v>4933</v>
      </c>
      <c r="Q388" s="14" t="s">
        <v>4934</v>
      </c>
      <c r="R388" s="14" t="s">
        <v>1565</v>
      </c>
      <c r="S388" s="20" t="s">
        <v>324</v>
      </c>
      <c r="T388" s="20" t="s">
        <v>324</v>
      </c>
      <c r="U388" s="14" t="s">
        <v>4935</v>
      </c>
      <c r="V388" s="14" t="s">
        <v>109</v>
      </c>
      <c r="W388" s="18" t="s">
        <v>110</v>
      </c>
      <c r="X388" s="14" t="s">
        <v>4936</v>
      </c>
      <c r="Y388" s="14" t="s">
        <v>1668</v>
      </c>
      <c r="Z388" s="14" t="s">
        <v>107</v>
      </c>
      <c r="AA388" s="14" t="s">
        <v>107</v>
      </c>
      <c r="AB388" s="14" t="s">
        <v>147</v>
      </c>
      <c r="AC388" s="14" t="s">
        <v>560</v>
      </c>
      <c r="AD388" s="14" t="s">
        <v>561</v>
      </c>
    </row>
    <row r="389" customFormat="false" ht="78" hidden="false" customHeight="true" outlineLevel="0" collapsed="false">
      <c r="A389" s="14" t="s">
        <v>4937</v>
      </c>
      <c r="B389" s="14" t="s">
        <v>44</v>
      </c>
      <c r="C389" s="14" t="s">
        <v>4938</v>
      </c>
      <c r="D389" s="14" t="s">
        <v>1539</v>
      </c>
      <c r="E389" s="14" t="s">
        <v>4939</v>
      </c>
      <c r="F389" s="15" t="s">
        <v>4940</v>
      </c>
      <c r="G389" s="14" t="s">
        <v>1600</v>
      </c>
      <c r="H389" s="14" t="s">
        <v>4941</v>
      </c>
      <c r="I389" s="14" t="s">
        <v>4942</v>
      </c>
      <c r="J389" s="14" t="s">
        <v>202</v>
      </c>
      <c r="K389" s="22" t="s">
        <v>1668</v>
      </c>
      <c r="L389" s="14" t="s">
        <v>4943</v>
      </c>
      <c r="M389" s="14" t="s">
        <v>4944</v>
      </c>
      <c r="N389" s="14" t="s">
        <v>4945</v>
      </c>
      <c r="O389" s="14"/>
      <c r="P389" s="14" t="s">
        <v>4946</v>
      </c>
      <c r="Q389" s="14" t="s">
        <v>4947</v>
      </c>
      <c r="R389" s="14" t="s">
        <v>1565</v>
      </c>
      <c r="S389" s="17" t="s">
        <v>107</v>
      </c>
      <c r="T389" s="17" t="s">
        <v>107</v>
      </c>
      <c r="U389" s="14" t="s">
        <v>4948</v>
      </c>
      <c r="V389" s="14" t="s">
        <v>109</v>
      </c>
      <c r="W389" s="18" t="s">
        <v>110</v>
      </c>
      <c r="X389" s="14" t="s">
        <v>4949</v>
      </c>
      <c r="Y389" s="14" t="s">
        <v>100</v>
      </c>
      <c r="Z389" s="14" t="s">
        <v>107</v>
      </c>
      <c r="AA389" s="14" t="s">
        <v>107</v>
      </c>
      <c r="AB389" s="14" t="s">
        <v>112</v>
      </c>
      <c r="AC389" s="14" t="s">
        <v>113</v>
      </c>
      <c r="AD389" s="14" t="s">
        <v>114</v>
      </c>
    </row>
    <row r="390" customFormat="false" ht="78" hidden="false" customHeight="true" outlineLevel="0" collapsed="false">
      <c r="A390" s="14" t="s">
        <v>4950</v>
      </c>
      <c r="B390" s="14" t="s">
        <v>44</v>
      </c>
      <c r="C390" s="14" t="s">
        <v>4951</v>
      </c>
      <c r="D390" s="14" t="s">
        <v>1539</v>
      </c>
      <c r="E390" s="14" t="s">
        <v>4939</v>
      </c>
      <c r="F390" s="15" t="s">
        <v>4940</v>
      </c>
      <c r="G390" s="14" t="s">
        <v>1600</v>
      </c>
      <c r="H390" s="14" t="s">
        <v>4952</v>
      </c>
      <c r="I390" s="14" t="s">
        <v>4953</v>
      </c>
      <c r="J390" s="14" t="s">
        <v>400</v>
      </c>
      <c r="K390" s="22" t="s">
        <v>1668</v>
      </c>
      <c r="L390" s="14" t="s">
        <v>4954</v>
      </c>
      <c r="M390" s="14" t="s">
        <v>4955</v>
      </c>
      <c r="N390" s="14" t="s">
        <v>4956</v>
      </c>
      <c r="O390" s="14"/>
      <c r="P390" s="14" t="s">
        <v>4957</v>
      </c>
      <c r="Q390" s="14" t="s">
        <v>4958</v>
      </c>
      <c r="R390" s="14" t="s">
        <v>1565</v>
      </c>
      <c r="S390" s="20" t="s">
        <v>324</v>
      </c>
      <c r="T390" s="20" t="s">
        <v>324</v>
      </c>
      <c r="U390" s="14" t="s">
        <v>4959</v>
      </c>
      <c r="V390" s="14" t="s">
        <v>109</v>
      </c>
      <c r="W390" s="18" t="s">
        <v>110</v>
      </c>
      <c r="X390" s="14" t="s">
        <v>4960</v>
      </c>
      <c r="Y390" s="14" t="s">
        <v>194</v>
      </c>
      <c r="Z390" s="14" t="s">
        <v>107</v>
      </c>
      <c r="AA390" s="14" t="s">
        <v>107</v>
      </c>
      <c r="AB390" s="14" t="s">
        <v>112</v>
      </c>
      <c r="AC390" s="14" t="s">
        <v>113</v>
      </c>
      <c r="AD390" s="14" t="s">
        <v>114</v>
      </c>
    </row>
    <row r="391" customFormat="false" ht="78" hidden="false" customHeight="true" outlineLevel="0" collapsed="false">
      <c r="A391" s="14" t="s">
        <v>4961</v>
      </c>
      <c r="B391" s="14" t="s">
        <v>44</v>
      </c>
      <c r="C391" s="14" t="s">
        <v>4951</v>
      </c>
      <c r="D391" s="14" t="s">
        <v>1539</v>
      </c>
      <c r="E391" s="14" t="s">
        <v>4962</v>
      </c>
      <c r="F391" s="15" t="s">
        <v>4963</v>
      </c>
      <c r="G391" s="14" t="s">
        <v>1600</v>
      </c>
      <c r="H391" s="14" t="s">
        <v>4952</v>
      </c>
      <c r="I391" s="14" t="s">
        <v>4964</v>
      </c>
      <c r="J391" s="14" t="s">
        <v>400</v>
      </c>
      <c r="K391" s="22" t="s">
        <v>1668</v>
      </c>
      <c r="L391" s="14" t="s">
        <v>4965</v>
      </c>
      <c r="M391" s="14" t="s">
        <v>4955</v>
      </c>
      <c r="N391" s="14" t="s">
        <v>4966</v>
      </c>
      <c r="O391" s="14"/>
      <c r="P391" s="14" t="s">
        <v>4967</v>
      </c>
      <c r="Q391" s="14" t="s">
        <v>4968</v>
      </c>
      <c r="R391" s="14" t="s">
        <v>1565</v>
      </c>
      <c r="S391" s="20" t="s">
        <v>324</v>
      </c>
      <c r="T391" s="20" t="s">
        <v>324</v>
      </c>
      <c r="U391" s="14" t="s">
        <v>4969</v>
      </c>
      <c r="V391" s="14" t="s">
        <v>109</v>
      </c>
      <c r="W391" s="18" t="s">
        <v>110</v>
      </c>
      <c r="X391" s="14" t="s">
        <v>4970</v>
      </c>
      <c r="Y391" s="14" t="s">
        <v>194</v>
      </c>
      <c r="Z391" s="14" t="s">
        <v>107</v>
      </c>
      <c r="AA391" s="14" t="s">
        <v>107</v>
      </c>
      <c r="AB391" s="14" t="s">
        <v>112</v>
      </c>
      <c r="AC391" s="14" t="s">
        <v>113</v>
      </c>
      <c r="AD391" s="14" t="s">
        <v>114</v>
      </c>
    </row>
    <row r="392" customFormat="false" ht="78" hidden="false" customHeight="true" outlineLevel="0" collapsed="false">
      <c r="A392" s="14" t="s">
        <v>4971</v>
      </c>
      <c r="B392" s="14" t="s">
        <v>44</v>
      </c>
      <c r="C392" s="14" t="s">
        <v>4951</v>
      </c>
      <c r="D392" s="14" t="s">
        <v>1539</v>
      </c>
      <c r="E392" s="14" t="s">
        <v>4972</v>
      </c>
      <c r="F392" s="15" t="s">
        <v>4973</v>
      </c>
      <c r="G392" s="14" t="s">
        <v>1600</v>
      </c>
      <c r="H392" s="14" t="s">
        <v>4952</v>
      </c>
      <c r="I392" s="14" t="s">
        <v>4974</v>
      </c>
      <c r="J392" s="14" t="s">
        <v>400</v>
      </c>
      <c r="K392" s="22" t="s">
        <v>1668</v>
      </c>
      <c r="L392" s="14" t="s">
        <v>4975</v>
      </c>
      <c r="M392" s="14" t="s">
        <v>4955</v>
      </c>
      <c r="N392" s="14" t="s">
        <v>4976</v>
      </c>
      <c r="O392" s="14"/>
      <c r="P392" s="14" t="s">
        <v>4977</v>
      </c>
      <c r="Q392" s="14" t="s">
        <v>4978</v>
      </c>
      <c r="R392" s="14" t="s">
        <v>1565</v>
      </c>
      <c r="S392" s="20" t="s">
        <v>324</v>
      </c>
      <c r="T392" s="20" t="s">
        <v>324</v>
      </c>
      <c r="U392" s="14" t="s">
        <v>4979</v>
      </c>
      <c r="V392" s="14" t="s">
        <v>109</v>
      </c>
      <c r="W392" s="18" t="s">
        <v>110</v>
      </c>
      <c r="X392" s="14" t="s">
        <v>4980</v>
      </c>
      <c r="Y392" s="14" t="s">
        <v>1668</v>
      </c>
      <c r="Z392" s="14" t="s">
        <v>107</v>
      </c>
      <c r="AA392" s="14" t="s">
        <v>107</v>
      </c>
      <c r="AB392" s="14" t="s">
        <v>112</v>
      </c>
      <c r="AC392" s="14" t="s">
        <v>113</v>
      </c>
      <c r="AD392" s="14" t="s">
        <v>114</v>
      </c>
    </row>
    <row r="393" customFormat="false" ht="78" hidden="false" customHeight="true" outlineLevel="0" collapsed="false">
      <c r="A393" s="14" t="s">
        <v>4981</v>
      </c>
      <c r="B393" s="14" t="s">
        <v>44</v>
      </c>
      <c r="C393" s="14" t="s">
        <v>4951</v>
      </c>
      <c r="D393" s="14" t="s">
        <v>1539</v>
      </c>
      <c r="E393" s="14" t="s">
        <v>4982</v>
      </c>
      <c r="F393" s="15" t="s">
        <v>4983</v>
      </c>
      <c r="G393" s="14" t="s">
        <v>1600</v>
      </c>
      <c r="H393" s="14" t="s">
        <v>4952</v>
      </c>
      <c r="I393" s="14" t="s">
        <v>4984</v>
      </c>
      <c r="J393" s="14" t="s">
        <v>400</v>
      </c>
      <c r="K393" s="22" t="s">
        <v>1668</v>
      </c>
      <c r="L393" s="14" t="s">
        <v>4985</v>
      </c>
      <c r="M393" s="14" t="s">
        <v>4955</v>
      </c>
      <c r="N393" s="14" t="s">
        <v>4986</v>
      </c>
      <c r="O393" s="14"/>
      <c r="P393" s="14" t="s">
        <v>4987</v>
      </c>
      <c r="Q393" s="14" t="s">
        <v>4988</v>
      </c>
      <c r="R393" s="14" t="s">
        <v>1565</v>
      </c>
      <c r="S393" s="20" t="s">
        <v>324</v>
      </c>
      <c r="T393" s="20" t="s">
        <v>324</v>
      </c>
      <c r="U393" s="14" t="s">
        <v>4989</v>
      </c>
      <c r="V393" s="14" t="s">
        <v>109</v>
      </c>
      <c r="W393" s="18" t="s">
        <v>110</v>
      </c>
      <c r="X393" s="14" t="s">
        <v>4990</v>
      </c>
      <c r="Y393" s="14" t="s">
        <v>1668</v>
      </c>
      <c r="Z393" s="14" t="s">
        <v>107</v>
      </c>
      <c r="AA393" s="14" t="s">
        <v>107</v>
      </c>
      <c r="AB393" s="14" t="s">
        <v>112</v>
      </c>
      <c r="AC393" s="14" t="s">
        <v>113</v>
      </c>
      <c r="AD393" s="14" t="s">
        <v>114</v>
      </c>
    </row>
    <row r="394" customFormat="false" ht="78" hidden="false" customHeight="true" outlineLevel="0" collapsed="false">
      <c r="A394" s="14" t="s">
        <v>4991</v>
      </c>
      <c r="B394" s="14" t="s">
        <v>44</v>
      </c>
      <c r="C394" s="14" t="s">
        <v>4992</v>
      </c>
      <c r="D394" s="14" t="s">
        <v>1539</v>
      </c>
      <c r="E394" s="14" t="s">
        <v>4939</v>
      </c>
      <c r="F394" s="15" t="s">
        <v>4940</v>
      </c>
      <c r="G394" s="14" t="s">
        <v>1600</v>
      </c>
      <c r="H394" s="14" t="s">
        <v>4993</v>
      </c>
      <c r="I394" s="14" t="s">
        <v>4994</v>
      </c>
      <c r="J394" s="14" t="s">
        <v>400</v>
      </c>
      <c r="K394" s="22" t="s">
        <v>1668</v>
      </c>
      <c r="L394" s="14" t="s">
        <v>4995</v>
      </c>
      <c r="M394" s="14" t="s">
        <v>4996</v>
      </c>
      <c r="N394" s="14" t="s">
        <v>4997</v>
      </c>
      <c r="O394" s="14"/>
      <c r="P394" s="14" t="s">
        <v>4998</v>
      </c>
      <c r="Q394" s="14" t="s">
        <v>4999</v>
      </c>
      <c r="R394" s="14" t="s">
        <v>1565</v>
      </c>
      <c r="S394" s="17" t="s">
        <v>107</v>
      </c>
      <c r="T394" s="20" t="s">
        <v>324</v>
      </c>
      <c r="U394" s="14" t="s">
        <v>5000</v>
      </c>
      <c r="V394" s="14" t="s">
        <v>109</v>
      </c>
      <c r="W394" s="18" t="s">
        <v>110</v>
      </c>
      <c r="X394" s="14" t="s">
        <v>5001</v>
      </c>
      <c r="Y394" s="14" t="s">
        <v>194</v>
      </c>
      <c r="Z394" s="14" t="s">
        <v>107</v>
      </c>
      <c r="AA394" s="14" t="s">
        <v>107</v>
      </c>
      <c r="AB394" s="14" t="s">
        <v>112</v>
      </c>
      <c r="AC394" s="14" t="s">
        <v>113</v>
      </c>
      <c r="AD394" s="14" t="s">
        <v>114</v>
      </c>
    </row>
    <row r="395" customFormat="false" ht="78" hidden="false" customHeight="true" outlineLevel="0" collapsed="false">
      <c r="A395" s="14" t="s">
        <v>5002</v>
      </c>
      <c r="B395" s="14" t="s">
        <v>44</v>
      </c>
      <c r="C395" s="14" t="s">
        <v>5003</v>
      </c>
      <c r="D395" s="14" t="s">
        <v>1539</v>
      </c>
      <c r="E395" s="14" t="s">
        <v>1570</v>
      </c>
      <c r="F395" s="15" t="s">
        <v>1571</v>
      </c>
      <c r="G395" s="14" t="s">
        <v>1572</v>
      </c>
      <c r="H395" s="14" t="s">
        <v>5004</v>
      </c>
      <c r="I395" s="14" t="s">
        <v>5005</v>
      </c>
      <c r="J395" s="14" t="s">
        <v>99</v>
      </c>
      <c r="K395" s="22" t="s">
        <v>1668</v>
      </c>
      <c r="L395" s="14" t="s">
        <v>5006</v>
      </c>
      <c r="M395" s="14" t="s">
        <v>5007</v>
      </c>
      <c r="N395" s="14" t="s">
        <v>5008</v>
      </c>
      <c r="O395" s="14"/>
      <c r="P395" s="14" t="s">
        <v>5009</v>
      </c>
      <c r="Q395" s="14" t="s">
        <v>5010</v>
      </c>
      <c r="R395" s="14" t="s">
        <v>1565</v>
      </c>
      <c r="S395" s="20" t="s">
        <v>324</v>
      </c>
      <c r="T395" s="20" t="s">
        <v>324</v>
      </c>
      <c r="U395" s="14" t="s">
        <v>5011</v>
      </c>
      <c r="V395" s="14" t="s">
        <v>109</v>
      </c>
      <c r="W395" s="18" t="s">
        <v>110</v>
      </c>
      <c r="X395" s="14" t="s">
        <v>5012</v>
      </c>
      <c r="Y395" s="14" t="s">
        <v>1668</v>
      </c>
      <c r="Z395" s="14" t="s">
        <v>107</v>
      </c>
      <c r="AA395" s="14" t="s">
        <v>107</v>
      </c>
      <c r="AB395" s="14" t="s">
        <v>112</v>
      </c>
      <c r="AC395" s="14" t="s">
        <v>113</v>
      </c>
      <c r="AD395" s="14" t="s">
        <v>114</v>
      </c>
    </row>
    <row r="396" customFormat="false" ht="78" hidden="false" customHeight="true" outlineLevel="0" collapsed="false">
      <c r="A396" s="14" t="s">
        <v>5013</v>
      </c>
      <c r="B396" s="14" t="s">
        <v>45</v>
      </c>
      <c r="C396" s="14" t="s">
        <v>5014</v>
      </c>
      <c r="D396" s="14" t="s">
        <v>1539</v>
      </c>
      <c r="E396" s="14" t="s">
        <v>5015</v>
      </c>
      <c r="F396" s="15" t="s">
        <v>5016</v>
      </c>
      <c r="G396" s="14" t="s">
        <v>285</v>
      </c>
      <c r="H396" s="14" t="s">
        <v>5017</v>
      </c>
      <c r="I396" s="14" t="s">
        <v>5018</v>
      </c>
      <c r="J396" s="14" t="s">
        <v>53</v>
      </c>
      <c r="K396" s="22" t="s">
        <v>1668</v>
      </c>
      <c r="L396" s="14" t="s">
        <v>5019</v>
      </c>
      <c r="M396" s="14" t="s">
        <v>5020</v>
      </c>
      <c r="N396" s="14" t="s">
        <v>5021</v>
      </c>
      <c r="O396" s="14"/>
      <c r="P396" s="14" t="s">
        <v>5022</v>
      </c>
      <c r="Q396" s="14" t="s">
        <v>5023</v>
      </c>
      <c r="R396" s="14" t="s">
        <v>918</v>
      </c>
      <c r="S396" s="20" t="s">
        <v>324</v>
      </c>
      <c r="T396" s="20" t="s">
        <v>324</v>
      </c>
      <c r="U396" s="14" t="s">
        <v>5024</v>
      </c>
      <c r="V396" s="14" t="s">
        <v>109</v>
      </c>
      <c r="W396" s="18" t="s">
        <v>110</v>
      </c>
      <c r="X396" s="14" t="s">
        <v>5025</v>
      </c>
      <c r="Y396" s="14" t="s">
        <v>1668</v>
      </c>
      <c r="Z396" s="14" t="s">
        <v>107</v>
      </c>
      <c r="AA396" s="14" t="s">
        <v>107</v>
      </c>
      <c r="AB396" s="14" t="s">
        <v>921</v>
      </c>
      <c r="AC396" s="14" t="s">
        <v>113</v>
      </c>
      <c r="AD396" s="14" t="s">
        <v>114</v>
      </c>
    </row>
    <row r="397" customFormat="false" ht="78" hidden="false" customHeight="true" outlineLevel="0" collapsed="false">
      <c r="A397" s="14" t="s">
        <v>5026</v>
      </c>
      <c r="B397" s="14" t="s">
        <v>45</v>
      </c>
      <c r="C397" s="14" t="s">
        <v>5027</v>
      </c>
      <c r="D397" s="14" t="s">
        <v>1539</v>
      </c>
      <c r="E397" s="14" t="s">
        <v>5028</v>
      </c>
      <c r="F397" s="15" t="s">
        <v>4973</v>
      </c>
      <c r="G397" s="14" t="s">
        <v>5029</v>
      </c>
      <c r="H397" s="14" t="s">
        <v>5030</v>
      </c>
      <c r="I397" s="14" t="s">
        <v>5031</v>
      </c>
      <c r="J397" s="14" t="s">
        <v>53</v>
      </c>
      <c r="K397" s="22" t="s">
        <v>1668</v>
      </c>
      <c r="L397" s="14" t="s">
        <v>5032</v>
      </c>
      <c r="M397" s="14" t="s">
        <v>5033</v>
      </c>
      <c r="N397" s="14" t="s">
        <v>5034</v>
      </c>
      <c r="O397" s="14"/>
      <c r="P397" s="14" t="s">
        <v>5035</v>
      </c>
      <c r="Q397" s="14" t="s">
        <v>5036</v>
      </c>
      <c r="R397" s="14" t="s">
        <v>1565</v>
      </c>
      <c r="S397" s="20" t="s">
        <v>324</v>
      </c>
      <c r="T397" s="20" t="s">
        <v>324</v>
      </c>
      <c r="U397" s="14" t="s">
        <v>5037</v>
      </c>
      <c r="V397" s="14" t="s">
        <v>109</v>
      </c>
      <c r="W397" s="18" t="s">
        <v>110</v>
      </c>
      <c r="X397" s="14" t="s">
        <v>5038</v>
      </c>
      <c r="Y397" s="14" t="s">
        <v>1668</v>
      </c>
      <c r="Z397" s="14" t="s">
        <v>107</v>
      </c>
      <c r="AA397" s="14" t="s">
        <v>107</v>
      </c>
      <c r="AB397" s="14" t="s">
        <v>921</v>
      </c>
      <c r="AC397" s="14" t="s">
        <v>113</v>
      </c>
      <c r="AD397" s="14" t="s">
        <v>114</v>
      </c>
    </row>
    <row r="398" customFormat="false" ht="78" hidden="false" customHeight="true" outlineLevel="0" collapsed="false">
      <c r="A398" s="14" t="s">
        <v>5039</v>
      </c>
      <c r="B398" s="14" t="s">
        <v>45</v>
      </c>
      <c r="C398" s="14" t="s">
        <v>5040</v>
      </c>
      <c r="D398" s="14" t="s">
        <v>1539</v>
      </c>
      <c r="E398" s="14" t="s">
        <v>5041</v>
      </c>
      <c r="F398" s="15" t="s">
        <v>5042</v>
      </c>
      <c r="G398" s="14" t="s">
        <v>5043</v>
      </c>
      <c r="H398" s="14" t="s">
        <v>5044</v>
      </c>
      <c r="I398" s="14" t="s">
        <v>5045</v>
      </c>
      <c r="J398" s="14" t="s">
        <v>505</v>
      </c>
      <c r="K398" s="22" t="s">
        <v>1668</v>
      </c>
      <c r="L398" s="14" t="s">
        <v>5046</v>
      </c>
      <c r="M398" s="14" t="s">
        <v>5047</v>
      </c>
      <c r="N398" s="14" t="s">
        <v>5048</v>
      </c>
      <c r="O398" s="14"/>
      <c r="P398" s="14" t="s">
        <v>5049</v>
      </c>
      <c r="Q398" s="14" t="s">
        <v>5050</v>
      </c>
      <c r="R398" s="14" t="s">
        <v>1565</v>
      </c>
      <c r="S398" s="20" t="s">
        <v>324</v>
      </c>
      <c r="T398" s="20" t="s">
        <v>324</v>
      </c>
      <c r="U398" s="14" t="s">
        <v>5051</v>
      </c>
      <c r="V398" s="14" t="s">
        <v>109</v>
      </c>
      <c r="W398" s="18" t="s">
        <v>110</v>
      </c>
      <c r="X398" s="14" t="s">
        <v>5052</v>
      </c>
      <c r="Y398" s="14" t="s">
        <v>1668</v>
      </c>
      <c r="Z398" s="14" t="s">
        <v>107</v>
      </c>
      <c r="AA398" s="14" t="s">
        <v>107</v>
      </c>
      <c r="AB398" s="14" t="s">
        <v>921</v>
      </c>
      <c r="AC398" s="14" t="s">
        <v>113</v>
      </c>
      <c r="AD398" s="14" t="s">
        <v>114</v>
      </c>
    </row>
    <row r="399" customFormat="false" ht="78" hidden="false" customHeight="true" outlineLevel="0" collapsed="false">
      <c r="A399" s="14" t="s">
        <v>5053</v>
      </c>
      <c r="B399" s="14" t="s">
        <v>43</v>
      </c>
      <c r="C399" s="14" t="s">
        <v>5054</v>
      </c>
      <c r="D399" s="14" t="s">
        <v>1539</v>
      </c>
      <c r="E399" s="14" t="s">
        <v>1598</v>
      </c>
      <c r="F399" s="15" t="s">
        <v>5055</v>
      </c>
      <c r="G399" s="14" t="s">
        <v>1600</v>
      </c>
      <c r="H399" s="14" t="s">
        <v>5056</v>
      </c>
      <c r="I399" s="14" t="s">
        <v>5057</v>
      </c>
      <c r="J399" s="14" t="s">
        <v>50</v>
      </c>
      <c r="K399" s="22" t="s">
        <v>1668</v>
      </c>
      <c r="L399" s="14" t="s">
        <v>5058</v>
      </c>
      <c r="M399" s="14" t="s">
        <v>5059</v>
      </c>
      <c r="N399" s="14" t="s">
        <v>5060</v>
      </c>
      <c r="O399" s="14"/>
      <c r="P399" s="14" t="s">
        <v>5061</v>
      </c>
      <c r="Q399" s="14" t="s">
        <v>5062</v>
      </c>
      <c r="R399" s="14" t="s">
        <v>1565</v>
      </c>
      <c r="S399" s="17" t="s">
        <v>107</v>
      </c>
      <c r="T399" s="20" t="s">
        <v>324</v>
      </c>
      <c r="U399" s="14" t="s">
        <v>5063</v>
      </c>
      <c r="V399" s="14" t="s">
        <v>109</v>
      </c>
      <c r="W399" s="18" t="s">
        <v>110</v>
      </c>
      <c r="X399" s="14" t="s">
        <v>5064</v>
      </c>
      <c r="Y399" s="14" t="s">
        <v>194</v>
      </c>
      <c r="Z399" s="14" t="s">
        <v>107</v>
      </c>
      <c r="AA399" s="14" t="s">
        <v>107</v>
      </c>
      <c r="AB399" s="14" t="s">
        <v>131</v>
      </c>
      <c r="AC399" s="14" t="s">
        <v>113</v>
      </c>
      <c r="AD399" s="14" t="s">
        <v>114</v>
      </c>
    </row>
    <row r="400" customFormat="false" ht="78" hidden="false" customHeight="true" outlineLevel="0" collapsed="false">
      <c r="A400" s="14" t="s">
        <v>5065</v>
      </c>
      <c r="B400" s="14" t="s">
        <v>43</v>
      </c>
      <c r="C400" s="14" t="s">
        <v>5066</v>
      </c>
      <c r="D400" s="14" t="s">
        <v>1539</v>
      </c>
      <c r="E400" s="14" t="s">
        <v>1598</v>
      </c>
      <c r="F400" s="15" t="s">
        <v>5067</v>
      </c>
      <c r="G400" s="14" t="s">
        <v>168</v>
      </c>
      <c r="H400" s="14" t="s">
        <v>5068</v>
      </c>
      <c r="I400" s="14" t="s">
        <v>5069</v>
      </c>
      <c r="J400" s="14" t="s">
        <v>50</v>
      </c>
      <c r="K400" s="22" t="s">
        <v>1668</v>
      </c>
      <c r="L400" s="14" t="s">
        <v>5070</v>
      </c>
      <c r="M400" s="14" t="s">
        <v>5071</v>
      </c>
      <c r="N400" s="14" t="s">
        <v>5072</v>
      </c>
      <c r="O400" s="14"/>
      <c r="P400" s="14" t="s">
        <v>5073</v>
      </c>
      <c r="Q400" s="14" t="s">
        <v>5074</v>
      </c>
      <c r="R400" s="14" t="s">
        <v>1565</v>
      </c>
      <c r="S400" s="17" t="s">
        <v>107</v>
      </c>
      <c r="T400" s="20" t="s">
        <v>324</v>
      </c>
      <c r="U400" s="14" t="s">
        <v>5075</v>
      </c>
      <c r="V400" s="14" t="s">
        <v>109</v>
      </c>
      <c r="W400" s="18" t="s">
        <v>110</v>
      </c>
      <c r="X400" s="14" t="s">
        <v>5076</v>
      </c>
      <c r="Y400" s="14" t="s">
        <v>194</v>
      </c>
      <c r="Z400" s="14" t="s">
        <v>107</v>
      </c>
      <c r="AA400" s="14" t="s">
        <v>107</v>
      </c>
      <c r="AB400" s="14" t="s">
        <v>131</v>
      </c>
      <c r="AC400" s="14" t="s">
        <v>113</v>
      </c>
      <c r="AD400" s="14" t="s">
        <v>114</v>
      </c>
    </row>
    <row r="401" customFormat="false" ht="78" hidden="false" customHeight="true" outlineLevel="0" collapsed="false">
      <c r="A401" s="14" t="s">
        <v>5077</v>
      </c>
      <c r="B401" s="14" t="s">
        <v>43</v>
      </c>
      <c r="C401" s="14" t="s">
        <v>5078</v>
      </c>
      <c r="D401" s="14" t="s">
        <v>1539</v>
      </c>
      <c r="E401" s="14" t="s">
        <v>4939</v>
      </c>
      <c r="F401" s="15" t="s">
        <v>4940</v>
      </c>
      <c r="G401" s="14" t="s">
        <v>1600</v>
      </c>
      <c r="H401" s="14" t="s">
        <v>5079</v>
      </c>
      <c r="I401" s="14" t="s">
        <v>5080</v>
      </c>
      <c r="J401" s="14" t="s">
        <v>54</v>
      </c>
      <c r="K401" s="22" t="s">
        <v>1668</v>
      </c>
      <c r="L401" s="14" t="s">
        <v>5081</v>
      </c>
      <c r="M401" s="14" t="s">
        <v>5082</v>
      </c>
      <c r="N401" s="14" t="s">
        <v>5083</v>
      </c>
      <c r="O401" s="14"/>
      <c r="P401" s="14" t="s">
        <v>5084</v>
      </c>
      <c r="Q401" s="14" t="s">
        <v>5085</v>
      </c>
      <c r="R401" s="14" t="s">
        <v>1565</v>
      </c>
      <c r="S401" s="17" t="s">
        <v>107</v>
      </c>
      <c r="T401" s="20" t="s">
        <v>324</v>
      </c>
      <c r="U401" s="14" t="s">
        <v>5086</v>
      </c>
      <c r="V401" s="14" t="s">
        <v>109</v>
      </c>
      <c r="W401" s="18" t="s">
        <v>110</v>
      </c>
      <c r="X401" s="14" t="s">
        <v>5087</v>
      </c>
      <c r="Y401" s="14" t="s">
        <v>194</v>
      </c>
      <c r="Z401" s="14" t="s">
        <v>107</v>
      </c>
      <c r="AA401" s="14" t="s">
        <v>107</v>
      </c>
      <c r="AB401" s="14" t="s">
        <v>131</v>
      </c>
      <c r="AC401" s="14" t="s">
        <v>560</v>
      </c>
      <c r="AD401" s="14" t="s">
        <v>561</v>
      </c>
    </row>
    <row r="402" customFormat="false" ht="78" hidden="false" customHeight="true" outlineLevel="0" collapsed="false">
      <c r="A402" s="14" t="s">
        <v>5088</v>
      </c>
      <c r="B402" s="14" t="s">
        <v>43</v>
      </c>
      <c r="C402" s="14" t="s">
        <v>5089</v>
      </c>
      <c r="D402" s="14" t="s">
        <v>1539</v>
      </c>
      <c r="E402" s="14" t="s">
        <v>4939</v>
      </c>
      <c r="F402" s="15" t="s">
        <v>4940</v>
      </c>
      <c r="G402" s="14" t="s">
        <v>1600</v>
      </c>
      <c r="H402" s="14" t="s">
        <v>5090</v>
      </c>
      <c r="I402" s="14" t="s">
        <v>5091</v>
      </c>
      <c r="J402" s="14" t="s">
        <v>50</v>
      </c>
      <c r="K402" s="22" t="s">
        <v>1668</v>
      </c>
      <c r="L402" s="14" t="s">
        <v>5092</v>
      </c>
      <c r="M402" s="14" t="s">
        <v>5093</v>
      </c>
      <c r="N402" s="14" t="s">
        <v>5094</v>
      </c>
      <c r="O402" s="14"/>
      <c r="P402" s="14" t="s">
        <v>5095</v>
      </c>
      <c r="Q402" s="14" t="s">
        <v>5096</v>
      </c>
      <c r="R402" s="14" t="s">
        <v>1565</v>
      </c>
      <c r="S402" s="20" t="s">
        <v>324</v>
      </c>
      <c r="T402" s="20" t="s">
        <v>324</v>
      </c>
      <c r="U402" s="14" t="s">
        <v>5097</v>
      </c>
      <c r="V402" s="14" t="s">
        <v>109</v>
      </c>
      <c r="W402" s="18" t="s">
        <v>110</v>
      </c>
      <c r="X402" s="14" t="s">
        <v>5098</v>
      </c>
      <c r="Y402" s="14" t="s">
        <v>1668</v>
      </c>
      <c r="Z402" s="14" t="s">
        <v>107</v>
      </c>
      <c r="AA402" s="14" t="s">
        <v>107</v>
      </c>
      <c r="AB402" s="14" t="s">
        <v>131</v>
      </c>
      <c r="AC402" s="14" t="s">
        <v>113</v>
      </c>
      <c r="AD402" s="14" t="s">
        <v>114</v>
      </c>
    </row>
    <row r="403" customFormat="false" ht="78" hidden="false" customHeight="true" outlineLevel="0" collapsed="false">
      <c r="A403" s="14" t="s">
        <v>5099</v>
      </c>
      <c r="B403" s="14" t="s">
        <v>43</v>
      </c>
      <c r="C403" s="14" t="s">
        <v>5100</v>
      </c>
      <c r="D403" s="14" t="s">
        <v>1539</v>
      </c>
      <c r="E403" s="14" t="s">
        <v>1570</v>
      </c>
      <c r="F403" s="15" t="s">
        <v>1571</v>
      </c>
      <c r="G403" s="14" t="s">
        <v>1572</v>
      </c>
      <c r="H403" s="14" t="s">
        <v>5101</v>
      </c>
      <c r="I403" s="14" t="s">
        <v>5102</v>
      </c>
      <c r="J403" s="14" t="s">
        <v>50</v>
      </c>
      <c r="K403" s="22" t="s">
        <v>1668</v>
      </c>
      <c r="L403" s="14" t="s">
        <v>5103</v>
      </c>
      <c r="M403" s="14" t="s">
        <v>5104</v>
      </c>
      <c r="N403" s="14" t="s">
        <v>5105</v>
      </c>
      <c r="O403" s="14"/>
      <c r="P403" s="14" t="s">
        <v>5106</v>
      </c>
      <c r="Q403" s="14" t="s">
        <v>5107</v>
      </c>
      <c r="R403" s="14" t="s">
        <v>1565</v>
      </c>
      <c r="S403" s="20" t="s">
        <v>324</v>
      </c>
      <c r="T403" s="20" t="s">
        <v>324</v>
      </c>
      <c r="U403" s="14" t="s">
        <v>5108</v>
      </c>
      <c r="V403" s="14" t="s">
        <v>109</v>
      </c>
      <c r="W403" s="18" t="s">
        <v>110</v>
      </c>
      <c r="X403" s="14" t="s">
        <v>5109</v>
      </c>
      <c r="Y403" s="14" t="s">
        <v>1668</v>
      </c>
      <c r="Z403" s="14" t="s">
        <v>107</v>
      </c>
      <c r="AA403" s="14" t="s">
        <v>107</v>
      </c>
      <c r="AB403" s="14" t="s">
        <v>131</v>
      </c>
      <c r="AC403" s="14" t="s">
        <v>113</v>
      </c>
      <c r="AD403" s="14" t="s">
        <v>114</v>
      </c>
    </row>
    <row r="404" customFormat="false" ht="78" hidden="false" customHeight="true" outlineLevel="0" collapsed="false">
      <c r="A404" s="14" t="s">
        <v>5110</v>
      </c>
      <c r="B404" s="14" t="s">
        <v>43</v>
      </c>
      <c r="C404" s="14" t="s">
        <v>5111</v>
      </c>
      <c r="D404" s="14" t="s">
        <v>1539</v>
      </c>
      <c r="E404" s="14" t="s">
        <v>5112</v>
      </c>
      <c r="F404" s="15" t="s">
        <v>5113</v>
      </c>
      <c r="G404" s="14" t="s">
        <v>5043</v>
      </c>
      <c r="H404" s="14" t="s">
        <v>5114</v>
      </c>
      <c r="I404" s="14" t="s">
        <v>5115</v>
      </c>
      <c r="J404" s="14" t="s">
        <v>54</v>
      </c>
      <c r="K404" s="22" t="s">
        <v>1668</v>
      </c>
      <c r="L404" s="14" t="s">
        <v>5116</v>
      </c>
      <c r="M404" s="14" t="s">
        <v>5117</v>
      </c>
      <c r="N404" s="14" t="s">
        <v>5118</v>
      </c>
      <c r="O404" s="14"/>
      <c r="P404" s="14" t="s">
        <v>5119</v>
      </c>
      <c r="Q404" s="14" t="s">
        <v>5120</v>
      </c>
      <c r="R404" s="14" t="s">
        <v>1565</v>
      </c>
      <c r="S404" s="20" t="s">
        <v>324</v>
      </c>
      <c r="T404" s="20" t="s">
        <v>324</v>
      </c>
      <c r="U404" s="14" t="s">
        <v>5121</v>
      </c>
      <c r="V404" s="14" t="s">
        <v>109</v>
      </c>
      <c r="W404" s="18" t="s">
        <v>110</v>
      </c>
      <c r="X404" s="14" t="s">
        <v>5122</v>
      </c>
      <c r="Y404" s="14" t="s">
        <v>1668</v>
      </c>
      <c r="Z404" s="14" t="s">
        <v>107</v>
      </c>
      <c r="AA404" s="14" t="s">
        <v>107</v>
      </c>
      <c r="AB404" s="14" t="s">
        <v>131</v>
      </c>
      <c r="AC404" s="14" t="s">
        <v>560</v>
      </c>
      <c r="AD404" s="14" t="s">
        <v>561</v>
      </c>
    </row>
    <row r="405" customFormat="false" ht="78" hidden="false" customHeight="true" outlineLevel="0" collapsed="false">
      <c r="A405" s="14" t="s">
        <v>5123</v>
      </c>
      <c r="B405" s="14" t="s">
        <v>44</v>
      </c>
      <c r="C405" s="14" t="s">
        <v>5124</v>
      </c>
      <c r="D405" s="14" t="s">
        <v>1612</v>
      </c>
      <c r="E405" s="14" t="s">
        <v>5125</v>
      </c>
      <c r="F405" s="15" t="s">
        <v>5126</v>
      </c>
      <c r="G405" s="14" t="s">
        <v>285</v>
      </c>
      <c r="H405" s="14" t="s">
        <v>5127</v>
      </c>
      <c r="I405" s="14" t="s">
        <v>5128</v>
      </c>
      <c r="J405" s="14" t="s">
        <v>57</v>
      </c>
      <c r="K405" s="22" t="s">
        <v>1668</v>
      </c>
      <c r="L405" s="14" t="s">
        <v>5129</v>
      </c>
      <c r="M405" s="14" t="s">
        <v>5130</v>
      </c>
      <c r="N405" s="14" t="s">
        <v>5131</v>
      </c>
      <c r="O405" s="14"/>
      <c r="P405" s="14" t="s">
        <v>5132</v>
      </c>
      <c r="Q405" s="14" t="s">
        <v>5133</v>
      </c>
      <c r="R405" s="14" t="s">
        <v>1622</v>
      </c>
      <c r="S405" s="17" t="s">
        <v>107</v>
      </c>
      <c r="T405" s="20" t="s">
        <v>324</v>
      </c>
      <c r="U405" s="14" t="s">
        <v>5134</v>
      </c>
      <c r="V405" s="14" t="s">
        <v>109</v>
      </c>
      <c r="W405" s="18" t="s">
        <v>110</v>
      </c>
      <c r="X405" s="14" t="s">
        <v>5135</v>
      </c>
      <c r="Y405" s="14" t="s">
        <v>194</v>
      </c>
      <c r="Z405" s="14" t="s">
        <v>107</v>
      </c>
      <c r="AA405" s="14" t="s">
        <v>107</v>
      </c>
      <c r="AB405" s="14" t="s">
        <v>112</v>
      </c>
      <c r="AC405" s="14" t="s">
        <v>113</v>
      </c>
      <c r="AD405" s="14" t="s">
        <v>114</v>
      </c>
    </row>
    <row r="406" customFormat="false" ht="78" hidden="false" customHeight="true" outlineLevel="0" collapsed="false">
      <c r="A406" s="14" t="s">
        <v>5136</v>
      </c>
      <c r="B406" s="14" t="s">
        <v>44</v>
      </c>
      <c r="C406" s="14" t="s">
        <v>5137</v>
      </c>
      <c r="D406" s="14" t="s">
        <v>1612</v>
      </c>
      <c r="E406" s="14" t="s">
        <v>5138</v>
      </c>
      <c r="F406" s="15" t="s">
        <v>1793</v>
      </c>
      <c r="G406" s="14" t="s">
        <v>285</v>
      </c>
      <c r="H406" s="14" t="s">
        <v>5139</v>
      </c>
      <c r="I406" s="14" t="s">
        <v>5140</v>
      </c>
      <c r="J406" s="14" t="s">
        <v>57</v>
      </c>
      <c r="K406" s="22" t="s">
        <v>1668</v>
      </c>
      <c r="L406" s="14" t="s">
        <v>5141</v>
      </c>
      <c r="M406" s="14" t="s">
        <v>5142</v>
      </c>
      <c r="N406" s="14" t="s">
        <v>5143</v>
      </c>
      <c r="O406" s="14"/>
      <c r="P406" s="14" t="s">
        <v>5144</v>
      </c>
      <c r="Q406" s="14" t="s">
        <v>5145</v>
      </c>
      <c r="R406" s="14" t="s">
        <v>1622</v>
      </c>
      <c r="S406" s="17" t="s">
        <v>107</v>
      </c>
      <c r="T406" s="20" t="s">
        <v>324</v>
      </c>
      <c r="U406" s="14" t="s">
        <v>5146</v>
      </c>
      <c r="V406" s="14" t="s">
        <v>109</v>
      </c>
      <c r="W406" s="18" t="s">
        <v>110</v>
      </c>
      <c r="X406" s="14" t="s">
        <v>5147</v>
      </c>
      <c r="Y406" s="14" t="s">
        <v>194</v>
      </c>
      <c r="Z406" s="14" t="s">
        <v>107</v>
      </c>
      <c r="AA406" s="14" t="s">
        <v>107</v>
      </c>
      <c r="AB406" s="14" t="s">
        <v>112</v>
      </c>
      <c r="AC406" s="14" t="s">
        <v>113</v>
      </c>
      <c r="AD406" s="14" t="s">
        <v>114</v>
      </c>
    </row>
    <row r="407" customFormat="false" ht="78" hidden="false" customHeight="true" outlineLevel="0" collapsed="false">
      <c r="A407" s="14" t="s">
        <v>5148</v>
      </c>
      <c r="B407" s="14" t="s">
        <v>44</v>
      </c>
      <c r="C407" s="14" t="s">
        <v>5149</v>
      </c>
      <c r="D407" s="14" t="s">
        <v>1612</v>
      </c>
      <c r="E407" s="14" t="s">
        <v>1627</v>
      </c>
      <c r="F407" s="15" t="s">
        <v>1628</v>
      </c>
      <c r="G407" s="14" t="s">
        <v>1586</v>
      </c>
      <c r="H407" s="14" t="s">
        <v>5150</v>
      </c>
      <c r="I407" s="14" t="s">
        <v>5151</v>
      </c>
      <c r="J407" s="14" t="s">
        <v>57</v>
      </c>
      <c r="K407" s="22" t="s">
        <v>1668</v>
      </c>
      <c r="L407" s="14" t="s">
        <v>5152</v>
      </c>
      <c r="M407" s="14" t="s">
        <v>5153</v>
      </c>
      <c r="N407" s="14" t="s">
        <v>5154</v>
      </c>
      <c r="O407" s="14"/>
      <c r="P407" s="14" t="s">
        <v>5155</v>
      </c>
      <c r="Q407" s="14" t="s">
        <v>5156</v>
      </c>
      <c r="R407" s="14" t="s">
        <v>1622</v>
      </c>
      <c r="S407" s="17" t="s">
        <v>107</v>
      </c>
      <c r="T407" s="20" t="s">
        <v>324</v>
      </c>
      <c r="U407" s="14" t="s">
        <v>5157</v>
      </c>
      <c r="V407" s="14" t="s">
        <v>109</v>
      </c>
      <c r="W407" s="18" t="s">
        <v>110</v>
      </c>
      <c r="X407" s="14" t="s">
        <v>5158</v>
      </c>
      <c r="Y407" s="14" t="s">
        <v>194</v>
      </c>
      <c r="Z407" s="14" t="s">
        <v>107</v>
      </c>
      <c r="AA407" s="14" t="s">
        <v>107</v>
      </c>
      <c r="AB407" s="14" t="s">
        <v>112</v>
      </c>
      <c r="AC407" s="14" t="s">
        <v>113</v>
      </c>
      <c r="AD407" s="14" t="s">
        <v>114</v>
      </c>
    </row>
    <row r="408" customFormat="false" ht="78" hidden="false" customHeight="true" outlineLevel="0" collapsed="false">
      <c r="A408" s="14" t="s">
        <v>5159</v>
      </c>
      <c r="B408" s="14" t="s">
        <v>44</v>
      </c>
      <c r="C408" s="14" t="s">
        <v>5160</v>
      </c>
      <c r="D408" s="14" t="s">
        <v>1612</v>
      </c>
      <c r="E408" s="14" t="s">
        <v>5125</v>
      </c>
      <c r="F408" s="15" t="s">
        <v>5126</v>
      </c>
      <c r="G408" s="14" t="s">
        <v>285</v>
      </c>
      <c r="H408" s="14" t="s">
        <v>5161</v>
      </c>
      <c r="I408" s="14" t="s">
        <v>5162</v>
      </c>
      <c r="J408" s="14" t="s">
        <v>99</v>
      </c>
      <c r="K408" s="22" t="s">
        <v>1668</v>
      </c>
      <c r="L408" s="14" t="s">
        <v>5163</v>
      </c>
      <c r="M408" s="14" t="s">
        <v>5164</v>
      </c>
      <c r="N408" s="14" t="s">
        <v>5165</v>
      </c>
      <c r="O408" s="14"/>
      <c r="P408" s="14" t="s">
        <v>5166</v>
      </c>
      <c r="Q408" s="14" t="s">
        <v>5167</v>
      </c>
      <c r="R408" s="14" t="s">
        <v>1622</v>
      </c>
      <c r="S408" s="20" t="s">
        <v>324</v>
      </c>
      <c r="T408" s="20" t="s">
        <v>324</v>
      </c>
      <c r="U408" s="14" t="s">
        <v>5168</v>
      </c>
      <c r="V408" s="14" t="s">
        <v>109</v>
      </c>
      <c r="W408" s="18" t="s">
        <v>110</v>
      </c>
      <c r="X408" s="14" t="s">
        <v>5169</v>
      </c>
      <c r="Y408" s="14" t="s">
        <v>1668</v>
      </c>
      <c r="Z408" s="14" t="s">
        <v>107</v>
      </c>
      <c r="AA408" s="14" t="s">
        <v>107</v>
      </c>
      <c r="AB408" s="14" t="s">
        <v>112</v>
      </c>
      <c r="AC408" s="14" t="s">
        <v>113</v>
      </c>
      <c r="AD408" s="14" t="s">
        <v>114</v>
      </c>
    </row>
    <row r="409" customFormat="false" ht="78" hidden="false" customHeight="true" outlineLevel="0" collapsed="false">
      <c r="A409" s="14" t="s">
        <v>5170</v>
      </c>
      <c r="B409" s="14" t="s">
        <v>45</v>
      </c>
      <c r="C409" s="14" t="s">
        <v>5014</v>
      </c>
      <c r="D409" s="14" t="s">
        <v>1612</v>
      </c>
      <c r="E409" s="14" t="s">
        <v>1612</v>
      </c>
      <c r="F409" s="15" t="s">
        <v>1768</v>
      </c>
      <c r="G409" s="14" t="s">
        <v>285</v>
      </c>
      <c r="H409" s="14" t="s">
        <v>5171</v>
      </c>
      <c r="I409" s="14" t="s">
        <v>5172</v>
      </c>
      <c r="J409" s="14" t="s">
        <v>56</v>
      </c>
      <c r="K409" s="22" t="s">
        <v>1668</v>
      </c>
      <c r="L409" s="14" t="s">
        <v>5173</v>
      </c>
      <c r="M409" s="14" t="s">
        <v>5174</v>
      </c>
      <c r="N409" s="14" t="s">
        <v>5175</v>
      </c>
      <c r="O409" s="14"/>
      <c r="P409" s="14" t="s">
        <v>5176</v>
      </c>
      <c r="Q409" s="14" t="s">
        <v>5177</v>
      </c>
      <c r="R409" s="14" t="s">
        <v>918</v>
      </c>
      <c r="S409" s="17" t="s">
        <v>107</v>
      </c>
      <c r="T409" s="17" t="s">
        <v>107</v>
      </c>
      <c r="U409" s="14" t="s">
        <v>5178</v>
      </c>
      <c r="V409" s="14" t="s">
        <v>109</v>
      </c>
      <c r="W409" s="18" t="s">
        <v>110</v>
      </c>
      <c r="X409" s="14" t="s">
        <v>5179</v>
      </c>
      <c r="Y409" s="14" t="s">
        <v>194</v>
      </c>
      <c r="Z409" s="14" t="s">
        <v>107</v>
      </c>
      <c r="AA409" s="14" t="s">
        <v>107</v>
      </c>
      <c r="AB409" s="14" t="s">
        <v>921</v>
      </c>
      <c r="AC409" s="14" t="s">
        <v>113</v>
      </c>
      <c r="AD409" s="14" t="s">
        <v>114</v>
      </c>
    </row>
    <row r="410" customFormat="false" ht="78" hidden="false" customHeight="true" outlineLevel="0" collapsed="false">
      <c r="A410" s="14" t="s">
        <v>5180</v>
      </c>
      <c r="B410" s="14" t="s">
        <v>44</v>
      </c>
      <c r="C410" s="14" t="s">
        <v>5181</v>
      </c>
      <c r="D410" s="14" t="s">
        <v>1612</v>
      </c>
      <c r="E410" s="14" t="s">
        <v>5138</v>
      </c>
      <c r="F410" s="15" t="s">
        <v>1793</v>
      </c>
      <c r="G410" s="14" t="s">
        <v>285</v>
      </c>
      <c r="H410" s="14" t="s">
        <v>5182</v>
      </c>
      <c r="I410" s="14" t="s">
        <v>5183</v>
      </c>
      <c r="J410" s="14" t="s">
        <v>56</v>
      </c>
      <c r="K410" s="22" t="s">
        <v>1668</v>
      </c>
      <c r="L410" s="14" t="s">
        <v>5184</v>
      </c>
      <c r="M410" s="14" t="s">
        <v>5185</v>
      </c>
      <c r="N410" s="14" t="s">
        <v>5186</v>
      </c>
      <c r="O410" s="14"/>
      <c r="P410" s="14" t="s">
        <v>5187</v>
      </c>
      <c r="Q410" s="14" t="s">
        <v>5188</v>
      </c>
      <c r="R410" s="14" t="s">
        <v>918</v>
      </c>
      <c r="S410" s="17" t="s">
        <v>107</v>
      </c>
      <c r="T410" s="20" t="s">
        <v>324</v>
      </c>
      <c r="U410" s="14" t="s">
        <v>5189</v>
      </c>
      <c r="V410" s="14" t="s">
        <v>109</v>
      </c>
      <c r="W410" s="18" t="s">
        <v>110</v>
      </c>
      <c r="X410" s="14" t="s">
        <v>5190</v>
      </c>
      <c r="Y410" s="14" t="s">
        <v>194</v>
      </c>
      <c r="Z410" s="14" t="s">
        <v>107</v>
      </c>
      <c r="AA410" s="14" t="s">
        <v>107</v>
      </c>
      <c r="AB410" s="14" t="s">
        <v>921</v>
      </c>
      <c r="AC410" s="14" t="s">
        <v>113</v>
      </c>
      <c r="AD410" s="14" t="s">
        <v>114</v>
      </c>
    </row>
    <row r="411" customFormat="false" ht="78" hidden="false" customHeight="true" outlineLevel="0" collapsed="false">
      <c r="A411" s="14" t="s">
        <v>5191</v>
      </c>
      <c r="B411" s="14" t="s">
        <v>45</v>
      </c>
      <c r="C411" s="14" t="s">
        <v>5192</v>
      </c>
      <c r="D411" s="14" t="s">
        <v>1612</v>
      </c>
      <c r="E411" s="14" t="s">
        <v>5193</v>
      </c>
      <c r="F411" s="15" t="s">
        <v>1768</v>
      </c>
      <c r="G411" s="14" t="s">
        <v>168</v>
      </c>
      <c r="H411" s="14" t="s">
        <v>5194</v>
      </c>
      <c r="I411" s="14" t="s">
        <v>5195</v>
      </c>
      <c r="J411" s="14" t="s">
        <v>55</v>
      </c>
      <c r="K411" s="22" t="s">
        <v>1668</v>
      </c>
      <c r="L411" s="14" t="s">
        <v>5196</v>
      </c>
      <c r="M411" s="14" t="s">
        <v>5197</v>
      </c>
      <c r="N411" s="14" t="s">
        <v>5198</v>
      </c>
      <c r="O411" s="14"/>
      <c r="P411" s="14" t="s">
        <v>5199</v>
      </c>
      <c r="Q411" s="14" t="s">
        <v>5200</v>
      </c>
      <c r="R411" s="14" t="s">
        <v>1622</v>
      </c>
      <c r="S411" s="17" t="s">
        <v>107</v>
      </c>
      <c r="T411" s="20" t="s">
        <v>324</v>
      </c>
      <c r="U411" s="14" t="s">
        <v>5201</v>
      </c>
      <c r="V411" s="14" t="s">
        <v>109</v>
      </c>
      <c r="W411" s="18" t="s">
        <v>110</v>
      </c>
      <c r="X411" s="14" t="s">
        <v>5202</v>
      </c>
      <c r="Y411" s="14" t="s">
        <v>194</v>
      </c>
      <c r="Z411" s="14" t="s">
        <v>107</v>
      </c>
      <c r="AA411" s="14" t="s">
        <v>107</v>
      </c>
      <c r="AB411" s="14" t="s">
        <v>921</v>
      </c>
      <c r="AC411" s="14" t="s">
        <v>113</v>
      </c>
      <c r="AD411" s="14" t="s">
        <v>114</v>
      </c>
    </row>
    <row r="412" customFormat="false" ht="78" hidden="false" customHeight="true" outlineLevel="0" collapsed="false">
      <c r="A412" s="14" t="s">
        <v>5203</v>
      </c>
      <c r="B412" s="14" t="s">
        <v>43</v>
      </c>
      <c r="C412" s="14" t="s">
        <v>5204</v>
      </c>
      <c r="D412" s="14" t="s">
        <v>1612</v>
      </c>
      <c r="E412" s="14" t="s">
        <v>1612</v>
      </c>
      <c r="F412" s="15" t="s">
        <v>1768</v>
      </c>
      <c r="G412" s="14" t="s">
        <v>285</v>
      </c>
      <c r="H412" s="14" t="s">
        <v>5205</v>
      </c>
      <c r="I412" s="14" t="s">
        <v>5206</v>
      </c>
      <c r="J412" s="14" t="s">
        <v>55</v>
      </c>
      <c r="K412" s="22" t="s">
        <v>1668</v>
      </c>
      <c r="L412" s="14" t="s">
        <v>5207</v>
      </c>
      <c r="M412" s="14" t="s">
        <v>5208</v>
      </c>
      <c r="N412" s="14" t="s">
        <v>5209</v>
      </c>
      <c r="O412" s="14"/>
      <c r="P412" s="14" t="s">
        <v>5210</v>
      </c>
      <c r="Q412" s="14" t="s">
        <v>5211</v>
      </c>
      <c r="R412" s="14" t="s">
        <v>1622</v>
      </c>
      <c r="S412" s="17" t="s">
        <v>107</v>
      </c>
      <c r="T412" s="20" t="s">
        <v>324</v>
      </c>
      <c r="U412" s="14" t="s">
        <v>5212</v>
      </c>
      <c r="V412" s="14" t="s">
        <v>109</v>
      </c>
      <c r="W412" s="18" t="s">
        <v>110</v>
      </c>
      <c r="X412" s="14" t="s">
        <v>5213</v>
      </c>
      <c r="Y412" s="14" t="s">
        <v>194</v>
      </c>
      <c r="Z412" s="14" t="s">
        <v>107</v>
      </c>
      <c r="AA412" s="14" t="s">
        <v>107</v>
      </c>
      <c r="AB412" s="14" t="s">
        <v>131</v>
      </c>
      <c r="AC412" s="14" t="s">
        <v>113</v>
      </c>
      <c r="AD412" s="14" t="s">
        <v>114</v>
      </c>
    </row>
    <row r="413" customFormat="false" ht="78" hidden="false" customHeight="true" outlineLevel="0" collapsed="false">
      <c r="A413" s="14" t="s">
        <v>5214</v>
      </c>
      <c r="B413" s="14" t="s">
        <v>43</v>
      </c>
      <c r="C413" s="14" t="s">
        <v>5215</v>
      </c>
      <c r="D413" s="14" t="s">
        <v>282</v>
      </c>
      <c r="E413" s="14" t="s">
        <v>5216</v>
      </c>
      <c r="F413" s="15" t="s">
        <v>5217</v>
      </c>
      <c r="G413" s="14" t="s">
        <v>285</v>
      </c>
      <c r="H413" s="14" t="s">
        <v>5218</v>
      </c>
      <c r="I413" s="14" t="s">
        <v>5219</v>
      </c>
      <c r="J413" s="14" t="s">
        <v>54</v>
      </c>
      <c r="K413" s="22" t="s">
        <v>1668</v>
      </c>
      <c r="L413" s="14" t="s">
        <v>5220</v>
      </c>
      <c r="M413" s="14" t="s">
        <v>5221</v>
      </c>
      <c r="N413" s="14" t="s">
        <v>5222</v>
      </c>
      <c r="O413" s="14"/>
      <c r="P413" s="14" t="s">
        <v>5223</v>
      </c>
      <c r="Q413" s="14" t="s">
        <v>5224</v>
      </c>
      <c r="R413" s="14" t="s">
        <v>293</v>
      </c>
      <c r="S413" s="17" t="s">
        <v>107</v>
      </c>
      <c r="T413" s="20" t="s">
        <v>324</v>
      </c>
      <c r="U413" s="14" t="s">
        <v>5225</v>
      </c>
      <c r="V413" s="14" t="s">
        <v>109</v>
      </c>
      <c r="W413" s="18" t="s">
        <v>110</v>
      </c>
      <c r="X413" s="14" t="s">
        <v>5226</v>
      </c>
      <c r="Y413" s="14" t="s">
        <v>194</v>
      </c>
      <c r="Z413" s="14" t="s">
        <v>107</v>
      </c>
      <c r="AA413" s="14" t="s">
        <v>107</v>
      </c>
      <c r="AB413" s="14" t="s">
        <v>131</v>
      </c>
      <c r="AC413" s="14" t="s">
        <v>560</v>
      </c>
      <c r="AD413" s="14" t="s">
        <v>561</v>
      </c>
    </row>
    <row r="414" customFormat="false" ht="78" hidden="false" customHeight="true" outlineLevel="0" collapsed="false">
      <c r="A414" s="14" t="s">
        <v>5227</v>
      </c>
      <c r="B414" s="14" t="s">
        <v>43</v>
      </c>
      <c r="C414" s="14" t="s">
        <v>5228</v>
      </c>
      <c r="D414" s="14" t="s">
        <v>282</v>
      </c>
      <c r="E414" s="14" t="s">
        <v>5229</v>
      </c>
      <c r="F414" s="15" t="s">
        <v>5230</v>
      </c>
      <c r="G414" s="14" t="s">
        <v>285</v>
      </c>
      <c r="H414" s="14" t="s">
        <v>5231</v>
      </c>
      <c r="I414" s="14" t="s">
        <v>5232</v>
      </c>
      <c r="J414" s="14" t="s">
        <v>50</v>
      </c>
      <c r="K414" s="22" t="s">
        <v>1668</v>
      </c>
      <c r="L414" s="14" t="s">
        <v>5233</v>
      </c>
      <c r="M414" s="14" t="s">
        <v>5234</v>
      </c>
      <c r="N414" s="14" t="s">
        <v>5235</v>
      </c>
      <c r="O414" s="14"/>
      <c r="P414" s="14" t="s">
        <v>5236</v>
      </c>
      <c r="Q414" s="14" t="s">
        <v>5237</v>
      </c>
      <c r="R414" s="14" t="s">
        <v>293</v>
      </c>
      <c r="S414" s="17" t="s">
        <v>107</v>
      </c>
      <c r="T414" s="20" t="s">
        <v>324</v>
      </c>
      <c r="U414" s="14" t="s">
        <v>5238</v>
      </c>
      <c r="V414" s="14" t="s">
        <v>109</v>
      </c>
      <c r="W414" s="18" t="s">
        <v>110</v>
      </c>
      <c r="X414" s="14" t="s">
        <v>5239</v>
      </c>
      <c r="Y414" s="14" t="s">
        <v>194</v>
      </c>
      <c r="Z414" s="14" t="s">
        <v>107</v>
      </c>
      <c r="AA414" s="14" t="s">
        <v>107</v>
      </c>
      <c r="AB414" s="14" t="s">
        <v>131</v>
      </c>
      <c r="AC414" s="14" t="s">
        <v>113</v>
      </c>
      <c r="AD414" s="14" t="s">
        <v>114</v>
      </c>
    </row>
    <row r="415" customFormat="false" ht="78" hidden="false" customHeight="true" outlineLevel="0" collapsed="false">
      <c r="A415" s="14" t="s">
        <v>5240</v>
      </c>
      <c r="B415" s="14" t="s">
        <v>46</v>
      </c>
      <c r="C415" s="14" t="s">
        <v>5241</v>
      </c>
      <c r="D415" s="14" t="s">
        <v>298</v>
      </c>
      <c r="E415" s="14" t="s">
        <v>1715</v>
      </c>
      <c r="F415" s="15" t="s">
        <v>1716</v>
      </c>
      <c r="G415" s="14" t="s">
        <v>1542</v>
      </c>
      <c r="H415" s="14" t="s">
        <v>5242</v>
      </c>
      <c r="I415" s="14" t="s">
        <v>5243</v>
      </c>
      <c r="J415" s="14" t="s">
        <v>55</v>
      </c>
      <c r="K415" s="23" t="s">
        <v>5244</v>
      </c>
      <c r="L415" s="14" t="s">
        <v>5245</v>
      </c>
      <c r="M415" s="14" t="s">
        <v>5246</v>
      </c>
      <c r="N415" s="14" t="s">
        <v>5247</v>
      </c>
      <c r="O415" s="14"/>
      <c r="P415" s="14" t="s">
        <v>5248</v>
      </c>
      <c r="Q415" s="14" t="s">
        <v>5249</v>
      </c>
      <c r="R415" s="14" t="s">
        <v>1827</v>
      </c>
      <c r="S415" s="20" t="s">
        <v>324</v>
      </c>
      <c r="T415" s="20" t="s">
        <v>324</v>
      </c>
      <c r="U415" s="14" t="s">
        <v>5250</v>
      </c>
      <c r="V415" s="14" t="s">
        <v>109</v>
      </c>
      <c r="W415" s="21" t="s">
        <v>429</v>
      </c>
      <c r="X415" s="14" t="s">
        <v>5251</v>
      </c>
      <c r="Y415" s="14" t="s">
        <v>194</v>
      </c>
      <c r="Z415" s="14" t="s">
        <v>107</v>
      </c>
      <c r="AA415" s="14" t="s">
        <v>107</v>
      </c>
      <c r="AB415" s="14" t="s">
        <v>147</v>
      </c>
      <c r="AC415" s="14" t="s">
        <v>113</v>
      </c>
      <c r="AD415" s="14" t="s">
        <v>114</v>
      </c>
    </row>
    <row r="416" customFormat="false" ht="78" hidden="false" customHeight="true" outlineLevel="0" collapsed="false">
      <c r="A416" s="14" t="s">
        <v>5252</v>
      </c>
      <c r="B416" s="14" t="s">
        <v>44</v>
      </c>
      <c r="C416" s="14" t="s">
        <v>5253</v>
      </c>
      <c r="D416" s="14" t="s">
        <v>298</v>
      </c>
      <c r="E416" s="14" t="s">
        <v>5254</v>
      </c>
      <c r="F416" s="14"/>
      <c r="G416" s="14" t="s">
        <v>285</v>
      </c>
      <c r="H416" s="14" t="s">
        <v>5255</v>
      </c>
      <c r="I416" s="14" t="s">
        <v>5256</v>
      </c>
      <c r="J416" s="14" t="s">
        <v>53</v>
      </c>
      <c r="K416" s="23" t="s">
        <v>5244</v>
      </c>
      <c r="L416" s="14" t="s">
        <v>5257</v>
      </c>
      <c r="M416" s="14" t="s">
        <v>5258</v>
      </c>
      <c r="N416" s="14" t="s">
        <v>5259</v>
      </c>
      <c r="O416" s="14"/>
      <c r="P416" s="14" t="s">
        <v>5260</v>
      </c>
      <c r="Q416" s="14" t="s">
        <v>5261</v>
      </c>
      <c r="R416" s="14" t="s">
        <v>1877</v>
      </c>
      <c r="S416" s="17" t="s">
        <v>107</v>
      </c>
      <c r="T416" s="17" t="s">
        <v>107</v>
      </c>
      <c r="U416" s="14" t="s">
        <v>5262</v>
      </c>
      <c r="V416" s="14" t="s">
        <v>109</v>
      </c>
      <c r="W416" s="21" t="s">
        <v>429</v>
      </c>
      <c r="X416" s="14" t="s">
        <v>5263</v>
      </c>
      <c r="Y416" s="14" t="s">
        <v>194</v>
      </c>
      <c r="Z416" s="14" t="s">
        <v>107</v>
      </c>
      <c r="AA416" s="14" t="s">
        <v>107</v>
      </c>
      <c r="AB416" s="14" t="s">
        <v>112</v>
      </c>
      <c r="AC416" s="14" t="s">
        <v>113</v>
      </c>
      <c r="AD416" s="14" t="s">
        <v>114</v>
      </c>
    </row>
    <row r="417" customFormat="false" ht="78" hidden="false" customHeight="true" outlineLevel="0" collapsed="false">
      <c r="A417" s="14" t="s">
        <v>5264</v>
      </c>
      <c r="B417" s="14" t="s">
        <v>45</v>
      </c>
      <c r="C417" s="14" t="s">
        <v>5265</v>
      </c>
      <c r="D417" s="14" t="s">
        <v>298</v>
      </c>
      <c r="E417" s="14" t="s">
        <v>5266</v>
      </c>
      <c r="F417" s="15" t="s">
        <v>548</v>
      </c>
      <c r="G417" s="14" t="s">
        <v>1681</v>
      </c>
      <c r="H417" s="14" t="s">
        <v>5267</v>
      </c>
      <c r="I417" s="14" t="s">
        <v>5268</v>
      </c>
      <c r="J417" s="14" t="s">
        <v>56</v>
      </c>
      <c r="K417" s="23" t="s">
        <v>5244</v>
      </c>
      <c r="L417" s="14" t="s">
        <v>5269</v>
      </c>
      <c r="M417" s="14" t="s">
        <v>5270</v>
      </c>
      <c r="N417" s="14" t="s">
        <v>5271</v>
      </c>
      <c r="O417" s="14"/>
      <c r="P417" s="14" t="s">
        <v>5272</v>
      </c>
      <c r="Q417" s="14" t="s">
        <v>5273</v>
      </c>
      <c r="R417" s="14" t="s">
        <v>918</v>
      </c>
      <c r="S417" s="20" t="s">
        <v>324</v>
      </c>
      <c r="T417" s="17" t="s">
        <v>107</v>
      </c>
      <c r="U417" s="14" t="s">
        <v>5274</v>
      </c>
      <c r="V417" s="14" t="s">
        <v>109</v>
      </c>
      <c r="W417" s="18" t="s">
        <v>110</v>
      </c>
      <c r="X417" s="14" t="s">
        <v>5275</v>
      </c>
      <c r="Y417" s="14" t="s">
        <v>5244</v>
      </c>
      <c r="Z417" s="14" t="s">
        <v>107</v>
      </c>
      <c r="AA417" s="14" t="s">
        <v>107</v>
      </c>
      <c r="AB417" s="14" t="s">
        <v>921</v>
      </c>
      <c r="AC417" s="14" t="s">
        <v>113</v>
      </c>
      <c r="AD417" s="14" t="s">
        <v>114</v>
      </c>
    </row>
    <row r="418" customFormat="false" ht="78" hidden="false" customHeight="true" outlineLevel="0" collapsed="false">
      <c r="A418" s="14" t="s">
        <v>5276</v>
      </c>
      <c r="B418" s="14" t="s">
        <v>45</v>
      </c>
      <c r="C418" s="14" t="s">
        <v>5277</v>
      </c>
      <c r="D418" s="14" t="s">
        <v>298</v>
      </c>
      <c r="E418" s="14" t="s">
        <v>5266</v>
      </c>
      <c r="F418" s="15" t="s">
        <v>548</v>
      </c>
      <c r="G418" s="14" t="s">
        <v>1681</v>
      </c>
      <c r="H418" s="14" t="s">
        <v>5278</v>
      </c>
      <c r="I418" s="14" t="s">
        <v>5279</v>
      </c>
      <c r="J418" s="14" t="s">
        <v>536</v>
      </c>
      <c r="K418" s="23" t="s">
        <v>5244</v>
      </c>
      <c r="L418" s="14" t="s">
        <v>5280</v>
      </c>
      <c r="M418" s="14" t="s">
        <v>5281</v>
      </c>
      <c r="N418" s="14" t="s">
        <v>5282</v>
      </c>
      <c r="O418" s="14"/>
      <c r="P418" s="14" t="s">
        <v>5283</v>
      </c>
      <c r="Q418" s="14" t="s">
        <v>5284</v>
      </c>
      <c r="R418" s="14" t="s">
        <v>918</v>
      </c>
      <c r="S418" s="20" t="s">
        <v>324</v>
      </c>
      <c r="T418" s="17" t="s">
        <v>107</v>
      </c>
      <c r="U418" s="14" t="s">
        <v>5285</v>
      </c>
      <c r="V418" s="14" t="s">
        <v>109</v>
      </c>
      <c r="W418" s="18" t="s">
        <v>110</v>
      </c>
      <c r="X418" s="14" t="s">
        <v>5286</v>
      </c>
      <c r="Y418" s="14" t="s">
        <v>5244</v>
      </c>
      <c r="Z418" s="14" t="s">
        <v>107</v>
      </c>
      <c r="AA418" s="14" t="s">
        <v>107</v>
      </c>
      <c r="AB418" s="14" t="s">
        <v>921</v>
      </c>
      <c r="AC418" s="14" t="s">
        <v>113</v>
      </c>
      <c r="AD418" s="14" t="s">
        <v>114</v>
      </c>
    </row>
    <row r="419" customFormat="false" ht="78" hidden="false" customHeight="true" outlineLevel="0" collapsed="false">
      <c r="A419" s="14" t="s">
        <v>5287</v>
      </c>
      <c r="B419" s="14" t="s">
        <v>46</v>
      </c>
      <c r="C419" s="14" t="s">
        <v>5288</v>
      </c>
      <c r="D419" s="14" t="s">
        <v>298</v>
      </c>
      <c r="E419" s="14" t="s">
        <v>1679</v>
      </c>
      <c r="F419" s="15" t="s">
        <v>1680</v>
      </c>
      <c r="G419" s="14" t="s">
        <v>1681</v>
      </c>
      <c r="H419" s="14" t="s">
        <v>5289</v>
      </c>
      <c r="I419" s="14" t="s">
        <v>5290</v>
      </c>
      <c r="J419" s="14" t="s">
        <v>1057</v>
      </c>
      <c r="K419" s="23" t="s">
        <v>5244</v>
      </c>
      <c r="L419" s="14" t="s">
        <v>5291</v>
      </c>
      <c r="M419" s="14" t="s">
        <v>5292</v>
      </c>
      <c r="N419" s="14" t="s">
        <v>5293</v>
      </c>
      <c r="O419" s="14"/>
      <c r="P419" s="14" t="s">
        <v>5294</v>
      </c>
      <c r="Q419" s="14" t="s">
        <v>5295</v>
      </c>
      <c r="R419" s="14" t="s">
        <v>1787</v>
      </c>
      <c r="S419" s="20" t="s">
        <v>324</v>
      </c>
      <c r="T419" s="17" t="s">
        <v>107</v>
      </c>
      <c r="U419" s="14" t="s">
        <v>5296</v>
      </c>
      <c r="V419" s="14" t="s">
        <v>109</v>
      </c>
      <c r="W419" s="18" t="s">
        <v>110</v>
      </c>
      <c r="X419" s="14" t="s">
        <v>5297</v>
      </c>
      <c r="Y419" s="14" t="s">
        <v>1668</v>
      </c>
      <c r="Z419" s="14" t="s">
        <v>107</v>
      </c>
      <c r="AA419" s="14" t="s">
        <v>107</v>
      </c>
      <c r="AB419" s="14" t="s">
        <v>921</v>
      </c>
      <c r="AC419" s="14" t="s">
        <v>113</v>
      </c>
      <c r="AD419" s="14" t="s">
        <v>114</v>
      </c>
    </row>
    <row r="420" customFormat="false" ht="78" hidden="false" customHeight="true" outlineLevel="0" collapsed="false">
      <c r="A420" s="14" t="s">
        <v>5298</v>
      </c>
      <c r="B420" s="14" t="s">
        <v>44</v>
      </c>
      <c r="C420" s="14" t="s">
        <v>5299</v>
      </c>
      <c r="D420" s="14" t="s">
        <v>298</v>
      </c>
      <c r="E420" s="14" t="s">
        <v>313</v>
      </c>
      <c r="F420" s="15" t="s">
        <v>314</v>
      </c>
      <c r="G420" s="14" t="s">
        <v>315</v>
      </c>
      <c r="H420" s="14" t="s">
        <v>5300</v>
      </c>
      <c r="I420" s="14" t="s">
        <v>5301</v>
      </c>
      <c r="J420" s="14" t="s">
        <v>55</v>
      </c>
      <c r="K420" s="23" t="s">
        <v>5244</v>
      </c>
      <c r="L420" s="14" t="s">
        <v>5302</v>
      </c>
      <c r="M420" s="14" t="s">
        <v>5303</v>
      </c>
      <c r="N420" s="14" t="s">
        <v>5304</v>
      </c>
      <c r="O420" s="14"/>
      <c r="P420" s="14" t="s">
        <v>5305</v>
      </c>
      <c r="Q420" s="14" t="s">
        <v>5306</v>
      </c>
      <c r="R420" s="14" t="s">
        <v>336</v>
      </c>
      <c r="S420" s="20" t="s">
        <v>324</v>
      </c>
      <c r="T420" s="20" t="s">
        <v>324</v>
      </c>
      <c r="U420" s="14" t="s">
        <v>5307</v>
      </c>
      <c r="V420" s="14" t="s">
        <v>109</v>
      </c>
      <c r="W420" s="18" t="s">
        <v>110</v>
      </c>
      <c r="X420" s="14" t="s">
        <v>5308</v>
      </c>
      <c r="Y420" s="14" t="s">
        <v>5244</v>
      </c>
      <c r="Z420" s="14" t="s">
        <v>946</v>
      </c>
      <c r="AA420" s="14" t="s">
        <v>946</v>
      </c>
      <c r="AB420" s="14" t="s">
        <v>921</v>
      </c>
      <c r="AC420" s="14" t="s">
        <v>113</v>
      </c>
      <c r="AD420" s="14" t="s">
        <v>114</v>
      </c>
    </row>
    <row r="421" customFormat="false" ht="78" hidden="false" customHeight="true" outlineLevel="0" collapsed="false">
      <c r="A421" s="14" t="s">
        <v>5309</v>
      </c>
      <c r="B421" s="14" t="s">
        <v>44</v>
      </c>
      <c r="C421" s="14" t="s">
        <v>5299</v>
      </c>
      <c r="D421" s="14" t="s">
        <v>298</v>
      </c>
      <c r="E421" s="14" t="s">
        <v>299</v>
      </c>
      <c r="F421" s="15" t="s">
        <v>300</v>
      </c>
      <c r="G421" s="14" t="s">
        <v>301</v>
      </c>
      <c r="H421" s="14" t="s">
        <v>5310</v>
      </c>
      <c r="I421" s="14" t="s">
        <v>5311</v>
      </c>
      <c r="J421" s="14" t="s">
        <v>55</v>
      </c>
      <c r="K421" s="23" t="s">
        <v>5244</v>
      </c>
      <c r="L421" s="14" t="s">
        <v>5302</v>
      </c>
      <c r="M421" s="14" t="s">
        <v>5303</v>
      </c>
      <c r="N421" s="14" t="s">
        <v>5312</v>
      </c>
      <c r="O421" s="14"/>
      <c r="P421" s="14" t="s">
        <v>5313</v>
      </c>
      <c r="Q421" s="14" t="s">
        <v>5314</v>
      </c>
      <c r="R421" s="14" t="s">
        <v>336</v>
      </c>
      <c r="S421" s="20" t="s">
        <v>324</v>
      </c>
      <c r="T421" s="20" t="s">
        <v>324</v>
      </c>
      <c r="U421" s="14" t="s">
        <v>5315</v>
      </c>
      <c r="V421" s="14" t="s">
        <v>109</v>
      </c>
      <c r="W421" s="18" t="s">
        <v>110</v>
      </c>
      <c r="X421" s="14" t="s">
        <v>5316</v>
      </c>
      <c r="Y421" s="14" t="s">
        <v>5244</v>
      </c>
      <c r="Z421" s="14" t="s">
        <v>107</v>
      </c>
      <c r="AA421" s="14" t="s">
        <v>107</v>
      </c>
      <c r="AB421" s="14" t="s">
        <v>921</v>
      </c>
      <c r="AC421" s="14" t="s">
        <v>113</v>
      </c>
      <c r="AD421" s="14" t="s">
        <v>114</v>
      </c>
    </row>
    <row r="422" customFormat="false" ht="78" hidden="false" customHeight="true" outlineLevel="0" collapsed="false">
      <c r="A422" s="14" t="s">
        <v>5317</v>
      </c>
      <c r="B422" s="14" t="s">
        <v>44</v>
      </c>
      <c r="C422" s="14" t="s">
        <v>5299</v>
      </c>
      <c r="D422" s="14" t="s">
        <v>298</v>
      </c>
      <c r="E422" s="14" t="s">
        <v>352</v>
      </c>
      <c r="F422" s="15" t="s">
        <v>353</v>
      </c>
      <c r="G422" s="14" t="s">
        <v>354</v>
      </c>
      <c r="H422" s="14" t="s">
        <v>5318</v>
      </c>
      <c r="I422" s="14" t="s">
        <v>5319</v>
      </c>
      <c r="J422" s="14" t="s">
        <v>55</v>
      </c>
      <c r="K422" s="23" t="s">
        <v>5244</v>
      </c>
      <c r="L422" s="14" t="s">
        <v>5302</v>
      </c>
      <c r="M422" s="14" t="s">
        <v>5303</v>
      </c>
      <c r="N422" s="14" t="s">
        <v>5320</v>
      </c>
      <c r="O422" s="14"/>
      <c r="P422" s="14" t="s">
        <v>5321</v>
      </c>
      <c r="Q422" s="14" t="s">
        <v>5322</v>
      </c>
      <c r="R422" s="14" t="s">
        <v>336</v>
      </c>
      <c r="S422" s="20" t="s">
        <v>324</v>
      </c>
      <c r="T422" s="20" t="s">
        <v>324</v>
      </c>
      <c r="U422" s="14" t="s">
        <v>5323</v>
      </c>
      <c r="V422" s="14" t="s">
        <v>109</v>
      </c>
      <c r="W422" s="18" t="s">
        <v>110</v>
      </c>
      <c r="X422" s="14" t="s">
        <v>5324</v>
      </c>
      <c r="Y422" s="14" t="s">
        <v>5244</v>
      </c>
      <c r="Z422" s="14" t="s">
        <v>107</v>
      </c>
      <c r="AA422" s="14" t="s">
        <v>107</v>
      </c>
      <c r="AB422" s="14" t="s">
        <v>921</v>
      </c>
      <c r="AC422" s="14" t="s">
        <v>113</v>
      </c>
      <c r="AD422" s="14" t="s">
        <v>114</v>
      </c>
    </row>
    <row r="423" customFormat="false" ht="78" hidden="false" customHeight="true" outlineLevel="0" collapsed="false">
      <c r="A423" s="14" t="s">
        <v>5325</v>
      </c>
      <c r="B423" s="14" t="s">
        <v>44</v>
      </c>
      <c r="C423" s="14" t="s">
        <v>5299</v>
      </c>
      <c r="D423" s="14" t="s">
        <v>298</v>
      </c>
      <c r="E423" s="14" t="s">
        <v>1715</v>
      </c>
      <c r="F423" s="15" t="s">
        <v>1716</v>
      </c>
      <c r="G423" s="14" t="s">
        <v>1717</v>
      </c>
      <c r="H423" s="14" t="s">
        <v>5326</v>
      </c>
      <c r="I423" s="14" t="s">
        <v>5327</v>
      </c>
      <c r="J423" s="14" t="s">
        <v>55</v>
      </c>
      <c r="K423" s="23" t="s">
        <v>5244</v>
      </c>
      <c r="L423" s="14" t="s">
        <v>5302</v>
      </c>
      <c r="M423" s="14" t="s">
        <v>5303</v>
      </c>
      <c r="N423" s="14" t="s">
        <v>5328</v>
      </c>
      <c r="O423" s="14"/>
      <c r="P423" s="14" t="s">
        <v>5329</v>
      </c>
      <c r="Q423" s="14" t="s">
        <v>5330</v>
      </c>
      <c r="R423" s="14" t="s">
        <v>336</v>
      </c>
      <c r="S423" s="20" t="s">
        <v>324</v>
      </c>
      <c r="T423" s="20" t="s">
        <v>324</v>
      </c>
      <c r="U423" s="14" t="s">
        <v>5331</v>
      </c>
      <c r="V423" s="14" t="s">
        <v>109</v>
      </c>
      <c r="W423" s="18" t="s">
        <v>110</v>
      </c>
      <c r="X423" s="14" t="s">
        <v>5332</v>
      </c>
      <c r="Y423" s="14" t="s">
        <v>5244</v>
      </c>
      <c r="Z423" s="14" t="s">
        <v>107</v>
      </c>
      <c r="AA423" s="14" t="s">
        <v>946</v>
      </c>
      <c r="AB423" s="14" t="s">
        <v>921</v>
      </c>
      <c r="AC423" s="14" t="s">
        <v>113</v>
      </c>
      <c r="AD423" s="14" t="s">
        <v>114</v>
      </c>
    </row>
    <row r="424" customFormat="false" ht="78" hidden="false" customHeight="true" outlineLevel="0" collapsed="false">
      <c r="A424" s="14" t="s">
        <v>5333</v>
      </c>
      <c r="B424" s="14" t="s">
        <v>45</v>
      </c>
      <c r="C424" s="14" t="s">
        <v>5334</v>
      </c>
      <c r="D424" s="14" t="s">
        <v>298</v>
      </c>
      <c r="E424" s="14" t="s">
        <v>5335</v>
      </c>
      <c r="F424" s="15" t="s">
        <v>548</v>
      </c>
      <c r="G424" s="14" t="s">
        <v>533</v>
      </c>
      <c r="H424" s="14" t="s">
        <v>5336</v>
      </c>
      <c r="I424" s="14" t="s">
        <v>5337</v>
      </c>
      <c r="J424" s="14" t="s">
        <v>1057</v>
      </c>
      <c r="K424" s="23" t="s">
        <v>5244</v>
      </c>
      <c r="L424" s="14" t="s">
        <v>5338</v>
      </c>
      <c r="M424" s="14" t="s">
        <v>5339</v>
      </c>
      <c r="N424" s="14" t="s">
        <v>5340</v>
      </c>
      <c r="O424" s="14"/>
      <c r="P424" s="14" t="s">
        <v>5341</v>
      </c>
      <c r="Q424" s="14" t="s">
        <v>5342</v>
      </c>
      <c r="R424" s="14" t="s">
        <v>918</v>
      </c>
      <c r="S424" s="20" t="s">
        <v>324</v>
      </c>
      <c r="T424" s="17" t="s">
        <v>107</v>
      </c>
      <c r="U424" s="14" t="s">
        <v>5343</v>
      </c>
      <c r="V424" s="14" t="s">
        <v>109</v>
      </c>
      <c r="W424" s="18" t="s">
        <v>110</v>
      </c>
      <c r="X424" s="14" t="s">
        <v>5344</v>
      </c>
      <c r="Y424" s="14" t="s">
        <v>1668</v>
      </c>
      <c r="Z424" s="14" t="s">
        <v>107</v>
      </c>
      <c r="AA424" s="14" t="s">
        <v>107</v>
      </c>
      <c r="AB424" s="14" t="s">
        <v>921</v>
      </c>
      <c r="AC424" s="14" t="s">
        <v>1314</v>
      </c>
      <c r="AD424" s="14" t="s">
        <v>1315</v>
      </c>
    </row>
    <row r="425" customFormat="false" ht="78" hidden="false" customHeight="true" outlineLevel="0" collapsed="false">
      <c r="A425" s="14" t="s">
        <v>5345</v>
      </c>
      <c r="B425" s="14" t="s">
        <v>45</v>
      </c>
      <c r="C425" s="14" t="s">
        <v>5346</v>
      </c>
      <c r="D425" s="14" t="s">
        <v>298</v>
      </c>
      <c r="E425" s="14" t="s">
        <v>5335</v>
      </c>
      <c r="F425" s="15" t="s">
        <v>548</v>
      </c>
      <c r="G425" s="14" t="s">
        <v>168</v>
      </c>
      <c r="H425" s="14" t="s">
        <v>5347</v>
      </c>
      <c r="I425" s="14" t="s">
        <v>5348</v>
      </c>
      <c r="J425" s="14" t="s">
        <v>52</v>
      </c>
      <c r="K425" s="23" t="s">
        <v>5244</v>
      </c>
      <c r="L425" s="14" t="s">
        <v>5349</v>
      </c>
      <c r="M425" s="14" t="s">
        <v>5350</v>
      </c>
      <c r="N425" s="14" t="s">
        <v>5351</v>
      </c>
      <c r="O425" s="14"/>
      <c r="P425" s="14" t="s">
        <v>5352</v>
      </c>
      <c r="Q425" s="14" t="s">
        <v>5353</v>
      </c>
      <c r="R425" s="14" t="s">
        <v>918</v>
      </c>
      <c r="S425" s="20" t="s">
        <v>324</v>
      </c>
      <c r="T425" s="17" t="s">
        <v>107</v>
      </c>
      <c r="U425" s="14" t="s">
        <v>5354</v>
      </c>
      <c r="V425" s="14" t="s">
        <v>109</v>
      </c>
      <c r="W425" s="18" t="s">
        <v>110</v>
      </c>
      <c r="X425" s="14" t="s">
        <v>5355</v>
      </c>
      <c r="Y425" s="14" t="s">
        <v>5244</v>
      </c>
      <c r="Z425" s="14" t="s">
        <v>107</v>
      </c>
      <c r="AA425" s="14" t="s">
        <v>107</v>
      </c>
      <c r="AB425" s="14" t="s">
        <v>921</v>
      </c>
      <c r="AC425" s="14" t="s">
        <v>113</v>
      </c>
      <c r="AD425" s="14" t="s">
        <v>114</v>
      </c>
    </row>
    <row r="426" customFormat="false" ht="78" hidden="false" customHeight="true" outlineLevel="0" collapsed="false">
      <c r="A426" s="14" t="s">
        <v>5356</v>
      </c>
      <c r="B426" s="14" t="s">
        <v>48</v>
      </c>
      <c r="C426" s="14" t="s">
        <v>5357</v>
      </c>
      <c r="D426" s="14" t="s">
        <v>298</v>
      </c>
      <c r="E426" s="14" t="s">
        <v>5266</v>
      </c>
      <c r="F426" s="15" t="s">
        <v>548</v>
      </c>
      <c r="G426" s="14" t="s">
        <v>1681</v>
      </c>
      <c r="H426" s="14" t="s">
        <v>5358</v>
      </c>
      <c r="I426" s="14" t="s">
        <v>5359</v>
      </c>
      <c r="J426" s="14" t="s">
        <v>551</v>
      </c>
      <c r="K426" s="23" t="s">
        <v>5244</v>
      </c>
      <c r="L426" s="14" t="s">
        <v>5360</v>
      </c>
      <c r="M426" s="14" t="s">
        <v>5361</v>
      </c>
      <c r="N426" s="14" t="s">
        <v>5362</v>
      </c>
      <c r="O426" s="14"/>
      <c r="P426" s="14" t="s">
        <v>5363</v>
      </c>
      <c r="Q426" s="14" t="s">
        <v>5364</v>
      </c>
      <c r="R426" s="14" t="s">
        <v>456</v>
      </c>
      <c r="S426" s="17" t="s">
        <v>107</v>
      </c>
      <c r="T426" s="17" t="s">
        <v>107</v>
      </c>
      <c r="U426" s="14" t="s">
        <v>5365</v>
      </c>
      <c r="V426" s="14" t="s">
        <v>109</v>
      </c>
      <c r="W426" s="21" t="s">
        <v>429</v>
      </c>
      <c r="X426" s="14" t="s">
        <v>5366</v>
      </c>
      <c r="Y426" s="14" t="s">
        <v>194</v>
      </c>
      <c r="Z426" s="14" t="s">
        <v>946</v>
      </c>
      <c r="AA426" s="14" t="s">
        <v>107</v>
      </c>
      <c r="AB426" s="14" t="s">
        <v>559</v>
      </c>
      <c r="AC426" s="14" t="s">
        <v>560</v>
      </c>
      <c r="AD426" s="14" t="s">
        <v>561</v>
      </c>
    </row>
    <row r="427" customFormat="false" ht="78" hidden="false" customHeight="true" outlineLevel="0" collapsed="false">
      <c r="A427" s="14" t="s">
        <v>5367</v>
      </c>
      <c r="B427" s="14" t="s">
        <v>44</v>
      </c>
      <c r="C427" s="14" t="s">
        <v>5368</v>
      </c>
      <c r="D427" s="14" t="s">
        <v>298</v>
      </c>
      <c r="E427" s="14" t="s">
        <v>5266</v>
      </c>
      <c r="F427" s="15" t="s">
        <v>548</v>
      </c>
      <c r="G427" s="14" t="s">
        <v>1681</v>
      </c>
      <c r="H427" s="14" t="s">
        <v>5369</v>
      </c>
      <c r="I427" s="14" t="s">
        <v>5370</v>
      </c>
      <c r="J427" s="14" t="s">
        <v>54</v>
      </c>
      <c r="K427" s="23" t="s">
        <v>5244</v>
      </c>
      <c r="L427" s="14" t="s">
        <v>5371</v>
      </c>
      <c r="M427" s="14" t="s">
        <v>5372</v>
      </c>
      <c r="N427" s="14" t="s">
        <v>5373</v>
      </c>
      <c r="O427" s="14"/>
      <c r="P427" s="14" t="s">
        <v>5374</v>
      </c>
      <c r="Q427" s="14" t="s">
        <v>5375</v>
      </c>
      <c r="R427" s="14" t="s">
        <v>4160</v>
      </c>
      <c r="S427" s="20" t="s">
        <v>324</v>
      </c>
      <c r="T427" s="20" t="s">
        <v>324</v>
      </c>
      <c r="U427" s="14" t="s">
        <v>5376</v>
      </c>
      <c r="V427" s="14" t="s">
        <v>5377</v>
      </c>
      <c r="W427" s="21" t="s">
        <v>429</v>
      </c>
      <c r="X427" s="14" t="s">
        <v>5378</v>
      </c>
      <c r="Y427" s="14" t="s">
        <v>5244</v>
      </c>
      <c r="Z427" s="14" t="s">
        <v>107</v>
      </c>
      <c r="AA427" s="14" t="s">
        <v>107</v>
      </c>
      <c r="AB427" s="14" t="s">
        <v>559</v>
      </c>
      <c r="AC427" s="14" t="s">
        <v>560</v>
      </c>
      <c r="AD427" s="14" t="s">
        <v>561</v>
      </c>
    </row>
    <row r="428" customFormat="false" ht="78" hidden="false" customHeight="true" outlineLevel="0" collapsed="false">
      <c r="A428" s="14" t="s">
        <v>5379</v>
      </c>
      <c r="B428" s="14" t="s">
        <v>43</v>
      </c>
      <c r="C428" s="14" t="s">
        <v>5380</v>
      </c>
      <c r="D428" s="14" t="s">
        <v>298</v>
      </c>
      <c r="E428" s="14" t="s">
        <v>313</v>
      </c>
      <c r="F428" s="15" t="s">
        <v>314</v>
      </c>
      <c r="G428" s="14" t="s">
        <v>315</v>
      </c>
      <c r="H428" s="14" t="s">
        <v>5381</v>
      </c>
      <c r="I428" s="14" t="s">
        <v>5382</v>
      </c>
      <c r="J428" s="14" t="s">
        <v>55</v>
      </c>
      <c r="K428" s="23" t="s">
        <v>5244</v>
      </c>
      <c r="L428" s="14" t="s">
        <v>5383</v>
      </c>
      <c r="M428" s="14" t="s">
        <v>5384</v>
      </c>
      <c r="N428" s="14" t="s">
        <v>5385</v>
      </c>
      <c r="O428" s="14"/>
      <c r="P428" s="14" t="s">
        <v>5386</v>
      </c>
      <c r="Q428" s="14" t="s">
        <v>5387</v>
      </c>
      <c r="R428" s="14" t="s">
        <v>336</v>
      </c>
      <c r="S428" s="20" t="s">
        <v>324</v>
      </c>
      <c r="T428" s="20" t="s">
        <v>324</v>
      </c>
      <c r="U428" s="14" t="s">
        <v>5388</v>
      </c>
      <c r="V428" s="14" t="s">
        <v>109</v>
      </c>
      <c r="W428" s="21" t="s">
        <v>429</v>
      </c>
      <c r="X428" s="14" t="s">
        <v>5389</v>
      </c>
      <c r="Y428" s="14" t="s">
        <v>1668</v>
      </c>
      <c r="Z428" s="14" t="s">
        <v>107</v>
      </c>
      <c r="AA428" s="14" t="s">
        <v>107</v>
      </c>
      <c r="AB428" s="14" t="s">
        <v>131</v>
      </c>
      <c r="AC428" s="14" t="s">
        <v>113</v>
      </c>
      <c r="AD428" s="14" t="s">
        <v>114</v>
      </c>
    </row>
    <row r="429" customFormat="false" ht="78" hidden="false" customHeight="true" outlineLevel="0" collapsed="false">
      <c r="A429" s="14" t="s">
        <v>5390</v>
      </c>
      <c r="B429" s="14" t="s">
        <v>43</v>
      </c>
      <c r="C429" s="14" t="s">
        <v>5391</v>
      </c>
      <c r="D429" s="14" t="s">
        <v>298</v>
      </c>
      <c r="E429" s="14" t="s">
        <v>1612</v>
      </c>
      <c r="F429" s="15" t="s">
        <v>1768</v>
      </c>
      <c r="G429" s="14" t="s">
        <v>285</v>
      </c>
      <c r="H429" s="14" t="s">
        <v>5392</v>
      </c>
      <c r="I429" s="14" t="s">
        <v>5393</v>
      </c>
      <c r="J429" s="14" t="s">
        <v>55</v>
      </c>
      <c r="K429" s="23" t="s">
        <v>5244</v>
      </c>
      <c r="L429" s="14" t="s">
        <v>5394</v>
      </c>
      <c r="M429" s="14" t="s">
        <v>5395</v>
      </c>
      <c r="N429" s="14" t="s">
        <v>5396</v>
      </c>
      <c r="O429" s="14"/>
      <c r="P429" s="14" t="s">
        <v>5397</v>
      </c>
      <c r="Q429" s="14" t="s">
        <v>5398</v>
      </c>
      <c r="R429" s="14" t="s">
        <v>1801</v>
      </c>
      <c r="S429" s="20" t="s">
        <v>324</v>
      </c>
      <c r="T429" s="17" t="s">
        <v>107</v>
      </c>
      <c r="U429" s="14" t="s">
        <v>5399</v>
      </c>
      <c r="V429" s="14" t="s">
        <v>109</v>
      </c>
      <c r="W429" s="18" t="s">
        <v>110</v>
      </c>
      <c r="X429" s="14" t="s">
        <v>5400</v>
      </c>
      <c r="Y429" s="14" t="s">
        <v>1668</v>
      </c>
      <c r="Z429" s="14" t="s">
        <v>107</v>
      </c>
      <c r="AA429" s="14" t="s">
        <v>107</v>
      </c>
      <c r="AB429" s="14" t="s">
        <v>131</v>
      </c>
      <c r="AC429" s="14" t="s">
        <v>113</v>
      </c>
      <c r="AD429" s="14" t="s">
        <v>114</v>
      </c>
    </row>
    <row r="430" customFormat="false" ht="78" hidden="false" customHeight="true" outlineLevel="0" collapsed="false">
      <c r="A430" s="14" t="s">
        <v>5401</v>
      </c>
      <c r="B430" s="14" t="s">
        <v>46</v>
      </c>
      <c r="C430" s="14" t="s">
        <v>5402</v>
      </c>
      <c r="D430" s="14" t="s">
        <v>38</v>
      </c>
      <c r="E430" s="14" t="s">
        <v>366</v>
      </c>
      <c r="F430" s="15" t="s">
        <v>367</v>
      </c>
      <c r="G430" s="14" t="s">
        <v>368</v>
      </c>
      <c r="H430" s="14" t="s">
        <v>5403</v>
      </c>
      <c r="I430" s="14" t="s">
        <v>5404</v>
      </c>
      <c r="J430" s="14" t="s">
        <v>51</v>
      </c>
      <c r="K430" s="23" t="s">
        <v>5244</v>
      </c>
      <c r="L430" s="14" t="s">
        <v>5405</v>
      </c>
      <c r="M430" s="14" t="s">
        <v>5406</v>
      </c>
      <c r="N430" s="14" t="s">
        <v>5407</v>
      </c>
      <c r="O430" s="14"/>
      <c r="P430" s="14" t="s">
        <v>5408</v>
      </c>
      <c r="Q430" s="14" t="s">
        <v>5409</v>
      </c>
      <c r="R430" s="14" t="s">
        <v>376</v>
      </c>
      <c r="S430" s="20" t="s">
        <v>324</v>
      </c>
      <c r="T430" s="20" t="s">
        <v>324</v>
      </c>
      <c r="U430" s="14" t="s">
        <v>5410</v>
      </c>
      <c r="V430" s="14" t="s">
        <v>109</v>
      </c>
      <c r="W430" s="21" t="s">
        <v>429</v>
      </c>
      <c r="X430" s="14" t="s">
        <v>5411</v>
      </c>
      <c r="Y430" s="14" t="s">
        <v>1668</v>
      </c>
      <c r="Z430" s="14" t="s">
        <v>107</v>
      </c>
      <c r="AA430" s="14" t="s">
        <v>107</v>
      </c>
      <c r="AB430" s="14" t="s">
        <v>112</v>
      </c>
      <c r="AC430" s="14" t="s">
        <v>113</v>
      </c>
      <c r="AD430" s="14" t="s">
        <v>114</v>
      </c>
    </row>
    <row r="431" customFormat="false" ht="78" hidden="false" customHeight="true" outlineLevel="0" collapsed="false">
      <c r="A431" s="14" t="s">
        <v>5412</v>
      </c>
      <c r="B431" s="14" t="s">
        <v>44</v>
      </c>
      <c r="C431" s="14" t="s">
        <v>5413</v>
      </c>
      <c r="D431" s="14" t="s">
        <v>38</v>
      </c>
      <c r="E431" s="14" t="s">
        <v>5414</v>
      </c>
      <c r="F431" s="15" t="s">
        <v>5415</v>
      </c>
      <c r="G431" s="14" t="s">
        <v>285</v>
      </c>
      <c r="H431" s="14" t="s">
        <v>5416</v>
      </c>
      <c r="I431" s="14" t="s">
        <v>5417</v>
      </c>
      <c r="J431" s="14" t="s">
        <v>53</v>
      </c>
      <c r="K431" s="23" t="s">
        <v>5244</v>
      </c>
      <c r="L431" s="14" t="s">
        <v>5418</v>
      </c>
      <c r="M431" s="14" t="s">
        <v>5419</v>
      </c>
      <c r="N431" s="14" t="s">
        <v>5420</v>
      </c>
      <c r="O431" s="14"/>
      <c r="P431" s="14" t="s">
        <v>5421</v>
      </c>
      <c r="Q431" s="14" t="s">
        <v>5422</v>
      </c>
      <c r="R431" s="14" t="s">
        <v>442</v>
      </c>
      <c r="S431" s="20" t="s">
        <v>324</v>
      </c>
      <c r="T431" s="17" t="s">
        <v>107</v>
      </c>
      <c r="U431" s="14" t="s">
        <v>5423</v>
      </c>
      <c r="V431" s="14" t="s">
        <v>109</v>
      </c>
      <c r="W431" s="21" t="s">
        <v>429</v>
      </c>
      <c r="X431" s="14" t="s">
        <v>5424</v>
      </c>
      <c r="Y431" s="14" t="s">
        <v>1668</v>
      </c>
      <c r="Z431" s="14" t="s">
        <v>107</v>
      </c>
      <c r="AA431" s="14" t="s">
        <v>107</v>
      </c>
      <c r="AB431" s="14" t="s">
        <v>112</v>
      </c>
      <c r="AC431" s="14" t="s">
        <v>113</v>
      </c>
      <c r="AD431" s="14" t="s">
        <v>114</v>
      </c>
    </row>
    <row r="432" customFormat="false" ht="78" hidden="false" customHeight="true" outlineLevel="0" collapsed="false">
      <c r="A432" s="14" t="s">
        <v>5425</v>
      </c>
      <c r="B432" s="14" t="s">
        <v>45</v>
      </c>
      <c r="C432" s="14" t="s">
        <v>5426</v>
      </c>
      <c r="D432" s="14" t="s">
        <v>38</v>
      </c>
      <c r="E432" s="14" t="s">
        <v>5427</v>
      </c>
      <c r="F432" s="15" t="s">
        <v>5428</v>
      </c>
      <c r="G432" s="14" t="s">
        <v>1857</v>
      </c>
      <c r="H432" s="14" t="s">
        <v>5429</v>
      </c>
      <c r="I432" s="14" t="s">
        <v>5430</v>
      </c>
      <c r="J432" s="14" t="s">
        <v>536</v>
      </c>
      <c r="K432" s="23" t="s">
        <v>5244</v>
      </c>
      <c r="L432" s="14" t="s">
        <v>5431</v>
      </c>
      <c r="M432" s="14" t="s">
        <v>5432</v>
      </c>
      <c r="N432" s="14" t="s">
        <v>5433</v>
      </c>
      <c r="O432" s="14"/>
      <c r="P432" s="14" t="s">
        <v>5434</v>
      </c>
      <c r="Q432" s="14" t="s">
        <v>5435</v>
      </c>
      <c r="R432" s="14" t="s">
        <v>918</v>
      </c>
      <c r="S432" s="20" t="s">
        <v>324</v>
      </c>
      <c r="T432" s="17" t="s">
        <v>107</v>
      </c>
      <c r="U432" s="14" t="s">
        <v>5436</v>
      </c>
      <c r="V432" s="14" t="s">
        <v>109</v>
      </c>
      <c r="W432" s="18" t="s">
        <v>110</v>
      </c>
      <c r="X432" s="14" t="s">
        <v>5437</v>
      </c>
      <c r="Y432" s="14" t="s">
        <v>1668</v>
      </c>
      <c r="Z432" s="14" t="s">
        <v>107</v>
      </c>
      <c r="AA432" s="14" t="s">
        <v>107</v>
      </c>
      <c r="AB432" s="14" t="s">
        <v>921</v>
      </c>
      <c r="AC432" s="14" t="s">
        <v>113</v>
      </c>
      <c r="AD432" s="14" t="s">
        <v>114</v>
      </c>
    </row>
    <row r="433" customFormat="false" ht="78" hidden="false" customHeight="true" outlineLevel="0" collapsed="false">
      <c r="A433" s="14" t="s">
        <v>5438</v>
      </c>
      <c r="B433" s="14" t="s">
        <v>45</v>
      </c>
      <c r="C433" s="14" t="s">
        <v>5439</v>
      </c>
      <c r="D433" s="14" t="s">
        <v>38</v>
      </c>
      <c r="E433" s="14" t="s">
        <v>5440</v>
      </c>
      <c r="F433" s="15" t="s">
        <v>5441</v>
      </c>
      <c r="G433" s="14" t="s">
        <v>1932</v>
      </c>
      <c r="H433" s="14" t="s">
        <v>5442</v>
      </c>
      <c r="I433" s="14" t="s">
        <v>5443</v>
      </c>
      <c r="J433" s="14" t="s">
        <v>1057</v>
      </c>
      <c r="K433" s="23" t="s">
        <v>5244</v>
      </c>
      <c r="L433" s="14" t="s">
        <v>5444</v>
      </c>
      <c r="M433" s="14" t="s">
        <v>5445</v>
      </c>
      <c r="N433" s="14" t="s">
        <v>5446</v>
      </c>
      <c r="O433" s="14"/>
      <c r="P433" s="14" t="s">
        <v>5447</v>
      </c>
      <c r="Q433" s="14" t="s">
        <v>5448</v>
      </c>
      <c r="R433" s="14" t="s">
        <v>1915</v>
      </c>
      <c r="S433" s="20" t="s">
        <v>324</v>
      </c>
      <c r="T433" s="17" t="s">
        <v>107</v>
      </c>
      <c r="U433" s="14" t="s">
        <v>5449</v>
      </c>
      <c r="V433" s="14" t="s">
        <v>109</v>
      </c>
      <c r="W433" s="18" t="s">
        <v>110</v>
      </c>
      <c r="X433" s="14" t="s">
        <v>5450</v>
      </c>
      <c r="Y433" s="14" t="s">
        <v>5244</v>
      </c>
      <c r="Z433" s="14" t="s">
        <v>107</v>
      </c>
      <c r="AA433" s="14" t="s">
        <v>107</v>
      </c>
      <c r="AB433" s="14" t="s">
        <v>921</v>
      </c>
      <c r="AC433" s="14" t="s">
        <v>113</v>
      </c>
      <c r="AD433" s="14" t="s">
        <v>114</v>
      </c>
    </row>
    <row r="434" customFormat="false" ht="78" hidden="false" customHeight="true" outlineLevel="0" collapsed="false">
      <c r="A434" s="14" t="s">
        <v>5451</v>
      </c>
      <c r="B434" s="14" t="s">
        <v>45</v>
      </c>
      <c r="C434" s="14" t="s">
        <v>5452</v>
      </c>
      <c r="D434" s="14" t="s">
        <v>38</v>
      </c>
      <c r="E434" s="14" t="s">
        <v>647</v>
      </c>
      <c r="F434" s="15" t="s">
        <v>648</v>
      </c>
      <c r="G434" s="14" t="s">
        <v>533</v>
      </c>
      <c r="H434" s="14" t="s">
        <v>5453</v>
      </c>
      <c r="I434" s="14" t="s">
        <v>5454</v>
      </c>
      <c r="J434" s="14" t="s">
        <v>56</v>
      </c>
      <c r="K434" s="23" t="s">
        <v>5244</v>
      </c>
      <c r="L434" s="14" t="s">
        <v>5455</v>
      </c>
      <c r="M434" s="14" t="s">
        <v>5456</v>
      </c>
      <c r="N434" s="14" t="s">
        <v>5457</v>
      </c>
      <c r="O434" s="14"/>
      <c r="P434" s="14" t="s">
        <v>5458</v>
      </c>
      <c r="Q434" s="14" t="s">
        <v>5459</v>
      </c>
      <c r="R434" s="14" t="s">
        <v>918</v>
      </c>
      <c r="S434" s="20" t="s">
        <v>324</v>
      </c>
      <c r="T434" s="17" t="s">
        <v>107</v>
      </c>
      <c r="U434" s="14" t="s">
        <v>5460</v>
      </c>
      <c r="V434" s="14" t="s">
        <v>109</v>
      </c>
      <c r="W434" s="18" t="s">
        <v>110</v>
      </c>
      <c r="X434" s="14" t="s">
        <v>5461</v>
      </c>
      <c r="Y434" s="14" t="s">
        <v>1668</v>
      </c>
      <c r="Z434" s="14" t="s">
        <v>107</v>
      </c>
      <c r="AA434" s="14" t="s">
        <v>107</v>
      </c>
      <c r="AB434" s="14" t="s">
        <v>921</v>
      </c>
      <c r="AC434" s="14" t="s">
        <v>113</v>
      </c>
      <c r="AD434" s="14" t="s">
        <v>114</v>
      </c>
    </row>
    <row r="435" customFormat="false" ht="78" hidden="false" customHeight="true" outlineLevel="0" collapsed="false">
      <c r="A435" s="14" t="s">
        <v>5462</v>
      </c>
      <c r="B435" s="14" t="s">
        <v>45</v>
      </c>
      <c r="C435" s="14" t="s">
        <v>5463</v>
      </c>
      <c r="D435" s="14" t="s">
        <v>38</v>
      </c>
      <c r="E435" s="14" t="s">
        <v>5464</v>
      </c>
      <c r="F435" s="15" t="s">
        <v>1894</v>
      </c>
      <c r="G435" s="14" t="s">
        <v>1895</v>
      </c>
      <c r="H435" s="14" t="s">
        <v>5465</v>
      </c>
      <c r="I435" s="14" t="s">
        <v>5466</v>
      </c>
      <c r="J435" s="14" t="s">
        <v>52</v>
      </c>
      <c r="K435" s="23" t="s">
        <v>5244</v>
      </c>
      <c r="L435" s="14" t="s">
        <v>5467</v>
      </c>
      <c r="M435" s="14" t="s">
        <v>5468</v>
      </c>
      <c r="N435" s="14" t="s">
        <v>5469</v>
      </c>
      <c r="O435" s="14"/>
      <c r="P435" s="14" t="s">
        <v>5470</v>
      </c>
      <c r="Q435" s="14" t="s">
        <v>5471</v>
      </c>
      <c r="R435" s="14" t="s">
        <v>1915</v>
      </c>
      <c r="S435" s="20" t="s">
        <v>324</v>
      </c>
      <c r="T435" s="17" t="s">
        <v>107</v>
      </c>
      <c r="U435" s="14" t="s">
        <v>5472</v>
      </c>
      <c r="V435" s="14" t="s">
        <v>109</v>
      </c>
      <c r="W435" s="18" t="s">
        <v>110</v>
      </c>
      <c r="X435" s="14" t="s">
        <v>5473</v>
      </c>
      <c r="Y435" s="14" t="s">
        <v>5244</v>
      </c>
      <c r="Z435" s="14" t="s">
        <v>107</v>
      </c>
      <c r="AA435" s="14" t="s">
        <v>107</v>
      </c>
      <c r="AB435" s="14" t="s">
        <v>921</v>
      </c>
      <c r="AC435" s="14" t="s">
        <v>113</v>
      </c>
      <c r="AD435" s="14" t="s">
        <v>114</v>
      </c>
    </row>
    <row r="436" customFormat="false" ht="78" hidden="false" customHeight="true" outlineLevel="0" collapsed="false">
      <c r="A436" s="14" t="s">
        <v>5474</v>
      </c>
      <c r="B436" s="14" t="s">
        <v>47</v>
      </c>
      <c r="C436" s="14" t="s">
        <v>5475</v>
      </c>
      <c r="D436" s="14" t="s">
        <v>38</v>
      </c>
      <c r="E436" s="14" t="s">
        <v>5476</v>
      </c>
      <c r="F436" s="15" t="s">
        <v>548</v>
      </c>
      <c r="G436" s="14" t="s">
        <v>1932</v>
      </c>
      <c r="H436" s="14" t="s">
        <v>5477</v>
      </c>
      <c r="I436" s="14" t="s">
        <v>5478</v>
      </c>
      <c r="J436" s="14" t="s">
        <v>52</v>
      </c>
      <c r="K436" s="23" t="s">
        <v>5244</v>
      </c>
      <c r="L436" s="14" t="s">
        <v>5479</v>
      </c>
      <c r="M436" s="14" t="s">
        <v>5480</v>
      </c>
      <c r="N436" s="14" t="s">
        <v>5481</v>
      </c>
      <c r="O436" s="14"/>
      <c r="P436" s="14" t="s">
        <v>5482</v>
      </c>
      <c r="Q436" s="14" t="s">
        <v>5483</v>
      </c>
      <c r="R436" s="14" t="s">
        <v>2016</v>
      </c>
      <c r="S436" s="20" t="s">
        <v>324</v>
      </c>
      <c r="T436" s="17" t="s">
        <v>107</v>
      </c>
      <c r="U436" s="14" t="s">
        <v>5484</v>
      </c>
      <c r="V436" s="14" t="s">
        <v>109</v>
      </c>
      <c r="W436" s="21" t="s">
        <v>429</v>
      </c>
      <c r="X436" s="14" t="s">
        <v>5485</v>
      </c>
      <c r="Y436" s="14" t="s">
        <v>1668</v>
      </c>
      <c r="Z436" s="14" t="s">
        <v>107</v>
      </c>
      <c r="AA436" s="14" t="s">
        <v>946</v>
      </c>
      <c r="AB436" s="14" t="s">
        <v>2204</v>
      </c>
      <c r="AC436" s="14" t="s">
        <v>113</v>
      </c>
      <c r="AD436" s="14" t="s">
        <v>114</v>
      </c>
    </row>
    <row r="437" customFormat="false" ht="78" hidden="false" customHeight="true" outlineLevel="0" collapsed="false">
      <c r="A437" s="14" t="s">
        <v>5486</v>
      </c>
      <c r="B437" s="14" t="s">
        <v>47</v>
      </c>
      <c r="C437" s="14" t="s">
        <v>5487</v>
      </c>
      <c r="D437" s="14" t="s">
        <v>38</v>
      </c>
      <c r="E437" s="14" t="s">
        <v>381</v>
      </c>
      <c r="F437" s="15" t="s">
        <v>382</v>
      </c>
      <c r="G437" s="14" t="s">
        <v>383</v>
      </c>
      <c r="H437" s="14" t="s">
        <v>5488</v>
      </c>
      <c r="I437" s="14" t="s">
        <v>5489</v>
      </c>
      <c r="J437" s="14" t="s">
        <v>52</v>
      </c>
      <c r="K437" s="23" t="s">
        <v>5244</v>
      </c>
      <c r="L437" s="14" t="s">
        <v>5490</v>
      </c>
      <c r="M437" s="14" t="s">
        <v>5491</v>
      </c>
      <c r="N437" s="14" t="s">
        <v>5492</v>
      </c>
      <c r="O437" s="14"/>
      <c r="P437" s="14" t="s">
        <v>5493</v>
      </c>
      <c r="Q437" s="14" t="s">
        <v>5494</v>
      </c>
      <c r="R437" s="14" t="s">
        <v>2016</v>
      </c>
      <c r="S437" s="20" t="s">
        <v>324</v>
      </c>
      <c r="T437" s="17" t="s">
        <v>107</v>
      </c>
      <c r="U437" s="14" t="s">
        <v>5495</v>
      </c>
      <c r="V437" s="14" t="s">
        <v>109</v>
      </c>
      <c r="W437" s="18" t="s">
        <v>110</v>
      </c>
      <c r="X437" s="14" t="s">
        <v>5496</v>
      </c>
      <c r="Y437" s="14" t="s">
        <v>5244</v>
      </c>
      <c r="Z437" s="14" t="s">
        <v>107</v>
      </c>
      <c r="AA437" s="14" t="s">
        <v>107</v>
      </c>
      <c r="AB437" s="14" t="s">
        <v>2204</v>
      </c>
      <c r="AC437" s="14" t="s">
        <v>113</v>
      </c>
      <c r="AD437" s="14" t="s">
        <v>114</v>
      </c>
    </row>
    <row r="438" customFormat="false" ht="78" hidden="false" customHeight="true" outlineLevel="0" collapsed="false">
      <c r="A438" s="14" t="s">
        <v>5497</v>
      </c>
      <c r="B438" s="14" t="s">
        <v>48</v>
      </c>
      <c r="C438" s="14" t="s">
        <v>5498</v>
      </c>
      <c r="D438" s="14" t="s">
        <v>38</v>
      </c>
      <c r="E438" s="14" t="s">
        <v>5499</v>
      </c>
      <c r="F438" s="15" t="s">
        <v>382</v>
      </c>
      <c r="G438" s="14" t="s">
        <v>383</v>
      </c>
      <c r="H438" s="14" t="s">
        <v>5500</v>
      </c>
      <c r="I438" s="14" t="s">
        <v>5501</v>
      </c>
      <c r="J438" s="14" t="s">
        <v>202</v>
      </c>
      <c r="K438" s="23" t="s">
        <v>5244</v>
      </c>
      <c r="L438" s="14" t="s">
        <v>5502</v>
      </c>
      <c r="M438" s="14" t="s">
        <v>5503</v>
      </c>
      <c r="N438" s="14" t="s">
        <v>5504</v>
      </c>
      <c r="O438" s="14"/>
      <c r="P438" s="14" t="s">
        <v>5505</v>
      </c>
      <c r="Q438" s="14" t="s">
        <v>5506</v>
      </c>
      <c r="R438" s="14" t="s">
        <v>4160</v>
      </c>
      <c r="S438" s="20" t="s">
        <v>324</v>
      </c>
      <c r="T438" s="20" t="s">
        <v>324</v>
      </c>
      <c r="U438" s="14" t="s">
        <v>5507</v>
      </c>
      <c r="V438" s="14" t="s">
        <v>109</v>
      </c>
      <c r="W438" s="21" t="s">
        <v>429</v>
      </c>
      <c r="X438" s="14" t="s">
        <v>5508</v>
      </c>
      <c r="Y438" s="14" t="s">
        <v>1668</v>
      </c>
      <c r="Z438" s="14" t="s">
        <v>107</v>
      </c>
      <c r="AA438" s="14" t="s">
        <v>107</v>
      </c>
      <c r="AB438" s="14" t="s">
        <v>559</v>
      </c>
      <c r="AC438" s="14" t="s">
        <v>113</v>
      </c>
      <c r="AD438" s="14" t="s">
        <v>114</v>
      </c>
    </row>
    <row r="439" customFormat="false" ht="78" hidden="false" customHeight="true" outlineLevel="0" collapsed="false">
      <c r="A439" s="14" t="s">
        <v>5509</v>
      </c>
      <c r="B439" s="14" t="s">
        <v>44</v>
      </c>
      <c r="C439" s="14" t="s">
        <v>5510</v>
      </c>
      <c r="D439" s="14" t="s">
        <v>93</v>
      </c>
      <c r="E439" s="14" t="s">
        <v>5511</v>
      </c>
      <c r="F439" s="15" t="s">
        <v>5512</v>
      </c>
      <c r="G439" s="14" t="s">
        <v>285</v>
      </c>
      <c r="H439" s="14" t="s">
        <v>5513</v>
      </c>
      <c r="I439" s="14" t="s">
        <v>5514</v>
      </c>
      <c r="J439" s="14" t="s">
        <v>53</v>
      </c>
      <c r="K439" s="23" t="s">
        <v>5244</v>
      </c>
      <c r="L439" s="14" t="s">
        <v>5515</v>
      </c>
      <c r="M439" s="14" t="s">
        <v>5516</v>
      </c>
      <c r="N439" s="14" t="s">
        <v>5517</v>
      </c>
      <c r="O439" s="14"/>
      <c r="P439" s="14" t="s">
        <v>5518</v>
      </c>
      <c r="Q439" s="14" t="s">
        <v>5519</v>
      </c>
      <c r="R439" s="14" t="s">
        <v>918</v>
      </c>
      <c r="S439" s="20" t="s">
        <v>324</v>
      </c>
      <c r="T439" s="17" t="s">
        <v>107</v>
      </c>
      <c r="U439" s="14" t="s">
        <v>5520</v>
      </c>
      <c r="V439" s="14" t="s">
        <v>109</v>
      </c>
      <c r="W439" s="18" t="s">
        <v>110</v>
      </c>
      <c r="X439" s="14" t="s">
        <v>5521</v>
      </c>
      <c r="Y439" s="14" t="s">
        <v>5244</v>
      </c>
      <c r="Z439" s="14" t="s">
        <v>107</v>
      </c>
      <c r="AA439" s="14" t="s">
        <v>107</v>
      </c>
      <c r="AB439" s="14" t="s">
        <v>112</v>
      </c>
      <c r="AC439" s="14" t="s">
        <v>113</v>
      </c>
      <c r="AD439" s="14" t="s">
        <v>114</v>
      </c>
    </row>
    <row r="440" customFormat="false" ht="78" hidden="false" customHeight="true" outlineLevel="0" collapsed="false">
      <c r="A440" s="14" t="s">
        <v>5522</v>
      </c>
      <c r="B440" s="14" t="s">
        <v>44</v>
      </c>
      <c r="C440" s="14" t="s">
        <v>5523</v>
      </c>
      <c r="D440" s="14" t="s">
        <v>93</v>
      </c>
      <c r="E440" s="14" t="s">
        <v>1540</v>
      </c>
      <c r="F440" s="15" t="s">
        <v>1541</v>
      </c>
      <c r="G440" s="14" t="s">
        <v>5524</v>
      </c>
      <c r="H440" s="14" t="s">
        <v>5525</v>
      </c>
      <c r="I440" s="14" t="s">
        <v>5526</v>
      </c>
      <c r="J440" s="14" t="s">
        <v>202</v>
      </c>
      <c r="K440" s="23" t="s">
        <v>5244</v>
      </c>
      <c r="L440" s="14" t="s">
        <v>5527</v>
      </c>
      <c r="M440" s="14" t="s">
        <v>5528</v>
      </c>
      <c r="N440" s="14" t="s">
        <v>5529</v>
      </c>
      <c r="O440" s="14"/>
      <c r="P440" s="14" t="s">
        <v>5530</v>
      </c>
      <c r="Q440" s="14" t="s">
        <v>5531</v>
      </c>
      <c r="R440" s="14" t="s">
        <v>1877</v>
      </c>
      <c r="S440" s="20" t="s">
        <v>324</v>
      </c>
      <c r="T440" s="17" t="s">
        <v>107</v>
      </c>
      <c r="U440" s="14" t="s">
        <v>5532</v>
      </c>
      <c r="V440" s="14" t="s">
        <v>109</v>
      </c>
      <c r="W440" s="21" t="s">
        <v>429</v>
      </c>
      <c r="X440" s="14" t="s">
        <v>5533</v>
      </c>
      <c r="Y440" s="14" t="s">
        <v>1668</v>
      </c>
      <c r="Z440" s="14" t="s">
        <v>107</v>
      </c>
      <c r="AA440" s="14" t="s">
        <v>107</v>
      </c>
      <c r="AB440" s="14" t="s">
        <v>112</v>
      </c>
      <c r="AC440" s="14" t="s">
        <v>113</v>
      </c>
      <c r="AD440" s="14" t="s">
        <v>114</v>
      </c>
    </row>
    <row r="441" customFormat="false" ht="78" hidden="false" customHeight="true" outlineLevel="0" collapsed="false">
      <c r="A441" s="14" t="s">
        <v>5534</v>
      </c>
      <c r="B441" s="14" t="s">
        <v>45</v>
      </c>
      <c r="C441" s="14" t="s">
        <v>5535</v>
      </c>
      <c r="D441" s="14" t="s">
        <v>93</v>
      </c>
      <c r="E441" s="14" t="s">
        <v>94</v>
      </c>
      <c r="F441" s="15" t="s">
        <v>95</v>
      </c>
      <c r="G441" s="14" t="s">
        <v>96</v>
      </c>
      <c r="H441" s="14" t="s">
        <v>5536</v>
      </c>
      <c r="I441" s="14" t="s">
        <v>5537</v>
      </c>
      <c r="J441" s="14" t="s">
        <v>1057</v>
      </c>
      <c r="K441" s="23" t="s">
        <v>5244</v>
      </c>
      <c r="L441" s="14" t="s">
        <v>5538</v>
      </c>
      <c r="M441" s="14" t="s">
        <v>5539</v>
      </c>
      <c r="N441" s="14" t="s">
        <v>5540</v>
      </c>
      <c r="O441" s="14"/>
      <c r="P441" s="14" t="s">
        <v>5541</v>
      </c>
      <c r="Q441" s="14" t="s">
        <v>5542</v>
      </c>
      <c r="R441" s="14" t="s">
        <v>2016</v>
      </c>
      <c r="S441" s="20" t="s">
        <v>324</v>
      </c>
      <c r="T441" s="17" t="s">
        <v>107</v>
      </c>
      <c r="U441" s="14" t="s">
        <v>5543</v>
      </c>
      <c r="V441" s="14" t="s">
        <v>109</v>
      </c>
      <c r="W441" s="18" t="s">
        <v>110</v>
      </c>
      <c r="X441" s="14" t="s">
        <v>5544</v>
      </c>
      <c r="Y441" s="14" t="s">
        <v>5244</v>
      </c>
      <c r="Z441" s="14" t="s">
        <v>107</v>
      </c>
      <c r="AA441" s="14" t="s">
        <v>107</v>
      </c>
      <c r="AB441" s="14" t="s">
        <v>921</v>
      </c>
      <c r="AC441" s="14" t="s">
        <v>113</v>
      </c>
      <c r="AD441" s="14" t="s">
        <v>114</v>
      </c>
    </row>
    <row r="442" customFormat="false" ht="78" hidden="false" customHeight="true" outlineLevel="0" collapsed="false">
      <c r="A442" s="14" t="s">
        <v>5545</v>
      </c>
      <c r="B442" s="14" t="s">
        <v>45</v>
      </c>
      <c r="C442" s="14" t="s">
        <v>5546</v>
      </c>
      <c r="D442" s="14" t="s">
        <v>93</v>
      </c>
      <c r="E442" s="14" t="s">
        <v>5547</v>
      </c>
      <c r="F442" s="15" t="s">
        <v>95</v>
      </c>
      <c r="G442" s="14" t="s">
        <v>96</v>
      </c>
      <c r="H442" s="14" t="s">
        <v>5548</v>
      </c>
      <c r="I442" s="14" t="s">
        <v>5549</v>
      </c>
      <c r="J442" s="14" t="s">
        <v>52</v>
      </c>
      <c r="K442" s="23" t="s">
        <v>5244</v>
      </c>
      <c r="L442" s="14" t="s">
        <v>5550</v>
      </c>
      <c r="M442" s="14" t="s">
        <v>5551</v>
      </c>
      <c r="N442" s="14" t="s">
        <v>5552</v>
      </c>
      <c r="O442" s="14"/>
      <c r="P442" s="14" t="s">
        <v>5553</v>
      </c>
      <c r="Q442" s="14" t="s">
        <v>5554</v>
      </c>
      <c r="R442" s="14" t="s">
        <v>2043</v>
      </c>
      <c r="S442" s="20" t="s">
        <v>324</v>
      </c>
      <c r="T442" s="17" t="s">
        <v>107</v>
      </c>
      <c r="U442" s="14" t="s">
        <v>5555</v>
      </c>
      <c r="V442" s="14" t="s">
        <v>109</v>
      </c>
      <c r="W442" s="21" t="s">
        <v>429</v>
      </c>
      <c r="X442" s="14" t="s">
        <v>5556</v>
      </c>
      <c r="Y442" s="14" t="s">
        <v>1668</v>
      </c>
      <c r="Z442" s="14" t="s">
        <v>107</v>
      </c>
      <c r="AA442" s="14" t="s">
        <v>107</v>
      </c>
      <c r="AB442" s="14" t="s">
        <v>921</v>
      </c>
      <c r="AC442" s="14" t="s">
        <v>113</v>
      </c>
      <c r="AD442" s="14" t="s">
        <v>114</v>
      </c>
    </row>
    <row r="443" customFormat="false" ht="78" hidden="false" customHeight="true" outlineLevel="0" collapsed="false">
      <c r="A443" s="14" t="s">
        <v>5557</v>
      </c>
      <c r="B443" s="14" t="s">
        <v>45</v>
      </c>
      <c r="C443" s="14" t="s">
        <v>5558</v>
      </c>
      <c r="D443" s="14" t="s">
        <v>93</v>
      </c>
      <c r="E443" s="14" t="s">
        <v>5559</v>
      </c>
      <c r="F443" s="15" t="s">
        <v>5560</v>
      </c>
      <c r="G443" s="14" t="s">
        <v>502</v>
      </c>
      <c r="H443" s="14" t="s">
        <v>5561</v>
      </c>
      <c r="I443" s="14" t="s">
        <v>5562</v>
      </c>
      <c r="J443" s="14" t="s">
        <v>1057</v>
      </c>
      <c r="K443" s="23" t="s">
        <v>5244</v>
      </c>
      <c r="L443" s="14" t="s">
        <v>5563</v>
      </c>
      <c r="M443" s="14" t="s">
        <v>5564</v>
      </c>
      <c r="N443" s="14" t="s">
        <v>5565</v>
      </c>
      <c r="O443" s="14"/>
      <c r="P443" s="14" t="s">
        <v>5566</v>
      </c>
      <c r="Q443" s="14" t="s">
        <v>5567</v>
      </c>
      <c r="R443" s="14" t="s">
        <v>526</v>
      </c>
      <c r="S443" s="20" t="s">
        <v>324</v>
      </c>
      <c r="T443" s="17" t="s">
        <v>107</v>
      </c>
      <c r="U443" s="14" t="s">
        <v>5568</v>
      </c>
      <c r="V443" s="14" t="s">
        <v>109</v>
      </c>
      <c r="W443" s="18" t="s">
        <v>110</v>
      </c>
      <c r="X443" s="14" t="s">
        <v>5569</v>
      </c>
      <c r="Y443" s="14" t="s">
        <v>5244</v>
      </c>
      <c r="Z443" s="14" t="s">
        <v>107</v>
      </c>
      <c r="AA443" s="14" t="s">
        <v>107</v>
      </c>
      <c r="AB443" s="14" t="s">
        <v>921</v>
      </c>
      <c r="AC443" s="14" t="s">
        <v>113</v>
      </c>
      <c r="AD443" s="14" t="s">
        <v>114</v>
      </c>
    </row>
    <row r="444" customFormat="false" ht="78" hidden="false" customHeight="true" outlineLevel="0" collapsed="false">
      <c r="A444" s="14" t="s">
        <v>5570</v>
      </c>
      <c r="B444" s="14" t="s">
        <v>45</v>
      </c>
      <c r="C444" s="14" t="s">
        <v>5571</v>
      </c>
      <c r="D444" s="14" t="s">
        <v>93</v>
      </c>
      <c r="E444" s="14" t="s">
        <v>5572</v>
      </c>
      <c r="F444" s="15" t="s">
        <v>5573</v>
      </c>
      <c r="G444" s="14" t="s">
        <v>168</v>
      </c>
      <c r="H444" s="14" t="s">
        <v>5574</v>
      </c>
      <c r="I444" s="14" t="s">
        <v>5575</v>
      </c>
      <c r="J444" s="14" t="s">
        <v>53</v>
      </c>
      <c r="K444" s="23" t="s">
        <v>5244</v>
      </c>
      <c r="L444" s="14" t="s">
        <v>5576</v>
      </c>
      <c r="M444" s="14" t="s">
        <v>5577</v>
      </c>
      <c r="N444" s="14" t="s">
        <v>5578</v>
      </c>
      <c r="O444" s="14"/>
      <c r="P444" s="14" t="s">
        <v>5579</v>
      </c>
      <c r="Q444" s="14" t="s">
        <v>5580</v>
      </c>
      <c r="R444" s="14" t="s">
        <v>918</v>
      </c>
      <c r="S444" s="20" t="s">
        <v>324</v>
      </c>
      <c r="T444" s="17" t="s">
        <v>107</v>
      </c>
      <c r="U444" s="14" t="s">
        <v>5581</v>
      </c>
      <c r="V444" s="14" t="s">
        <v>109</v>
      </c>
      <c r="W444" s="18" t="s">
        <v>110</v>
      </c>
      <c r="X444" s="14" t="s">
        <v>5582</v>
      </c>
      <c r="Y444" s="14" t="s">
        <v>5244</v>
      </c>
      <c r="Z444" s="14" t="s">
        <v>107</v>
      </c>
      <c r="AA444" s="14" t="s">
        <v>107</v>
      </c>
      <c r="AB444" s="14" t="s">
        <v>921</v>
      </c>
      <c r="AC444" s="14" t="s">
        <v>113</v>
      </c>
      <c r="AD444" s="14" t="s">
        <v>114</v>
      </c>
    </row>
    <row r="445" customFormat="false" ht="78" hidden="false" customHeight="true" outlineLevel="0" collapsed="false">
      <c r="A445" s="14" t="s">
        <v>5583</v>
      </c>
      <c r="B445" s="14" t="s">
        <v>47</v>
      </c>
      <c r="C445" s="14" t="s">
        <v>5584</v>
      </c>
      <c r="D445" s="14" t="s">
        <v>93</v>
      </c>
      <c r="E445" s="14" t="s">
        <v>94</v>
      </c>
      <c r="F445" s="15" t="s">
        <v>95</v>
      </c>
      <c r="G445" s="14" t="s">
        <v>96</v>
      </c>
      <c r="H445" s="14" t="s">
        <v>5585</v>
      </c>
      <c r="I445" s="14" t="s">
        <v>5586</v>
      </c>
      <c r="J445" s="14" t="s">
        <v>52</v>
      </c>
      <c r="K445" s="23" t="s">
        <v>5244</v>
      </c>
      <c r="L445" s="14" t="s">
        <v>5587</v>
      </c>
      <c r="M445" s="14" t="s">
        <v>5588</v>
      </c>
      <c r="N445" s="14" t="s">
        <v>5589</v>
      </c>
      <c r="O445" s="14"/>
      <c r="P445" s="14" t="s">
        <v>5590</v>
      </c>
      <c r="Q445" s="14" t="s">
        <v>5591</v>
      </c>
      <c r="R445" s="14" t="s">
        <v>2016</v>
      </c>
      <c r="S445" s="20" t="s">
        <v>324</v>
      </c>
      <c r="T445" s="17" t="s">
        <v>107</v>
      </c>
      <c r="U445" s="14" t="s">
        <v>5592</v>
      </c>
      <c r="V445" s="14" t="s">
        <v>109</v>
      </c>
      <c r="W445" s="21" t="s">
        <v>429</v>
      </c>
      <c r="X445" s="14" t="s">
        <v>5593</v>
      </c>
      <c r="Y445" s="14" t="s">
        <v>1668</v>
      </c>
      <c r="Z445" s="14" t="s">
        <v>107</v>
      </c>
      <c r="AA445" s="14" t="s">
        <v>107</v>
      </c>
      <c r="AB445" s="14" t="s">
        <v>2204</v>
      </c>
      <c r="AC445" s="14" t="s">
        <v>113</v>
      </c>
      <c r="AD445" s="14" t="s">
        <v>114</v>
      </c>
    </row>
    <row r="446" customFormat="false" ht="78" hidden="false" customHeight="true" outlineLevel="0" collapsed="false">
      <c r="A446" s="14" t="s">
        <v>5594</v>
      </c>
      <c r="B446" s="14" t="s">
        <v>47</v>
      </c>
      <c r="C446" s="14" t="s">
        <v>5595</v>
      </c>
      <c r="D446" s="14" t="s">
        <v>93</v>
      </c>
      <c r="E446" s="14" t="s">
        <v>5596</v>
      </c>
      <c r="F446" s="15" t="s">
        <v>5597</v>
      </c>
      <c r="G446" s="14" t="s">
        <v>96</v>
      </c>
      <c r="H446" s="14" t="s">
        <v>5598</v>
      </c>
      <c r="I446" s="14" t="s">
        <v>5599</v>
      </c>
      <c r="J446" s="14" t="s">
        <v>52</v>
      </c>
      <c r="K446" s="23" t="s">
        <v>5244</v>
      </c>
      <c r="L446" s="14" t="s">
        <v>5600</v>
      </c>
      <c r="M446" s="14" t="s">
        <v>5601</v>
      </c>
      <c r="N446" s="14" t="s">
        <v>5602</v>
      </c>
      <c r="O446" s="14"/>
      <c r="P446" s="14" t="s">
        <v>5603</v>
      </c>
      <c r="Q446" s="14" t="s">
        <v>5604</v>
      </c>
      <c r="R446" s="14" t="s">
        <v>2016</v>
      </c>
      <c r="S446" s="20" t="s">
        <v>324</v>
      </c>
      <c r="T446" s="17" t="s">
        <v>107</v>
      </c>
      <c r="U446" s="14" t="s">
        <v>5605</v>
      </c>
      <c r="V446" s="14" t="s">
        <v>109</v>
      </c>
      <c r="W446" s="21" t="s">
        <v>429</v>
      </c>
      <c r="X446" s="14" t="s">
        <v>5606</v>
      </c>
      <c r="Y446" s="14" t="s">
        <v>5244</v>
      </c>
      <c r="Z446" s="14" t="s">
        <v>107</v>
      </c>
      <c r="AA446" s="14" t="s">
        <v>107</v>
      </c>
      <c r="AB446" s="14" t="s">
        <v>2204</v>
      </c>
      <c r="AC446" s="14" t="s">
        <v>113</v>
      </c>
      <c r="AD446" s="14" t="s">
        <v>114</v>
      </c>
    </row>
    <row r="447" customFormat="false" ht="78" hidden="false" customHeight="true" outlineLevel="0" collapsed="false">
      <c r="A447" s="14" t="s">
        <v>5607</v>
      </c>
      <c r="B447" s="14" t="s">
        <v>44</v>
      </c>
      <c r="C447" s="14" t="s">
        <v>5608</v>
      </c>
      <c r="D447" s="14" t="s">
        <v>117</v>
      </c>
      <c r="E447" s="14" t="s">
        <v>5609</v>
      </c>
      <c r="F447" s="15" t="s">
        <v>1599</v>
      </c>
      <c r="G447" s="14" t="s">
        <v>533</v>
      </c>
      <c r="H447" s="14" t="s">
        <v>5610</v>
      </c>
      <c r="I447" s="14" t="s">
        <v>5611</v>
      </c>
      <c r="J447" s="14" t="s">
        <v>56</v>
      </c>
      <c r="K447" s="23" t="s">
        <v>5244</v>
      </c>
      <c r="L447" s="14" t="s">
        <v>5612</v>
      </c>
      <c r="M447" s="14" t="s">
        <v>5613</v>
      </c>
      <c r="N447" s="14" t="s">
        <v>5614</v>
      </c>
      <c r="O447" s="14"/>
      <c r="P447" s="14" t="s">
        <v>5615</v>
      </c>
      <c r="Q447" s="14" t="s">
        <v>5616</v>
      </c>
      <c r="R447" s="14" t="s">
        <v>1877</v>
      </c>
      <c r="S447" s="20" t="s">
        <v>324</v>
      </c>
      <c r="T447" s="17" t="s">
        <v>107</v>
      </c>
      <c r="U447" s="14" t="s">
        <v>5617</v>
      </c>
      <c r="V447" s="14" t="s">
        <v>109</v>
      </c>
      <c r="W447" s="18" t="s">
        <v>110</v>
      </c>
      <c r="X447" s="14" t="s">
        <v>5618</v>
      </c>
      <c r="Y447" s="14" t="s">
        <v>1668</v>
      </c>
      <c r="Z447" s="14" t="s">
        <v>946</v>
      </c>
      <c r="AA447" s="14" t="s">
        <v>107</v>
      </c>
      <c r="AB447" s="14" t="s">
        <v>112</v>
      </c>
      <c r="AC447" s="14" t="s">
        <v>1314</v>
      </c>
      <c r="AD447" s="14" t="s">
        <v>1315</v>
      </c>
    </row>
    <row r="448" customFormat="false" ht="78" hidden="false" customHeight="true" outlineLevel="0" collapsed="false">
      <c r="A448" s="14" t="s">
        <v>5619</v>
      </c>
      <c r="B448" s="14" t="s">
        <v>44</v>
      </c>
      <c r="C448" s="14" t="s">
        <v>5620</v>
      </c>
      <c r="D448" s="14" t="s">
        <v>117</v>
      </c>
      <c r="E448" s="14" t="s">
        <v>5621</v>
      </c>
      <c r="F448" s="15" t="s">
        <v>5622</v>
      </c>
      <c r="G448" s="14" t="s">
        <v>5623</v>
      </c>
      <c r="H448" s="14" t="s">
        <v>5624</v>
      </c>
      <c r="I448" s="14" t="s">
        <v>5625</v>
      </c>
      <c r="J448" s="14" t="s">
        <v>53</v>
      </c>
      <c r="K448" s="23" t="s">
        <v>5244</v>
      </c>
      <c r="L448" s="14" t="s">
        <v>5626</v>
      </c>
      <c r="M448" s="14" t="s">
        <v>5627</v>
      </c>
      <c r="N448" s="14" t="s">
        <v>5628</v>
      </c>
      <c r="O448" s="14"/>
      <c r="P448" s="14" t="s">
        <v>5629</v>
      </c>
      <c r="Q448" s="14" t="s">
        <v>5630</v>
      </c>
      <c r="R448" s="14" t="s">
        <v>542</v>
      </c>
      <c r="S448" s="20" t="s">
        <v>324</v>
      </c>
      <c r="T448" s="17" t="s">
        <v>107</v>
      </c>
      <c r="U448" s="14" t="s">
        <v>5631</v>
      </c>
      <c r="V448" s="14" t="s">
        <v>109</v>
      </c>
      <c r="W448" s="18" t="s">
        <v>110</v>
      </c>
      <c r="X448" s="14" t="s">
        <v>5632</v>
      </c>
      <c r="Y448" s="14" t="s">
        <v>1668</v>
      </c>
      <c r="Z448" s="14" t="s">
        <v>107</v>
      </c>
      <c r="AA448" s="14" t="s">
        <v>107</v>
      </c>
      <c r="AB448" s="14" t="s">
        <v>112</v>
      </c>
      <c r="AC448" s="14" t="s">
        <v>113</v>
      </c>
      <c r="AD448" s="14" t="s">
        <v>114</v>
      </c>
    </row>
    <row r="449" customFormat="false" ht="78" hidden="false" customHeight="true" outlineLevel="0" collapsed="false">
      <c r="A449" s="14" t="s">
        <v>5633</v>
      </c>
      <c r="B449" s="14" t="s">
        <v>44</v>
      </c>
      <c r="C449" s="14" t="s">
        <v>5634</v>
      </c>
      <c r="D449" s="14" t="s">
        <v>117</v>
      </c>
      <c r="E449" s="14" t="s">
        <v>5635</v>
      </c>
      <c r="F449" s="15" t="s">
        <v>5636</v>
      </c>
      <c r="G449" s="14" t="s">
        <v>2156</v>
      </c>
      <c r="H449" s="14" t="s">
        <v>5637</v>
      </c>
      <c r="I449" s="14" t="s">
        <v>5638</v>
      </c>
      <c r="J449" s="14" t="s">
        <v>202</v>
      </c>
      <c r="K449" s="23" t="s">
        <v>5244</v>
      </c>
      <c r="L449" s="14" t="s">
        <v>5639</v>
      </c>
      <c r="M449" s="14" t="s">
        <v>5640</v>
      </c>
      <c r="N449" s="14" t="s">
        <v>5641</v>
      </c>
      <c r="O449" s="14"/>
      <c r="P449" s="14" t="s">
        <v>5642</v>
      </c>
      <c r="Q449" s="14" t="s">
        <v>5643</v>
      </c>
      <c r="R449" s="14" t="s">
        <v>4160</v>
      </c>
      <c r="S449" s="20" t="s">
        <v>324</v>
      </c>
      <c r="T449" s="20" t="s">
        <v>324</v>
      </c>
      <c r="U449" s="14" t="s">
        <v>5644</v>
      </c>
      <c r="V449" s="14" t="s">
        <v>109</v>
      </c>
      <c r="W449" s="18" t="s">
        <v>110</v>
      </c>
      <c r="X449" s="14" t="s">
        <v>5645</v>
      </c>
      <c r="Y449" s="14" t="s">
        <v>5244</v>
      </c>
      <c r="Z449" s="14" t="s">
        <v>107</v>
      </c>
      <c r="AA449" s="14" t="s">
        <v>107</v>
      </c>
      <c r="AB449" s="14" t="s">
        <v>112</v>
      </c>
      <c r="AC449" s="14" t="s">
        <v>113</v>
      </c>
      <c r="AD449" s="14" t="s">
        <v>114</v>
      </c>
    </row>
    <row r="450" customFormat="false" ht="78" hidden="false" customHeight="true" outlineLevel="0" collapsed="false">
      <c r="A450" s="14" t="s">
        <v>5646</v>
      </c>
      <c r="B450" s="14" t="s">
        <v>44</v>
      </c>
      <c r="C450" s="14" t="s">
        <v>5647</v>
      </c>
      <c r="D450" s="14" t="s">
        <v>117</v>
      </c>
      <c r="E450" s="14" t="s">
        <v>5648</v>
      </c>
      <c r="F450" s="15" t="s">
        <v>2219</v>
      </c>
      <c r="G450" s="14" t="s">
        <v>2101</v>
      </c>
      <c r="H450" s="14" t="s">
        <v>5649</v>
      </c>
      <c r="I450" s="14" t="s">
        <v>5650</v>
      </c>
      <c r="J450" s="14" t="s">
        <v>54</v>
      </c>
      <c r="K450" s="23" t="s">
        <v>5244</v>
      </c>
      <c r="L450" s="14" t="s">
        <v>5651</v>
      </c>
      <c r="M450" s="14" t="s">
        <v>5652</v>
      </c>
      <c r="N450" s="14" t="s">
        <v>5653</v>
      </c>
      <c r="O450" s="14"/>
      <c r="P450" s="14" t="s">
        <v>5654</v>
      </c>
      <c r="Q450" s="14" t="s">
        <v>5655</v>
      </c>
      <c r="R450" s="14" t="s">
        <v>4160</v>
      </c>
      <c r="S450" s="20" t="s">
        <v>324</v>
      </c>
      <c r="T450" s="20" t="s">
        <v>324</v>
      </c>
      <c r="U450" s="14" t="s">
        <v>5656</v>
      </c>
      <c r="V450" s="14" t="s">
        <v>5377</v>
      </c>
      <c r="W450" s="21" t="s">
        <v>429</v>
      </c>
      <c r="X450" s="14" t="s">
        <v>5657</v>
      </c>
      <c r="Y450" s="14" t="s">
        <v>5244</v>
      </c>
      <c r="Z450" s="14" t="s">
        <v>107</v>
      </c>
      <c r="AA450" s="14" t="s">
        <v>946</v>
      </c>
      <c r="AB450" s="14" t="s">
        <v>112</v>
      </c>
      <c r="AC450" s="14" t="s">
        <v>560</v>
      </c>
      <c r="AD450" s="14" t="s">
        <v>561</v>
      </c>
    </row>
    <row r="451" customFormat="false" ht="78" hidden="false" customHeight="true" outlineLevel="0" collapsed="false">
      <c r="A451" s="14" t="s">
        <v>5658</v>
      </c>
      <c r="B451" s="14" t="s">
        <v>45</v>
      </c>
      <c r="C451" s="14" t="s">
        <v>5659</v>
      </c>
      <c r="D451" s="14" t="s">
        <v>117</v>
      </c>
      <c r="E451" s="14" t="s">
        <v>547</v>
      </c>
      <c r="F451" s="15" t="s">
        <v>548</v>
      </c>
      <c r="G451" s="14" t="s">
        <v>5660</v>
      </c>
      <c r="H451" s="14" t="s">
        <v>5661</v>
      </c>
      <c r="I451" s="14" t="s">
        <v>5662</v>
      </c>
      <c r="J451" s="14" t="s">
        <v>56</v>
      </c>
      <c r="K451" s="23" t="s">
        <v>5244</v>
      </c>
      <c r="L451" s="14" t="s">
        <v>5663</v>
      </c>
      <c r="M451" s="14" t="s">
        <v>5664</v>
      </c>
      <c r="N451" s="14" t="s">
        <v>5665</v>
      </c>
      <c r="O451" s="14"/>
      <c r="P451" s="14" t="s">
        <v>5666</v>
      </c>
      <c r="Q451" s="14" t="s">
        <v>5667</v>
      </c>
      <c r="R451" s="14" t="s">
        <v>918</v>
      </c>
      <c r="S451" s="20" t="s">
        <v>324</v>
      </c>
      <c r="T451" s="17" t="s">
        <v>107</v>
      </c>
      <c r="U451" s="14" t="s">
        <v>5668</v>
      </c>
      <c r="V451" s="14" t="s">
        <v>109</v>
      </c>
      <c r="W451" s="18" t="s">
        <v>110</v>
      </c>
      <c r="X451" s="14" t="s">
        <v>5669</v>
      </c>
      <c r="Y451" s="14" t="s">
        <v>5244</v>
      </c>
      <c r="Z451" s="14" t="s">
        <v>107</v>
      </c>
      <c r="AA451" s="14" t="s">
        <v>107</v>
      </c>
      <c r="AB451" s="14" t="s">
        <v>921</v>
      </c>
      <c r="AC451" s="14" t="s">
        <v>113</v>
      </c>
      <c r="AD451" s="14" t="s">
        <v>114</v>
      </c>
    </row>
    <row r="452" customFormat="false" ht="78" hidden="false" customHeight="true" outlineLevel="0" collapsed="false">
      <c r="A452" s="14" t="s">
        <v>5670</v>
      </c>
      <c r="B452" s="14" t="s">
        <v>45</v>
      </c>
      <c r="C452" s="14" t="s">
        <v>5671</v>
      </c>
      <c r="D452" s="14" t="s">
        <v>117</v>
      </c>
      <c r="E452" s="14" t="s">
        <v>547</v>
      </c>
      <c r="F452" s="15" t="s">
        <v>548</v>
      </c>
      <c r="G452" s="14" t="s">
        <v>1932</v>
      </c>
      <c r="H452" s="14" t="s">
        <v>5672</v>
      </c>
      <c r="I452" s="14" t="s">
        <v>5673</v>
      </c>
      <c r="J452" s="14" t="s">
        <v>536</v>
      </c>
      <c r="K452" s="23" t="s">
        <v>5244</v>
      </c>
      <c r="L452" s="14" t="s">
        <v>5674</v>
      </c>
      <c r="M452" s="14" t="s">
        <v>5675</v>
      </c>
      <c r="N452" s="14" t="s">
        <v>5676</v>
      </c>
      <c r="O452" s="14"/>
      <c r="P452" s="14" t="s">
        <v>5677</v>
      </c>
      <c r="Q452" s="14" t="s">
        <v>5678</v>
      </c>
      <c r="R452" s="14" t="s">
        <v>918</v>
      </c>
      <c r="S452" s="20" t="s">
        <v>324</v>
      </c>
      <c r="T452" s="17" t="s">
        <v>107</v>
      </c>
      <c r="U452" s="14" t="s">
        <v>5679</v>
      </c>
      <c r="V452" s="14" t="s">
        <v>109</v>
      </c>
      <c r="W452" s="18" t="s">
        <v>110</v>
      </c>
      <c r="X452" s="14" t="s">
        <v>5680</v>
      </c>
      <c r="Y452" s="14" t="s">
        <v>5244</v>
      </c>
      <c r="Z452" s="14" t="s">
        <v>107</v>
      </c>
      <c r="AA452" s="14" t="s">
        <v>107</v>
      </c>
      <c r="AB452" s="14" t="s">
        <v>921</v>
      </c>
      <c r="AC452" s="14" t="s">
        <v>113</v>
      </c>
      <c r="AD452" s="14" t="s">
        <v>114</v>
      </c>
    </row>
    <row r="453" customFormat="false" ht="78" hidden="false" customHeight="true" outlineLevel="0" collapsed="false">
      <c r="A453" s="14" t="s">
        <v>5681</v>
      </c>
      <c r="B453" s="14" t="s">
        <v>45</v>
      </c>
      <c r="C453" s="14" t="s">
        <v>5682</v>
      </c>
      <c r="D453" s="14" t="s">
        <v>117</v>
      </c>
      <c r="E453" s="14" t="s">
        <v>5683</v>
      </c>
      <c r="F453" s="15" t="s">
        <v>5684</v>
      </c>
      <c r="G453" s="14" t="s">
        <v>2115</v>
      </c>
      <c r="H453" s="14" t="s">
        <v>5685</v>
      </c>
      <c r="I453" s="14" t="s">
        <v>5686</v>
      </c>
      <c r="J453" s="14" t="s">
        <v>52</v>
      </c>
      <c r="K453" s="23" t="s">
        <v>5244</v>
      </c>
      <c r="L453" s="14" t="s">
        <v>5687</v>
      </c>
      <c r="M453" s="14" t="s">
        <v>5688</v>
      </c>
      <c r="N453" s="14" t="s">
        <v>5689</v>
      </c>
      <c r="O453" s="14"/>
      <c r="P453" s="14" t="s">
        <v>5690</v>
      </c>
      <c r="Q453" s="14" t="s">
        <v>5691</v>
      </c>
      <c r="R453" s="14" t="s">
        <v>2188</v>
      </c>
      <c r="S453" s="20" t="s">
        <v>324</v>
      </c>
      <c r="T453" s="17" t="s">
        <v>107</v>
      </c>
      <c r="U453" s="14" t="s">
        <v>5692</v>
      </c>
      <c r="V453" s="14" t="s">
        <v>109</v>
      </c>
      <c r="W453" s="18" t="s">
        <v>110</v>
      </c>
      <c r="X453" s="14" t="s">
        <v>5693</v>
      </c>
      <c r="Y453" s="14" t="s">
        <v>5244</v>
      </c>
      <c r="Z453" s="14" t="s">
        <v>107</v>
      </c>
      <c r="AA453" s="14" t="s">
        <v>107</v>
      </c>
      <c r="AB453" s="14" t="s">
        <v>921</v>
      </c>
      <c r="AC453" s="14" t="s">
        <v>113</v>
      </c>
      <c r="AD453" s="14" t="s">
        <v>114</v>
      </c>
    </row>
    <row r="454" customFormat="false" ht="78" hidden="false" customHeight="true" outlineLevel="0" collapsed="false">
      <c r="A454" s="14" t="s">
        <v>5694</v>
      </c>
      <c r="B454" s="14" t="s">
        <v>45</v>
      </c>
      <c r="C454" s="14" t="s">
        <v>5695</v>
      </c>
      <c r="D454" s="14" t="s">
        <v>117</v>
      </c>
      <c r="E454" s="14" t="s">
        <v>5696</v>
      </c>
      <c r="F454" s="15" t="s">
        <v>5697</v>
      </c>
      <c r="G454" s="14" t="s">
        <v>2115</v>
      </c>
      <c r="H454" s="14" t="s">
        <v>5698</v>
      </c>
      <c r="I454" s="14" t="s">
        <v>5699</v>
      </c>
      <c r="J454" s="14" t="s">
        <v>52</v>
      </c>
      <c r="K454" s="23" t="s">
        <v>5244</v>
      </c>
      <c r="L454" s="14" t="s">
        <v>5700</v>
      </c>
      <c r="M454" s="14" t="s">
        <v>5701</v>
      </c>
      <c r="N454" s="14" t="s">
        <v>5702</v>
      </c>
      <c r="O454" s="14"/>
      <c r="P454" s="14" t="s">
        <v>5703</v>
      </c>
      <c r="Q454" s="14" t="s">
        <v>5704</v>
      </c>
      <c r="R454" s="14" t="s">
        <v>2016</v>
      </c>
      <c r="S454" s="20" t="s">
        <v>324</v>
      </c>
      <c r="T454" s="17" t="s">
        <v>107</v>
      </c>
      <c r="U454" s="14" t="s">
        <v>5705</v>
      </c>
      <c r="V454" s="14" t="s">
        <v>109</v>
      </c>
      <c r="W454" s="18" t="s">
        <v>110</v>
      </c>
      <c r="X454" s="14" t="s">
        <v>5706</v>
      </c>
      <c r="Y454" s="14" t="s">
        <v>1668</v>
      </c>
      <c r="Z454" s="14" t="s">
        <v>107</v>
      </c>
      <c r="AA454" s="14" t="s">
        <v>107</v>
      </c>
      <c r="AB454" s="14" t="s">
        <v>921</v>
      </c>
      <c r="AC454" s="14" t="s">
        <v>113</v>
      </c>
      <c r="AD454" s="14" t="s">
        <v>114</v>
      </c>
    </row>
    <row r="455" customFormat="false" ht="78" hidden="false" customHeight="true" outlineLevel="0" collapsed="false">
      <c r="A455" s="14" t="s">
        <v>5707</v>
      </c>
      <c r="B455" s="14" t="s">
        <v>45</v>
      </c>
      <c r="C455" s="14" t="s">
        <v>5708</v>
      </c>
      <c r="D455" s="14" t="s">
        <v>117</v>
      </c>
      <c r="E455" s="14" t="s">
        <v>5709</v>
      </c>
      <c r="F455" s="15" t="s">
        <v>2155</v>
      </c>
      <c r="G455" s="14" t="s">
        <v>2156</v>
      </c>
      <c r="H455" s="14" t="s">
        <v>5710</v>
      </c>
      <c r="I455" s="14" t="s">
        <v>5711</v>
      </c>
      <c r="J455" s="14" t="s">
        <v>52</v>
      </c>
      <c r="K455" s="23" t="s">
        <v>5244</v>
      </c>
      <c r="L455" s="14" t="s">
        <v>5712</v>
      </c>
      <c r="M455" s="14" t="s">
        <v>5713</v>
      </c>
      <c r="N455" s="14" t="s">
        <v>5714</v>
      </c>
      <c r="O455" s="14"/>
      <c r="P455" s="14" t="s">
        <v>5715</v>
      </c>
      <c r="Q455" s="14" t="s">
        <v>5716</v>
      </c>
      <c r="R455" s="14" t="s">
        <v>2188</v>
      </c>
      <c r="S455" s="20" t="s">
        <v>324</v>
      </c>
      <c r="T455" s="17" t="s">
        <v>107</v>
      </c>
      <c r="U455" s="14" t="s">
        <v>5717</v>
      </c>
      <c r="V455" s="14" t="s">
        <v>109</v>
      </c>
      <c r="W455" s="18" t="s">
        <v>110</v>
      </c>
      <c r="X455" s="14" t="s">
        <v>5718</v>
      </c>
      <c r="Y455" s="14" t="s">
        <v>5244</v>
      </c>
      <c r="Z455" s="14" t="s">
        <v>107</v>
      </c>
      <c r="AA455" s="14" t="s">
        <v>107</v>
      </c>
      <c r="AB455" s="14" t="s">
        <v>921</v>
      </c>
      <c r="AC455" s="14" t="s">
        <v>113</v>
      </c>
      <c r="AD455" s="14" t="s">
        <v>114</v>
      </c>
    </row>
    <row r="456" customFormat="false" ht="78" hidden="false" customHeight="true" outlineLevel="0" collapsed="false">
      <c r="A456" s="14" t="s">
        <v>5719</v>
      </c>
      <c r="B456" s="14" t="s">
        <v>47</v>
      </c>
      <c r="C456" s="14" t="s">
        <v>5720</v>
      </c>
      <c r="D456" s="14" t="s">
        <v>117</v>
      </c>
      <c r="E456" s="14" t="s">
        <v>5721</v>
      </c>
      <c r="F456" s="15" t="s">
        <v>5697</v>
      </c>
      <c r="G456" s="14" t="s">
        <v>2115</v>
      </c>
      <c r="H456" s="14" t="s">
        <v>5722</v>
      </c>
      <c r="I456" s="14" t="s">
        <v>5723</v>
      </c>
      <c r="J456" s="14" t="s">
        <v>52</v>
      </c>
      <c r="K456" s="23" t="s">
        <v>5244</v>
      </c>
      <c r="L456" s="14" t="s">
        <v>5724</v>
      </c>
      <c r="M456" s="14" t="s">
        <v>5725</v>
      </c>
      <c r="N456" s="14" t="s">
        <v>5726</v>
      </c>
      <c r="O456" s="14"/>
      <c r="P456" s="14" t="s">
        <v>5727</v>
      </c>
      <c r="Q456" s="14" t="s">
        <v>5728</v>
      </c>
      <c r="R456" s="14" t="s">
        <v>2016</v>
      </c>
      <c r="S456" s="20" t="s">
        <v>324</v>
      </c>
      <c r="T456" s="17" t="s">
        <v>107</v>
      </c>
      <c r="U456" s="14" t="s">
        <v>5729</v>
      </c>
      <c r="V456" s="14" t="s">
        <v>109</v>
      </c>
      <c r="W456" s="18" t="s">
        <v>110</v>
      </c>
      <c r="X456" s="14" t="s">
        <v>5730</v>
      </c>
      <c r="Y456" s="14" t="s">
        <v>5244</v>
      </c>
      <c r="Z456" s="14" t="s">
        <v>107</v>
      </c>
      <c r="AA456" s="14" t="s">
        <v>107</v>
      </c>
      <c r="AB456" s="14" t="s">
        <v>2204</v>
      </c>
      <c r="AC456" s="14" t="s">
        <v>113</v>
      </c>
      <c r="AD456" s="14" t="s">
        <v>114</v>
      </c>
    </row>
    <row r="457" customFormat="false" ht="78" hidden="false" customHeight="true" outlineLevel="0" collapsed="false">
      <c r="A457" s="14" t="s">
        <v>5731</v>
      </c>
      <c r="B457" s="14" t="s">
        <v>48</v>
      </c>
      <c r="C457" s="14" t="s">
        <v>5732</v>
      </c>
      <c r="D457" s="14" t="s">
        <v>117</v>
      </c>
      <c r="E457" s="14" t="s">
        <v>5733</v>
      </c>
      <c r="F457" s="15" t="s">
        <v>5734</v>
      </c>
      <c r="G457" s="14" t="s">
        <v>285</v>
      </c>
      <c r="H457" s="14" t="s">
        <v>5735</v>
      </c>
      <c r="I457" s="14" t="s">
        <v>5736</v>
      </c>
      <c r="J457" s="14" t="s">
        <v>54</v>
      </c>
      <c r="K457" s="23" t="s">
        <v>5244</v>
      </c>
      <c r="L457" s="14" t="s">
        <v>5737</v>
      </c>
      <c r="M457" s="14" t="s">
        <v>5738</v>
      </c>
      <c r="N457" s="14" t="s">
        <v>5739</v>
      </c>
      <c r="O457" s="14"/>
      <c r="P457" s="14" t="s">
        <v>5740</v>
      </c>
      <c r="Q457" s="14" t="s">
        <v>5741</v>
      </c>
      <c r="R457" s="14" t="s">
        <v>542</v>
      </c>
      <c r="S457" s="20" t="s">
        <v>324</v>
      </c>
      <c r="T457" s="20" t="s">
        <v>324</v>
      </c>
      <c r="U457" s="14" t="s">
        <v>5742</v>
      </c>
      <c r="V457" s="14" t="s">
        <v>109</v>
      </c>
      <c r="W457" s="21" t="s">
        <v>429</v>
      </c>
      <c r="X457" s="14" t="s">
        <v>5743</v>
      </c>
      <c r="Y457" s="14" t="s">
        <v>5244</v>
      </c>
      <c r="Z457" s="14" t="s">
        <v>107</v>
      </c>
      <c r="AA457" s="14" t="s">
        <v>107</v>
      </c>
      <c r="AB457" s="14" t="s">
        <v>559</v>
      </c>
      <c r="AC457" s="14" t="s">
        <v>560</v>
      </c>
      <c r="AD457" s="14" t="s">
        <v>561</v>
      </c>
    </row>
    <row r="458" customFormat="false" ht="78" hidden="false" customHeight="true" outlineLevel="0" collapsed="false">
      <c r="A458" s="14" t="s">
        <v>5744</v>
      </c>
      <c r="B458" s="14" t="s">
        <v>43</v>
      </c>
      <c r="C458" s="14" t="s">
        <v>5745</v>
      </c>
      <c r="D458" s="14" t="s">
        <v>117</v>
      </c>
      <c r="E458" s="14" t="s">
        <v>5746</v>
      </c>
      <c r="F458" s="15" t="s">
        <v>5684</v>
      </c>
      <c r="G458" s="14" t="s">
        <v>2115</v>
      </c>
      <c r="H458" s="14" t="s">
        <v>5747</v>
      </c>
      <c r="I458" s="14" t="s">
        <v>5748</v>
      </c>
      <c r="J458" s="14" t="s">
        <v>50</v>
      </c>
      <c r="K458" s="23" t="s">
        <v>5244</v>
      </c>
      <c r="L458" s="14" t="s">
        <v>5749</v>
      </c>
      <c r="M458" s="14" t="s">
        <v>5750</v>
      </c>
      <c r="N458" s="14" t="s">
        <v>5751</v>
      </c>
      <c r="O458" s="14"/>
      <c r="P458" s="14" t="s">
        <v>5752</v>
      </c>
      <c r="Q458" s="14" t="s">
        <v>5753</v>
      </c>
      <c r="R458" s="14" t="s">
        <v>542</v>
      </c>
      <c r="S458" s="17" t="s">
        <v>107</v>
      </c>
      <c r="T458" s="17" t="s">
        <v>107</v>
      </c>
      <c r="U458" s="14" t="s">
        <v>5754</v>
      </c>
      <c r="V458" s="14" t="s">
        <v>109</v>
      </c>
      <c r="W458" s="21" t="s">
        <v>429</v>
      </c>
      <c r="X458" s="14" t="s">
        <v>5755</v>
      </c>
      <c r="Y458" s="14" t="s">
        <v>194</v>
      </c>
      <c r="Z458" s="14" t="s">
        <v>107</v>
      </c>
      <c r="AA458" s="14" t="s">
        <v>107</v>
      </c>
      <c r="AB458" s="14" t="s">
        <v>131</v>
      </c>
      <c r="AC458" s="14" t="s">
        <v>113</v>
      </c>
      <c r="AD458" s="14" t="s">
        <v>114</v>
      </c>
    </row>
    <row r="459" customFormat="false" ht="78" hidden="false" customHeight="true" outlineLevel="0" collapsed="false">
      <c r="A459" s="14" t="s">
        <v>5756</v>
      </c>
      <c r="B459" s="14" t="s">
        <v>43</v>
      </c>
      <c r="C459" s="14" t="s">
        <v>5757</v>
      </c>
      <c r="D459" s="14" t="s">
        <v>117</v>
      </c>
      <c r="E459" s="14" t="s">
        <v>118</v>
      </c>
      <c r="F459" s="15" t="s">
        <v>119</v>
      </c>
      <c r="G459" s="14" t="s">
        <v>120</v>
      </c>
      <c r="H459" s="14" t="s">
        <v>5758</v>
      </c>
      <c r="I459" s="14" t="s">
        <v>5759</v>
      </c>
      <c r="J459" s="14" t="s">
        <v>55</v>
      </c>
      <c r="K459" s="23" t="s">
        <v>5244</v>
      </c>
      <c r="L459" s="14" t="s">
        <v>5760</v>
      </c>
      <c r="M459" s="14" t="s">
        <v>5761</v>
      </c>
      <c r="N459" s="14" t="s">
        <v>5762</v>
      </c>
      <c r="O459" s="14"/>
      <c r="P459" s="14" t="s">
        <v>5763</v>
      </c>
      <c r="Q459" s="14" t="s">
        <v>5764</v>
      </c>
      <c r="R459" s="14" t="s">
        <v>128</v>
      </c>
      <c r="S459" s="20" t="s">
        <v>324</v>
      </c>
      <c r="T459" s="20" t="s">
        <v>324</v>
      </c>
      <c r="U459" s="14" t="s">
        <v>5765</v>
      </c>
      <c r="V459" s="14" t="s">
        <v>109</v>
      </c>
      <c r="W459" s="21" t="s">
        <v>429</v>
      </c>
      <c r="X459" s="14" t="s">
        <v>5766</v>
      </c>
      <c r="Y459" s="14" t="s">
        <v>1668</v>
      </c>
      <c r="Z459" s="14" t="s">
        <v>107</v>
      </c>
      <c r="AA459" s="14" t="s">
        <v>107</v>
      </c>
      <c r="AB459" s="14" t="s">
        <v>131</v>
      </c>
      <c r="AC459" s="14" t="s">
        <v>113</v>
      </c>
      <c r="AD459" s="14" t="s">
        <v>114</v>
      </c>
    </row>
    <row r="460" customFormat="false" ht="78" hidden="false" customHeight="true" outlineLevel="0" collapsed="false">
      <c r="A460" s="14" t="s">
        <v>5767</v>
      </c>
      <c r="B460" s="14" t="s">
        <v>44</v>
      </c>
      <c r="C460" s="14" t="s">
        <v>5768</v>
      </c>
      <c r="D460" s="14" t="s">
        <v>564</v>
      </c>
      <c r="E460" s="14" t="s">
        <v>5769</v>
      </c>
      <c r="F460" s="15" t="s">
        <v>5770</v>
      </c>
      <c r="G460" s="14" t="s">
        <v>567</v>
      </c>
      <c r="H460" s="14" t="s">
        <v>5771</v>
      </c>
      <c r="I460" s="14" t="s">
        <v>5772</v>
      </c>
      <c r="J460" s="14" t="s">
        <v>202</v>
      </c>
      <c r="K460" s="23" t="s">
        <v>5244</v>
      </c>
      <c r="L460" s="14" t="s">
        <v>5773</v>
      </c>
      <c r="M460" s="14" t="s">
        <v>5774</v>
      </c>
      <c r="N460" s="14" t="s">
        <v>5775</v>
      </c>
      <c r="O460" s="14"/>
      <c r="P460" s="14" t="s">
        <v>5776</v>
      </c>
      <c r="Q460" s="14" t="s">
        <v>5777</v>
      </c>
      <c r="R460" s="14" t="s">
        <v>161</v>
      </c>
      <c r="S460" s="20" t="s">
        <v>324</v>
      </c>
      <c r="T460" s="20" t="s">
        <v>324</v>
      </c>
      <c r="U460" s="14" t="s">
        <v>5778</v>
      </c>
      <c r="V460" s="14" t="s">
        <v>109</v>
      </c>
      <c r="W460" s="18" t="s">
        <v>110</v>
      </c>
      <c r="X460" s="14" t="s">
        <v>5779</v>
      </c>
      <c r="Y460" s="14" t="s">
        <v>1668</v>
      </c>
      <c r="Z460" s="14" t="s">
        <v>107</v>
      </c>
      <c r="AA460" s="14" t="s">
        <v>107</v>
      </c>
      <c r="AB460" s="14" t="s">
        <v>112</v>
      </c>
      <c r="AC460" s="14" t="s">
        <v>113</v>
      </c>
      <c r="AD460" s="14" t="s">
        <v>114</v>
      </c>
    </row>
    <row r="461" customFormat="false" ht="78" hidden="false" customHeight="true" outlineLevel="0" collapsed="false">
      <c r="A461" s="14" t="s">
        <v>5780</v>
      </c>
      <c r="B461" s="14" t="s">
        <v>44</v>
      </c>
      <c r="C461" s="14" t="s">
        <v>5781</v>
      </c>
      <c r="D461" s="14" t="s">
        <v>564</v>
      </c>
      <c r="E461" s="14" t="s">
        <v>5782</v>
      </c>
      <c r="F461" s="15" t="s">
        <v>5783</v>
      </c>
      <c r="G461" s="14" t="s">
        <v>2321</v>
      </c>
      <c r="H461" s="14" t="s">
        <v>5784</v>
      </c>
      <c r="I461" s="14" t="s">
        <v>5785</v>
      </c>
      <c r="J461" s="14" t="s">
        <v>55</v>
      </c>
      <c r="K461" s="23" t="s">
        <v>5244</v>
      </c>
      <c r="L461" s="14" t="s">
        <v>5786</v>
      </c>
      <c r="M461" s="14" t="s">
        <v>5787</v>
      </c>
      <c r="N461" s="14" t="s">
        <v>5788</v>
      </c>
      <c r="O461" s="14"/>
      <c r="P461" s="14" t="s">
        <v>5789</v>
      </c>
      <c r="Q461" s="14" t="s">
        <v>5790</v>
      </c>
      <c r="R461" s="14" t="s">
        <v>2628</v>
      </c>
      <c r="S461" s="20" t="s">
        <v>324</v>
      </c>
      <c r="T461" s="20" t="s">
        <v>324</v>
      </c>
      <c r="U461" s="14" t="s">
        <v>5791</v>
      </c>
      <c r="V461" s="14" t="s">
        <v>109</v>
      </c>
      <c r="W461" s="18" t="s">
        <v>110</v>
      </c>
      <c r="X461" s="14" t="s">
        <v>5792</v>
      </c>
      <c r="Y461" s="14" t="s">
        <v>5244</v>
      </c>
      <c r="Z461" s="14" t="s">
        <v>107</v>
      </c>
      <c r="AA461" s="14" t="s">
        <v>107</v>
      </c>
      <c r="AB461" s="14" t="s">
        <v>112</v>
      </c>
      <c r="AC461" s="14" t="s">
        <v>113</v>
      </c>
      <c r="AD461" s="14" t="s">
        <v>114</v>
      </c>
    </row>
    <row r="462" customFormat="false" ht="78" hidden="false" customHeight="true" outlineLevel="0" collapsed="false">
      <c r="A462" s="14" t="s">
        <v>5793</v>
      </c>
      <c r="B462" s="14" t="s">
        <v>45</v>
      </c>
      <c r="C462" s="14" t="s">
        <v>5794</v>
      </c>
      <c r="D462" s="14" t="s">
        <v>564</v>
      </c>
      <c r="E462" s="14" t="s">
        <v>2269</v>
      </c>
      <c r="F462" s="15" t="s">
        <v>1111</v>
      </c>
      <c r="G462" s="14" t="s">
        <v>5795</v>
      </c>
      <c r="H462" s="14" t="s">
        <v>5796</v>
      </c>
      <c r="I462" s="14" t="s">
        <v>5797</v>
      </c>
      <c r="J462" s="14" t="s">
        <v>56</v>
      </c>
      <c r="K462" s="23" t="s">
        <v>5244</v>
      </c>
      <c r="L462" s="14" t="s">
        <v>5798</v>
      </c>
      <c r="M462" s="14" t="s">
        <v>5799</v>
      </c>
      <c r="N462" s="14" t="s">
        <v>5800</v>
      </c>
      <c r="O462" s="14"/>
      <c r="P462" s="14" t="s">
        <v>5801</v>
      </c>
      <c r="Q462" s="14" t="s">
        <v>5802</v>
      </c>
      <c r="R462" s="14" t="s">
        <v>2341</v>
      </c>
      <c r="S462" s="20" t="s">
        <v>324</v>
      </c>
      <c r="T462" s="17" t="s">
        <v>107</v>
      </c>
      <c r="U462" s="14" t="s">
        <v>5803</v>
      </c>
      <c r="V462" s="14" t="s">
        <v>109</v>
      </c>
      <c r="W462" s="18" t="s">
        <v>110</v>
      </c>
      <c r="X462" s="14" t="s">
        <v>5804</v>
      </c>
      <c r="Y462" s="14" t="s">
        <v>5244</v>
      </c>
      <c r="Z462" s="14" t="s">
        <v>107</v>
      </c>
      <c r="AA462" s="14" t="s">
        <v>107</v>
      </c>
      <c r="AB462" s="14" t="s">
        <v>921</v>
      </c>
      <c r="AC462" s="14" t="s">
        <v>113</v>
      </c>
      <c r="AD462" s="14" t="s">
        <v>114</v>
      </c>
    </row>
    <row r="463" customFormat="false" ht="78" hidden="false" customHeight="true" outlineLevel="0" collapsed="false">
      <c r="A463" s="14" t="s">
        <v>5805</v>
      </c>
      <c r="B463" s="14" t="s">
        <v>45</v>
      </c>
      <c r="C463" s="14" t="s">
        <v>5806</v>
      </c>
      <c r="D463" s="14" t="s">
        <v>564</v>
      </c>
      <c r="E463" s="14" t="s">
        <v>5807</v>
      </c>
      <c r="F463" s="15" t="s">
        <v>581</v>
      </c>
      <c r="G463" s="14" t="s">
        <v>5808</v>
      </c>
      <c r="H463" s="14" t="s">
        <v>5809</v>
      </c>
      <c r="I463" s="14" t="s">
        <v>5810</v>
      </c>
      <c r="J463" s="14" t="s">
        <v>52</v>
      </c>
      <c r="K463" s="23" t="s">
        <v>5244</v>
      </c>
      <c r="L463" s="14" t="s">
        <v>5811</v>
      </c>
      <c r="M463" s="14" t="s">
        <v>5812</v>
      </c>
      <c r="N463" s="14" t="s">
        <v>5813</v>
      </c>
      <c r="O463" s="14"/>
      <c r="P463" s="14" t="s">
        <v>5814</v>
      </c>
      <c r="Q463" s="14" t="s">
        <v>5815</v>
      </c>
      <c r="R463" s="14" t="s">
        <v>2341</v>
      </c>
      <c r="S463" s="20" t="s">
        <v>324</v>
      </c>
      <c r="T463" s="17" t="s">
        <v>107</v>
      </c>
      <c r="U463" s="14" t="s">
        <v>5816</v>
      </c>
      <c r="V463" s="14" t="s">
        <v>109</v>
      </c>
      <c r="W463" s="18" t="s">
        <v>110</v>
      </c>
      <c r="X463" s="14" t="s">
        <v>5817</v>
      </c>
      <c r="Y463" s="14" t="s">
        <v>1668</v>
      </c>
      <c r="Z463" s="14" t="s">
        <v>107</v>
      </c>
      <c r="AA463" s="14" t="s">
        <v>107</v>
      </c>
      <c r="AB463" s="14" t="s">
        <v>921</v>
      </c>
      <c r="AC463" s="14" t="s">
        <v>113</v>
      </c>
      <c r="AD463" s="14" t="s">
        <v>114</v>
      </c>
    </row>
    <row r="464" customFormat="false" ht="78" hidden="false" customHeight="true" outlineLevel="0" collapsed="false">
      <c r="A464" s="14" t="s">
        <v>5818</v>
      </c>
      <c r="B464" s="14" t="s">
        <v>45</v>
      </c>
      <c r="C464" s="14" t="s">
        <v>5819</v>
      </c>
      <c r="D464" s="14" t="s">
        <v>564</v>
      </c>
      <c r="E464" s="14" t="s">
        <v>2320</v>
      </c>
      <c r="F464" s="15" t="s">
        <v>581</v>
      </c>
      <c r="G464" s="14" t="s">
        <v>2321</v>
      </c>
      <c r="H464" s="14" t="s">
        <v>5820</v>
      </c>
      <c r="I464" s="14" t="s">
        <v>5821</v>
      </c>
      <c r="J464" s="14" t="s">
        <v>52</v>
      </c>
      <c r="K464" s="23" t="s">
        <v>5244</v>
      </c>
      <c r="L464" s="14" t="s">
        <v>5822</v>
      </c>
      <c r="M464" s="14" t="s">
        <v>5823</v>
      </c>
      <c r="N464" s="14" t="s">
        <v>5824</v>
      </c>
      <c r="O464" s="14"/>
      <c r="P464" s="14" t="s">
        <v>5825</v>
      </c>
      <c r="Q464" s="14" t="s">
        <v>5826</v>
      </c>
      <c r="R464" s="14" t="s">
        <v>2542</v>
      </c>
      <c r="S464" s="20" t="s">
        <v>324</v>
      </c>
      <c r="T464" s="17" t="s">
        <v>107</v>
      </c>
      <c r="U464" s="14" t="s">
        <v>5827</v>
      </c>
      <c r="V464" s="14" t="s">
        <v>109</v>
      </c>
      <c r="W464" s="18" t="s">
        <v>110</v>
      </c>
      <c r="X464" s="14" t="s">
        <v>5828</v>
      </c>
      <c r="Y464" s="14" t="s">
        <v>1668</v>
      </c>
      <c r="Z464" s="14" t="s">
        <v>107</v>
      </c>
      <c r="AA464" s="14" t="s">
        <v>107</v>
      </c>
      <c r="AB464" s="14" t="s">
        <v>921</v>
      </c>
      <c r="AC464" s="14" t="s">
        <v>113</v>
      </c>
      <c r="AD464" s="14" t="s">
        <v>114</v>
      </c>
    </row>
    <row r="465" customFormat="false" ht="78" hidden="false" customHeight="true" outlineLevel="0" collapsed="false">
      <c r="A465" s="14" t="s">
        <v>5829</v>
      </c>
      <c r="B465" s="14" t="s">
        <v>45</v>
      </c>
      <c r="C465" s="14" t="s">
        <v>5830</v>
      </c>
      <c r="D465" s="14" t="s">
        <v>564</v>
      </c>
      <c r="E465" s="14" t="s">
        <v>5831</v>
      </c>
      <c r="F465" s="15" t="s">
        <v>5832</v>
      </c>
      <c r="G465" s="14" t="s">
        <v>5833</v>
      </c>
      <c r="H465" s="14" t="s">
        <v>5834</v>
      </c>
      <c r="I465" s="14" t="s">
        <v>5835</v>
      </c>
      <c r="J465" s="14" t="s">
        <v>505</v>
      </c>
      <c r="K465" s="23" t="s">
        <v>5244</v>
      </c>
      <c r="L465" s="14" t="s">
        <v>5836</v>
      </c>
      <c r="M465" s="14" t="s">
        <v>5837</v>
      </c>
      <c r="N465" s="14" t="s">
        <v>5838</v>
      </c>
      <c r="O465" s="14"/>
      <c r="P465" s="14" t="s">
        <v>5839</v>
      </c>
      <c r="Q465" s="14" t="s">
        <v>5840</v>
      </c>
      <c r="R465" s="14" t="s">
        <v>2542</v>
      </c>
      <c r="S465" s="20" t="s">
        <v>324</v>
      </c>
      <c r="T465" s="17" t="s">
        <v>107</v>
      </c>
      <c r="U465" s="14" t="s">
        <v>5841</v>
      </c>
      <c r="V465" s="14" t="s">
        <v>109</v>
      </c>
      <c r="W465" s="21" t="s">
        <v>429</v>
      </c>
      <c r="X465" s="14" t="s">
        <v>5842</v>
      </c>
      <c r="Y465" s="14" t="s">
        <v>1668</v>
      </c>
      <c r="Z465" s="14" t="s">
        <v>107</v>
      </c>
      <c r="AA465" s="14" t="s">
        <v>107</v>
      </c>
      <c r="AB465" s="14" t="s">
        <v>921</v>
      </c>
      <c r="AC465" s="14" t="s">
        <v>113</v>
      </c>
      <c r="AD465" s="14" t="s">
        <v>114</v>
      </c>
    </row>
    <row r="466" customFormat="false" ht="78" hidden="false" customHeight="true" outlineLevel="0" collapsed="false">
      <c r="A466" s="14" t="s">
        <v>5843</v>
      </c>
      <c r="B466" s="14" t="s">
        <v>47</v>
      </c>
      <c r="C466" s="14" t="s">
        <v>5844</v>
      </c>
      <c r="D466" s="14" t="s">
        <v>564</v>
      </c>
      <c r="E466" s="14" t="s">
        <v>2320</v>
      </c>
      <c r="F466" s="15" t="s">
        <v>581</v>
      </c>
      <c r="G466" s="14" t="s">
        <v>2321</v>
      </c>
      <c r="H466" s="14" t="s">
        <v>5845</v>
      </c>
      <c r="I466" s="14" t="s">
        <v>5846</v>
      </c>
      <c r="J466" s="14" t="s">
        <v>52</v>
      </c>
      <c r="K466" s="23" t="s">
        <v>5244</v>
      </c>
      <c r="L466" s="14" t="s">
        <v>5847</v>
      </c>
      <c r="M466" s="14" t="s">
        <v>5848</v>
      </c>
      <c r="N466" s="14" t="s">
        <v>5849</v>
      </c>
      <c r="O466" s="14"/>
      <c r="P466" s="14" t="s">
        <v>5850</v>
      </c>
      <c r="Q466" s="14" t="s">
        <v>5851</v>
      </c>
      <c r="R466" s="14" t="s">
        <v>2542</v>
      </c>
      <c r="S466" s="20" t="s">
        <v>324</v>
      </c>
      <c r="T466" s="17" t="s">
        <v>107</v>
      </c>
      <c r="U466" s="14" t="s">
        <v>5852</v>
      </c>
      <c r="V466" s="14" t="s">
        <v>109</v>
      </c>
      <c r="W466" s="18" t="s">
        <v>110</v>
      </c>
      <c r="X466" s="14" t="s">
        <v>5853</v>
      </c>
      <c r="Y466" s="14" t="s">
        <v>1668</v>
      </c>
      <c r="Z466" s="14" t="s">
        <v>107</v>
      </c>
      <c r="AA466" s="14" t="s">
        <v>107</v>
      </c>
      <c r="AB466" s="14" t="s">
        <v>2204</v>
      </c>
      <c r="AC466" s="14" t="s">
        <v>113</v>
      </c>
      <c r="AD466" s="14" t="s">
        <v>114</v>
      </c>
    </row>
    <row r="467" customFormat="false" ht="78" hidden="false" customHeight="true" outlineLevel="0" collapsed="false">
      <c r="A467" s="14" t="s">
        <v>5854</v>
      </c>
      <c r="B467" s="14" t="s">
        <v>48</v>
      </c>
      <c r="C467" s="14" t="s">
        <v>5855</v>
      </c>
      <c r="D467" s="14" t="s">
        <v>564</v>
      </c>
      <c r="E467" s="14" t="s">
        <v>2320</v>
      </c>
      <c r="F467" s="15" t="s">
        <v>581</v>
      </c>
      <c r="G467" s="14" t="s">
        <v>2321</v>
      </c>
      <c r="H467" s="14" t="s">
        <v>5856</v>
      </c>
      <c r="I467" s="14" t="s">
        <v>5857</v>
      </c>
      <c r="J467" s="14" t="s">
        <v>1269</v>
      </c>
      <c r="K467" s="23" t="s">
        <v>5244</v>
      </c>
      <c r="L467" s="14" t="s">
        <v>5858</v>
      </c>
      <c r="M467" s="14" t="s">
        <v>5859</v>
      </c>
      <c r="N467" s="14" t="s">
        <v>5860</v>
      </c>
      <c r="O467" s="14"/>
      <c r="P467" s="14" t="s">
        <v>5861</v>
      </c>
      <c r="Q467" s="14" t="s">
        <v>5862</v>
      </c>
      <c r="R467" s="14" t="s">
        <v>589</v>
      </c>
      <c r="S467" s="17" t="s">
        <v>107</v>
      </c>
      <c r="T467" s="20" t="s">
        <v>324</v>
      </c>
      <c r="U467" s="14" t="s">
        <v>5863</v>
      </c>
      <c r="V467" s="14" t="s">
        <v>109</v>
      </c>
      <c r="W467" s="21" t="s">
        <v>429</v>
      </c>
      <c r="X467" s="14" t="s">
        <v>5864</v>
      </c>
      <c r="Y467" s="14" t="s">
        <v>194</v>
      </c>
      <c r="Z467" s="14" t="s">
        <v>107</v>
      </c>
      <c r="AA467" s="14" t="s">
        <v>107</v>
      </c>
      <c r="AB467" s="14" t="s">
        <v>559</v>
      </c>
      <c r="AC467" s="14" t="s">
        <v>113</v>
      </c>
      <c r="AD467" s="14" t="s">
        <v>114</v>
      </c>
    </row>
    <row r="468" customFormat="false" ht="78" hidden="false" customHeight="true" outlineLevel="0" collapsed="false">
      <c r="A468" s="14" t="s">
        <v>5865</v>
      </c>
      <c r="B468" s="14" t="s">
        <v>43</v>
      </c>
      <c r="C468" s="14" t="s">
        <v>5866</v>
      </c>
      <c r="D468" s="14" t="s">
        <v>564</v>
      </c>
      <c r="E468" s="14" t="s">
        <v>565</v>
      </c>
      <c r="F468" s="15" t="s">
        <v>566</v>
      </c>
      <c r="G468" s="14" t="s">
        <v>567</v>
      </c>
      <c r="H468" s="14" t="s">
        <v>5867</v>
      </c>
      <c r="I468" s="14" t="s">
        <v>5868</v>
      </c>
      <c r="J468" s="14" t="s">
        <v>50</v>
      </c>
      <c r="K468" s="23" t="s">
        <v>5244</v>
      </c>
      <c r="L468" s="14" t="s">
        <v>5869</v>
      </c>
      <c r="M468" s="14" t="s">
        <v>5870</v>
      </c>
      <c r="N468" s="14" t="s">
        <v>5871</v>
      </c>
      <c r="O468" s="14"/>
      <c r="P468" s="14" t="s">
        <v>5872</v>
      </c>
      <c r="Q468" s="14" t="s">
        <v>5873</v>
      </c>
      <c r="R468" s="14" t="s">
        <v>161</v>
      </c>
      <c r="S468" s="20" t="s">
        <v>324</v>
      </c>
      <c r="T468" s="20" t="s">
        <v>324</v>
      </c>
      <c r="U468" s="14" t="s">
        <v>5874</v>
      </c>
      <c r="V468" s="14" t="s">
        <v>109</v>
      </c>
      <c r="W468" s="21" t="s">
        <v>429</v>
      </c>
      <c r="X468" s="14" t="s">
        <v>5875</v>
      </c>
      <c r="Y468" s="14" t="s">
        <v>1668</v>
      </c>
      <c r="Z468" s="14" t="s">
        <v>107</v>
      </c>
      <c r="AA468" s="14" t="s">
        <v>107</v>
      </c>
      <c r="AB468" s="14" t="s">
        <v>131</v>
      </c>
      <c r="AC468" s="14" t="s">
        <v>113</v>
      </c>
      <c r="AD468" s="14" t="s">
        <v>114</v>
      </c>
    </row>
    <row r="469" customFormat="false" ht="78" hidden="false" customHeight="true" outlineLevel="0" collapsed="false">
      <c r="A469" s="14" t="s">
        <v>5876</v>
      </c>
      <c r="B469" s="14" t="s">
        <v>43</v>
      </c>
      <c r="C469" s="14" t="s">
        <v>5877</v>
      </c>
      <c r="D469" s="14" t="s">
        <v>564</v>
      </c>
      <c r="E469" s="14" t="s">
        <v>5878</v>
      </c>
      <c r="F469" s="15" t="s">
        <v>5879</v>
      </c>
      <c r="G469" s="14" t="s">
        <v>168</v>
      </c>
      <c r="H469" s="14" t="s">
        <v>5880</v>
      </c>
      <c r="I469" s="14" t="s">
        <v>5881</v>
      </c>
      <c r="J469" s="14" t="s">
        <v>51</v>
      </c>
      <c r="K469" s="23" t="s">
        <v>5244</v>
      </c>
      <c r="L469" s="14" t="s">
        <v>5882</v>
      </c>
      <c r="M469" s="14" t="s">
        <v>5883</v>
      </c>
      <c r="N469" s="14" t="s">
        <v>5884</v>
      </c>
      <c r="O469" s="14"/>
      <c r="P469" s="14" t="s">
        <v>5885</v>
      </c>
      <c r="Q469" s="14" t="s">
        <v>5886</v>
      </c>
      <c r="R469" s="14" t="s">
        <v>589</v>
      </c>
      <c r="S469" s="20" t="s">
        <v>324</v>
      </c>
      <c r="T469" s="20" t="s">
        <v>324</v>
      </c>
      <c r="U469" s="14" t="s">
        <v>5887</v>
      </c>
      <c r="V469" s="14" t="s">
        <v>109</v>
      </c>
      <c r="W469" s="21" t="s">
        <v>429</v>
      </c>
      <c r="X469" s="14" t="s">
        <v>5888</v>
      </c>
      <c r="Y469" s="14" t="s">
        <v>1668</v>
      </c>
      <c r="Z469" s="14" t="s">
        <v>107</v>
      </c>
      <c r="AA469" s="14" t="s">
        <v>107</v>
      </c>
      <c r="AB469" s="14" t="s">
        <v>131</v>
      </c>
      <c r="AC469" s="14" t="s">
        <v>113</v>
      </c>
      <c r="AD469" s="14" t="s">
        <v>114</v>
      </c>
    </row>
    <row r="470" customFormat="false" ht="78" hidden="false" customHeight="true" outlineLevel="0" collapsed="false">
      <c r="A470" s="14" t="s">
        <v>5889</v>
      </c>
      <c r="B470" s="14" t="s">
        <v>44</v>
      </c>
      <c r="C470" s="14" t="s">
        <v>5890</v>
      </c>
      <c r="D470" s="14" t="s">
        <v>34</v>
      </c>
      <c r="E470" s="14" t="s">
        <v>5891</v>
      </c>
      <c r="F470" s="15" t="s">
        <v>609</v>
      </c>
      <c r="G470" s="14" t="s">
        <v>168</v>
      </c>
      <c r="H470" s="14" t="s">
        <v>5892</v>
      </c>
      <c r="I470" s="14" t="s">
        <v>5893</v>
      </c>
      <c r="J470" s="14" t="s">
        <v>54</v>
      </c>
      <c r="K470" s="23" t="s">
        <v>5244</v>
      </c>
      <c r="L470" s="14" t="s">
        <v>5894</v>
      </c>
      <c r="M470" s="14" t="s">
        <v>5895</v>
      </c>
      <c r="N470" s="14" t="s">
        <v>5896</v>
      </c>
      <c r="O470" s="14"/>
      <c r="P470" s="14" t="s">
        <v>5897</v>
      </c>
      <c r="Q470" s="14" t="s">
        <v>5898</v>
      </c>
      <c r="R470" s="14" t="s">
        <v>2628</v>
      </c>
      <c r="S470" s="17" t="s">
        <v>107</v>
      </c>
      <c r="T470" s="20" t="s">
        <v>324</v>
      </c>
      <c r="U470" s="14" t="s">
        <v>5899</v>
      </c>
      <c r="V470" s="14" t="s">
        <v>109</v>
      </c>
      <c r="W470" s="18" t="s">
        <v>110</v>
      </c>
      <c r="X470" s="14" t="s">
        <v>5900</v>
      </c>
      <c r="Y470" s="14" t="s">
        <v>1668</v>
      </c>
      <c r="Z470" s="14" t="s">
        <v>107</v>
      </c>
      <c r="AA470" s="14" t="s">
        <v>107</v>
      </c>
      <c r="AB470" s="14" t="s">
        <v>112</v>
      </c>
      <c r="AC470" s="14" t="s">
        <v>560</v>
      </c>
      <c r="AD470" s="14" t="s">
        <v>561</v>
      </c>
    </row>
    <row r="471" customFormat="false" ht="78" hidden="false" customHeight="true" outlineLevel="0" collapsed="false">
      <c r="A471" s="14" t="s">
        <v>5901</v>
      </c>
      <c r="B471" s="14" t="s">
        <v>45</v>
      </c>
      <c r="C471" s="14" t="s">
        <v>5902</v>
      </c>
      <c r="D471" s="14" t="s">
        <v>34</v>
      </c>
      <c r="E471" s="14" t="s">
        <v>5903</v>
      </c>
      <c r="F471" s="15" t="s">
        <v>1425</v>
      </c>
      <c r="G471" s="14" t="s">
        <v>5904</v>
      </c>
      <c r="H471" s="14" t="s">
        <v>5905</v>
      </c>
      <c r="I471" s="14" t="s">
        <v>5906</v>
      </c>
      <c r="J471" s="14" t="s">
        <v>56</v>
      </c>
      <c r="K471" s="23" t="s">
        <v>5244</v>
      </c>
      <c r="L471" s="14" t="s">
        <v>5907</v>
      </c>
      <c r="M471" s="14" t="s">
        <v>5908</v>
      </c>
      <c r="N471" s="14" t="s">
        <v>5909</v>
      </c>
      <c r="O471" s="14"/>
      <c r="P471" s="14" t="s">
        <v>5910</v>
      </c>
      <c r="Q471" s="14" t="s">
        <v>5911</v>
      </c>
      <c r="R471" s="14" t="s">
        <v>2341</v>
      </c>
      <c r="S471" s="20" t="s">
        <v>324</v>
      </c>
      <c r="T471" s="17" t="s">
        <v>107</v>
      </c>
      <c r="U471" s="14" t="s">
        <v>5912</v>
      </c>
      <c r="V471" s="14" t="s">
        <v>109</v>
      </c>
      <c r="W471" s="18" t="s">
        <v>110</v>
      </c>
      <c r="X471" s="14" t="s">
        <v>5913</v>
      </c>
      <c r="Y471" s="14" t="s">
        <v>5244</v>
      </c>
      <c r="Z471" s="14" t="s">
        <v>107</v>
      </c>
      <c r="AA471" s="14" t="s">
        <v>107</v>
      </c>
      <c r="AB471" s="14" t="s">
        <v>921</v>
      </c>
      <c r="AC471" s="14" t="s">
        <v>113</v>
      </c>
      <c r="AD471" s="14" t="s">
        <v>114</v>
      </c>
    </row>
    <row r="472" customFormat="false" ht="78" hidden="false" customHeight="true" outlineLevel="0" collapsed="false">
      <c r="A472" s="14" t="s">
        <v>5914</v>
      </c>
      <c r="B472" s="14" t="s">
        <v>43</v>
      </c>
      <c r="C472" s="14" t="s">
        <v>5915</v>
      </c>
      <c r="D472" s="14" t="s">
        <v>34</v>
      </c>
      <c r="E472" s="14" t="s">
        <v>5916</v>
      </c>
      <c r="F472" s="15" t="s">
        <v>1425</v>
      </c>
      <c r="G472" s="14" t="s">
        <v>623</v>
      </c>
      <c r="H472" s="14" t="s">
        <v>5917</v>
      </c>
      <c r="I472" s="14" t="s">
        <v>5918</v>
      </c>
      <c r="J472" s="14" t="s">
        <v>50</v>
      </c>
      <c r="K472" s="23" t="s">
        <v>5244</v>
      </c>
      <c r="L472" s="14" t="s">
        <v>5919</v>
      </c>
      <c r="M472" s="14" t="s">
        <v>5920</v>
      </c>
      <c r="N472" s="14" t="s">
        <v>5921</v>
      </c>
      <c r="O472" s="14"/>
      <c r="P472" s="14" t="s">
        <v>5922</v>
      </c>
      <c r="Q472" s="14" t="s">
        <v>5923</v>
      </c>
      <c r="R472" s="14" t="s">
        <v>161</v>
      </c>
      <c r="S472" s="20" t="s">
        <v>324</v>
      </c>
      <c r="T472" s="17" t="s">
        <v>107</v>
      </c>
      <c r="U472" s="14" t="s">
        <v>5924</v>
      </c>
      <c r="V472" s="14" t="s">
        <v>109</v>
      </c>
      <c r="W472" s="21" t="s">
        <v>429</v>
      </c>
      <c r="X472" s="14" t="s">
        <v>5925</v>
      </c>
      <c r="Y472" s="14" t="s">
        <v>1668</v>
      </c>
      <c r="Z472" s="14" t="s">
        <v>107</v>
      </c>
      <c r="AA472" s="14" t="s">
        <v>107</v>
      </c>
      <c r="AB472" s="14" t="s">
        <v>131</v>
      </c>
      <c r="AC472" s="14" t="s">
        <v>113</v>
      </c>
      <c r="AD472" s="14" t="s">
        <v>114</v>
      </c>
    </row>
    <row r="473" customFormat="false" ht="78" hidden="false" customHeight="true" outlineLevel="0" collapsed="false">
      <c r="A473" s="14" t="s">
        <v>5926</v>
      </c>
      <c r="B473" s="14" t="s">
        <v>43</v>
      </c>
      <c r="C473" s="14" t="s">
        <v>5877</v>
      </c>
      <c r="D473" s="14" t="s">
        <v>34</v>
      </c>
      <c r="E473" s="14" t="s">
        <v>5927</v>
      </c>
      <c r="F473" s="15" t="s">
        <v>5928</v>
      </c>
      <c r="G473" s="14" t="s">
        <v>533</v>
      </c>
      <c r="H473" s="14" t="s">
        <v>5929</v>
      </c>
      <c r="I473" s="14" t="s">
        <v>5930</v>
      </c>
      <c r="J473" s="14" t="s">
        <v>51</v>
      </c>
      <c r="K473" s="23" t="s">
        <v>5244</v>
      </c>
      <c r="L473" s="14" t="s">
        <v>5931</v>
      </c>
      <c r="M473" s="14" t="s">
        <v>5932</v>
      </c>
      <c r="N473" s="14" t="s">
        <v>5933</v>
      </c>
      <c r="O473" s="14"/>
      <c r="P473" s="14" t="s">
        <v>5934</v>
      </c>
      <c r="Q473" s="14" t="s">
        <v>5935</v>
      </c>
      <c r="R473" s="14" t="s">
        <v>575</v>
      </c>
      <c r="S473" s="20" t="s">
        <v>324</v>
      </c>
      <c r="T473" s="20" t="s">
        <v>324</v>
      </c>
      <c r="U473" s="14" t="s">
        <v>5936</v>
      </c>
      <c r="V473" s="14" t="s">
        <v>109</v>
      </c>
      <c r="W473" s="21" t="s">
        <v>429</v>
      </c>
      <c r="X473" s="14" t="s">
        <v>5937</v>
      </c>
      <c r="Y473" s="14" t="s">
        <v>1668</v>
      </c>
      <c r="Z473" s="14" t="s">
        <v>107</v>
      </c>
      <c r="AA473" s="14" t="s">
        <v>107</v>
      </c>
      <c r="AB473" s="14" t="s">
        <v>131</v>
      </c>
      <c r="AC473" s="14" t="s">
        <v>113</v>
      </c>
      <c r="AD473" s="14" t="s">
        <v>114</v>
      </c>
    </row>
    <row r="474" customFormat="false" ht="78" hidden="false" customHeight="true" outlineLevel="0" collapsed="false">
      <c r="A474" s="14" t="s">
        <v>5938</v>
      </c>
      <c r="B474" s="14" t="s">
        <v>44</v>
      </c>
      <c r="C474" s="14" t="s">
        <v>5939</v>
      </c>
      <c r="D474" s="14" t="s">
        <v>32</v>
      </c>
      <c r="E474" s="14" t="s">
        <v>5940</v>
      </c>
      <c r="F474" s="15" t="s">
        <v>581</v>
      </c>
      <c r="G474" s="14" t="s">
        <v>713</v>
      </c>
      <c r="H474" s="14" t="s">
        <v>5941</v>
      </c>
      <c r="I474" s="14" t="s">
        <v>5942</v>
      </c>
      <c r="J474" s="14" t="s">
        <v>202</v>
      </c>
      <c r="K474" s="23" t="s">
        <v>5244</v>
      </c>
      <c r="L474" s="14" t="s">
        <v>5943</v>
      </c>
      <c r="M474" s="14" t="s">
        <v>5944</v>
      </c>
      <c r="N474" s="14" t="s">
        <v>5945</v>
      </c>
      <c r="O474" s="14"/>
      <c r="P474" s="14" t="s">
        <v>5946</v>
      </c>
      <c r="Q474" s="14" t="s">
        <v>5947</v>
      </c>
      <c r="R474" s="14" t="s">
        <v>161</v>
      </c>
      <c r="S474" s="20" t="s">
        <v>324</v>
      </c>
      <c r="T474" s="20" t="s">
        <v>324</v>
      </c>
      <c r="U474" s="14" t="s">
        <v>5948</v>
      </c>
      <c r="V474" s="14" t="s">
        <v>109</v>
      </c>
      <c r="W474" s="21" t="s">
        <v>429</v>
      </c>
      <c r="X474" s="14" t="s">
        <v>5949</v>
      </c>
      <c r="Y474" s="14" t="s">
        <v>1668</v>
      </c>
      <c r="Z474" s="14" t="s">
        <v>107</v>
      </c>
      <c r="AA474" s="14" t="s">
        <v>107</v>
      </c>
      <c r="AB474" s="14" t="s">
        <v>112</v>
      </c>
      <c r="AC474" s="14" t="s">
        <v>113</v>
      </c>
      <c r="AD474" s="14" t="s">
        <v>114</v>
      </c>
    </row>
    <row r="475" customFormat="false" ht="78" hidden="false" customHeight="true" outlineLevel="0" collapsed="false">
      <c r="A475" s="14" t="s">
        <v>5950</v>
      </c>
      <c r="B475" s="14" t="s">
        <v>44</v>
      </c>
      <c r="C475" s="14" t="s">
        <v>5951</v>
      </c>
      <c r="D475" s="14" t="s">
        <v>32</v>
      </c>
      <c r="E475" s="14" t="s">
        <v>5952</v>
      </c>
      <c r="F475" s="15" t="s">
        <v>135</v>
      </c>
      <c r="G475" s="14" t="s">
        <v>136</v>
      </c>
      <c r="H475" s="14" t="s">
        <v>5953</v>
      </c>
      <c r="I475" s="14" t="s">
        <v>5954</v>
      </c>
      <c r="J475" s="14" t="s">
        <v>99</v>
      </c>
      <c r="K475" s="23" t="s">
        <v>5244</v>
      </c>
      <c r="L475" s="14" t="s">
        <v>5955</v>
      </c>
      <c r="M475" s="14" t="s">
        <v>5956</v>
      </c>
      <c r="N475" s="14" t="s">
        <v>5957</v>
      </c>
      <c r="O475" s="14"/>
      <c r="P475" s="14" t="s">
        <v>5958</v>
      </c>
      <c r="Q475" s="14" t="s">
        <v>5959</v>
      </c>
      <c r="R475" s="14" t="s">
        <v>2341</v>
      </c>
      <c r="S475" s="20" t="s">
        <v>324</v>
      </c>
      <c r="T475" s="17" t="s">
        <v>107</v>
      </c>
      <c r="U475" s="14" t="s">
        <v>5960</v>
      </c>
      <c r="V475" s="14" t="s">
        <v>109</v>
      </c>
      <c r="W475" s="21" t="s">
        <v>429</v>
      </c>
      <c r="X475" s="14" t="s">
        <v>5961</v>
      </c>
      <c r="Y475" s="14" t="s">
        <v>1668</v>
      </c>
      <c r="Z475" s="14" t="s">
        <v>946</v>
      </c>
      <c r="AA475" s="14" t="s">
        <v>107</v>
      </c>
      <c r="AB475" s="14" t="s">
        <v>112</v>
      </c>
      <c r="AC475" s="14" t="s">
        <v>113</v>
      </c>
      <c r="AD475" s="14" t="s">
        <v>114</v>
      </c>
    </row>
    <row r="476" customFormat="false" ht="78" hidden="false" customHeight="true" outlineLevel="0" collapsed="false">
      <c r="A476" s="14" t="s">
        <v>5962</v>
      </c>
      <c r="B476" s="14" t="s">
        <v>45</v>
      </c>
      <c r="C476" s="14" t="s">
        <v>2558</v>
      </c>
      <c r="D476" s="14" t="s">
        <v>32</v>
      </c>
      <c r="E476" s="14" t="s">
        <v>5963</v>
      </c>
      <c r="F476" s="15" t="s">
        <v>726</v>
      </c>
      <c r="G476" s="14" t="s">
        <v>285</v>
      </c>
      <c r="H476" s="14" t="s">
        <v>5964</v>
      </c>
      <c r="I476" s="14" t="s">
        <v>5965</v>
      </c>
      <c r="J476" s="14" t="s">
        <v>53</v>
      </c>
      <c r="K476" s="23" t="s">
        <v>5244</v>
      </c>
      <c r="L476" s="14" t="s">
        <v>5966</v>
      </c>
      <c r="M476" s="14" t="s">
        <v>5967</v>
      </c>
      <c r="N476" s="14" t="s">
        <v>5968</v>
      </c>
      <c r="O476" s="14"/>
      <c r="P476" s="14" t="s">
        <v>5969</v>
      </c>
      <c r="Q476" s="14" t="s">
        <v>5970</v>
      </c>
      <c r="R476" s="14" t="s">
        <v>2341</v>
      </c>
      <c r="S476" s="17" t="s">
        <v>107</v>
      </c>
      <c r="T476" s="17" t="s">
        <v>107</v>
      </c>
      <c r="U476" s="14" t="s">
        <v>5971</v>
      </c>
      <c r="V476" s="14" t="s">
        <v>109</v>
      </c>
      <c r="W476" s="21" t="s">
        <v>429</v>
      </c>
      <c r="X476" s="14" t="s">
        <v>5972</v>
      </c>
      <c r="Y476" s="14" t="s">
        <v>194</v>
      </c>
      <c r="Z476" s="14" t="s">
        <v>107</v>
      </c>
      <c r="AA476" s="14" t="s">
        <v>107</v>
      </c>
      <c r="AB476" s="14" t="s">
        <v>921</v>
      </c>
      <c r="AC476" s="14" t="s">
        <v>113</v>
      </c>
      <c r="AD476" s="14" t="s">
        <v>114</v>
      </c>
    </row>
    <row r="477" customFormat="false" ht="78" hidden="false" customHeight="true" outlineLevel="0" collapsed="false">
      <c r="A477" s="14" t="s">
        <v>5973</v>
      </c>
      <c r="B477" s="14" t="s">
        <v>45</v>
      </c>
      <c r="C477" s="14" t="s">
        <v>2963</v>
      </c>
      <c r="D477" s="14" t="s">
        <v>32</v>
      </c>
      <c r="E477" s="14" t="s">
        <v>5974</v>
      </c>
      <c r="F477" s="15" t="s">
        <v>5975</v>
      </c>
      <c r="G477" s="14" t="s">
        <v>136</v>
      </c>
      <c r="H477" s="14" t="s">
        <v>5976</v>
      </c>
      <c r="I477" s="14" t="s">
        <v>5977</v>
      </c>
      <c r="J477" s="14" t="s">
        <v>56</v>
      </c>
      <c r="K477" s="23" t="s">
        <v>5244</v>
      </c>
      <c r="L477" s="14" t="s">
        <v>5978</v>
      </c>
      <c r="M477" s="14" t="s">
        <v>5979</v>
      </c>
      <c r="N477" s="14" t="s">
        <v>5980</v>
      </c>
      <c r="O477" s="14"/>
      <c r="P477" s="14" t="s">
        <v>5981</v>
      </c>
      <c r="Q477" s="14" t="s">
        <v>5982</v>
      </c>
      <c r="R477" s="14" t="s">
        <v>2341</v>
      </c>
      <c r="S477" s="20" t="s">
        <v>324</v>
      </c>
      <c r="T477" s="17" t="s">
        <v>107</v>
      </c>
      <c r="U477" s="14" t="s">
        <v>5983</v>
      </c>
      <c r="V477" s="14" t="s">
        <v>109</v>
      </c>
      <c r="W477" s="18" t="s">
        <v>110</v>
      </c>
      <c r="X477" s="14" t="s">
        <v>5984</v>
      </c>
      <c r="Y477" s="14" t="s">
        <v>5244</v>
      </c>
      <c r="Z477" s="14" t="s">
        <v>107</v>
      </c>
      <c r="AA477" s="14" t="s">
        <v>107</v>
      </c>
      <c r="AB477" s="14" t="s">
        <v>921</v>
      </c>
      <c r="AC477" s="14" t="s">
        <v>113</v>
      </c>
      <c r="AD477" s="14" t="s">
        <v>114</v>
      </c>
    </row>
    <row r="478" customFormat="false" ht="78" hidden="false" customHeight="true" outlineLevel="0" collapsed="false">
      <c r="A478" s="14" t="s">
        <v>5985</v>
      </c>
      <c r="B478" s="14" t="s">
        <v>47</v>
      </c>
      <c r="C478" s="14" t="s">
        <v>2595</v>
      </c>
      <c r="D478" s="14" t="s">
        <v>32</v>
      </c>
      <c r="E478" s="14" t="s">
        <v>5986</v>
      </c>
      <c r="F478" s="15" t="s">
        <v>767</v>
      </c>
      <c r="G478" s="14" t="s">
        <v>768</v>
      </c>
      <c r="H478" s="14" t="s">
        <v>5987</v>
      </c>
      <c r="I478" s="14" t="s">
        <v>5988</v>
      </c>
      <c r="J478" s="14" t="s">
        <v>52</v>
      </c>
      <c r="K478" s="23" t="s">
        <v>5244</v>
      </c>
      <c r="L478" s="14" t="s">
        <v>5989</v>
      </c>
      <c r="M478" s="14" t="s">
        <v>5990</v>
      </c>
      <c r="N478" s="14" t="s">
        <v>5991</v>
      </c>
      <c r="O478" s="14"/>
      <c r="P478" s="14" t="s">
        <v>5992</v>
      </c>
      <c r="Q478" s="14" t="s">
        <v>5993</v>
      </c>
      <c r="R478" s="14" t="s">
        <v>2542</v>
      </c>
      <c r="S478" s="20" t="s">
        <v>324</v>
      </c>
      <c r="T478" s="17" t="s">
        <v>107</v>
      </c>
      <c r="U478" s="14" t="s">
        <v>5994</v>
      </c>
      <c r="V478" s="14" t="s">
        <v>109</v>
      </c>
      <c r="W478" s="21" t="s">
        <v>429</v>
      </c>
      <c r="X478" s="14" t="s">
        <v>5995</v>
      </c>
      <c r="Y478" s="14" t="s">
        <v>1668</v>
      </c>
      <c r="Z478" s="14" t="s">
        <v>107</v>
      </c>
      <c r="AA478" s="14" t="s">
        <v>107</v>
      </c>
      <c r="AB478" s="14" t="s">
        <v>2204</v>
      </c>
      <c r="AC478" s="14" t="s">
        <v>113</v>
      </c>
      <c r="AD478" s="14" t="s">
        <v>114</v>
      </c>
    </row>
    <row r="479" customFormat="false" ht="78" hidden="false" customHeight="true" outlineLevel="0" collapsed="false">
      <c r="A479" s="14" t="s">
        <v>5996</v>
      </c>
      <c r="B479" s="14" t="s">
        <v>43</v>
      </c>
      <c r="C479" s="14" t="s">
        <v>5997</v>
      </c>
      <c r="D479" s="14" t="s">
        <v>32</v>
      </c>
      <c r="E479" s="14" t="s">
        <v>752</v>
      </c>
      <c r="F479" s="15" t="s">
        <v>753</v>
      </c>
      <c r="G479" s="14" t="s">
        <v>754</v>
      </c>
      <c r="H479" s="14" t="s">
        <v>5998</v>
      </c>
      <c r="I479" s="14" t="s">
        <v>5999</v>
      </c>
      <c r="J479" s="14" t="s">
        <v>50</v>
      </c>
      <c r="K479" s="23" t="s">
        <v>5244</v>
      </c>
      <c r="L479" s="14" t="s">
        <v>6000</v>
      </c>
      <c r="M479" s="14" t="s">
        <v>6001</v>
      </c>
      <c r="N479" s="14" t="s">
        <v>6002</v>
      </c>
      <c r="O479" s="14"/>
      <c r="P479" s="14" t="s">
        <v>6003</v>
      </c>
      <c r="Q479" s="14" t="s">
        <v>6004</v>
      </c>
      <c r="R479" s="14" t="s">
        <v>161</v>
      </c>
      <c r="S479" s="20" t="s">
        <v>324</v>
      </c>
      <c r="T479" s="17" t="s">
        <v>107</v>
      </c>
      <c r="U479" s="14" t="s">
        <v>6005</v>
      </c>
      <c r="V479" s="14" t="s">
        <v>109</v>
      </c>
      <c r="W479" s="21" t="s">
        <v>429</v>
      </c>
      <c r="X479" s="14" t="s">
        <v>6006</v>
      </c>
      <c r="Y479" s="14" t="s">
        <v>1668</v>
      </c>
      <c r="Z479" s="14" t="s">
        <v>107</v>
      </c>
      <c r="AA479" s="14" t="s">
        <v>107</v>
      </c>
      <c r="AB479" s="14" t="s">
        <v>131</v>
      </c>
      <c r="AC479" s="14" t="s">
        <v>113</v>
      </c>
      <c r="AD479" s="14" t="s">
        <v>114</v>
      </c>
    </row>
    <row r="480" customFormat="false" ht="78" hidden="false" customHeight="true" outlineLevel="0" collapsed="false">
      <c r="A480" s="14" t="s">
        <v>6007</v>
      </c>
      <c r="B480" s="14" t="s">
        <v>44</v>
      </c>
      <c r="C480" s="14" t="s">
        <v>6008</v>
      </c>
      <c r="D480" s="14" t="s">
        <v>150</v>
      </c>
      <c r="E480" s="14" t="s">
        <v>6009</v>
      </c>
      <c r="F480" s="15" t="s">
        <v>2917</v>
      </c>
      <c r="G480" s="14" t="s">
        <v>2916</v>
      </c>
      <c r="H480" s="14" t="s">
        <v>6010</v>
      </c>
      <c r="I480" s="14" t="s">
        <v>6011</v>
      </c>
      <c r="J480" s="14" t="s">
        <v>55</v>
      </c>
      <c r="K480" s="23" t="s">
        <v>5244</v>
      </c>
      <c r="L480" s="14" t="s">
        <v>6012</v>
      </c>
      <c r="M480" s="14" t="s">
        <v>6013</v>
      </c>
      <c r="N480" s="14" t="s">
        <v>6014</v>
      </c>
      <c r="O480" s="14"/>
      <c r="P480" s="14" t="s">
        <v>6015</v>
      </c>
      <c r="Q480" s="14" t="s">
        <v>6016</v>
      </c>
      <c r="R480" s="14" t="s">
        <v>2628</v>
      </c>
      <c r="S480" s="20" t="s">
        <v>324</v>
      </c>
      <c r="T480" s="20" t="s">
        <v>324</v>
      </c>
      <c r="U480" s="14" t="s">
        <v>6017</v>
      </c>
      <c r="V480" s="14" t="s">
        <v>109</v>
      </c>
      <c r="W480" s="18" t="s">
        <v>110</v>
      </c>
      <c r="X480" s="14" t="s">
        <v>6018</v>
      </c>
      <c r="Y480" s="14" t="s">
        <v>5244</v>
      </c>
      <c r="Z480" s="14" t="s">
        <v>107</v>
      </c>
      <c r="AA480" s="14" t="s">
        <v>107</v>
      </c>
      <c r="AB480" s="14" t="s">
        <v>112</v>
      </c>
      <c r="AC480" s="14" t="s">
        <v>113</v>
      </c>
      <c r="AD480" s="14" t="s">
        <v>114</v>
      </c>
    </row>
    <row r="481" customFormat="false" ht="78" hidden="false" customHeight="true" outlineLevel="0" collapsed="false">
      <c r="A481" s="14" t="s">
        <v>6019</v>
      </c>
      <c r="B481" s="14" t="s">
        <v>44</v>
      </c>
      <c r="C481" s="14" t="s">
        <v>6020</v>
      </c>
      <c r="D481" s="14" t="s">
        <v>150</v>
      </c>
      <c r="E481" s="14" t="s">
        <v>6021</v>
      </c>
      <c r="F481" s="15" t="s">
        <v>6022</v>
      </c>
      <c r="G481" s="14" t="s">
        <v>6023</v>
      </c>
      <c r="H481" s="14" t="s">
        <v>6024</v>
      </c>
      <c r="I481" s="14" t="s">
        <v>6025</v>
      </c>
      <c r="J481" s="14" t="s">
        <v>202</v>
      </c>
      <c r="K481" s="23" t="s">
        <v>5244</v>
      </c>
      <c r="L481" s="14" t="s">
        <v>6026</v>
      </c>
      <c r="M481" s="14" t="s">
        <v>6027</v>
      </c>
      <c r="N481" s="14" t="s">
        <v>6028</v>
      </c>
      <c r="O481" s="14"/>
      <c r="P481" s="14" t="s">
        <v>6029</v>
      </c>
      <c r="Q481" s="14" t="s">
        <v>6030</v>
      </c>
      <c r="R481" s="14" t="s">
        <v>161</v>
      </c>
      <c r="S481" s="20" t="s">
        <v>324</v>
      </c>
      <c r="T481" s="20" t="s">
        <v>324</v>
      </c>
      <c r="U481" s="14" t="s">
        <v>6031</v>
      </c>
      <c r="V481" s="14" t="s">
        <v>109</v>
      </c>
      <c r="W481" s="21" t="s">
        <v>429</v>
      </c>
      <c r="X481" s="14" t="s">
        <v>6032</v>
      </c>
      <c r="Y481" s="14" t="s">
        <v>1668</v>
      </c>
      <c r="Z481" s="14" t="s">
        <v>107</v>
      </c>
      <c r="AA481" s="14" t="s">
        <v>107</v>
      </c>
      <c r="AB481" s="14" t="s">
        <v>112</v>
      </c>
      <c r="AC481" s="14" t="s">
        <v>113</v>
      </c>
      <c r="AD481" s="14" t="s">
        <v>114</v>
      </c>
    </row>
    <row r="482" customFormat="false" ht="78" hidden="false" customHeight="true" outlineLevel="0" collapsed="false">
      <c r="A482" s="14" t="s">
        <v>6033</v>
      </c>
      <c r="B482" s="14" t="s">
        <v>47</v>
      </c>
      <c r="C482" s="14" t="s">
        <v>2595</v>
      </c>
      <c r="D482" s="14" t="s">
        <v>150</v>
      </c>
      <c r="E482" s="14" t="s">
        <v>6034</v>
      </c>
      <c r="F482" s="15" t="s">
        <v>152</v>
      </c>
      <c r="G482" s="14" t="s">
        <v>153</v>
      </c>
      <c r="H482" s="14" t="s">
        <v>2596</v>
      </c>
      <c r="I482" s="14" t="s">
        <v>6035</v>
      </c>
      <c r="J482" s="14" t="s">
        <v>52</v>
      </c>
      <c r="K482" s="23" t="s">
        <v>5244</v>
      </c>
      <c r="L482" s="14" t="s">
        <v>6036</v>
      </c>
      <c r="M482" s="14" t="s">
        <v>6037</v>
      </c>
      <c r="N482" s="14" t="s">
        <v>6038</v>
      </c>
      <c r="O482" s="14"/>
      <c r="P482" s="14" t="s">
        <v>6039</v>
      </c>
      <c r="Q482" s="14" t="s">
        <v>6040</v>
      </c>
      <c r="R482" s="14" t="s">
        <v>2542</v>
      </c>
      <c r="S482" s="20" t="s">
        <v>324</v>
      </c>
      <c r="T482" s="17" t="s">
        <v>107</v>
      </c>
      <c r="U482" s="14" t="s">
        <v>6041</v>
      </c>
      <c r="V482" s="14" t="s">
        <v>109</v>
      </c>
      <c r="W482" s="18" t="s">
        <v>110</v>
      </c>
      <c r="X482" s="14" t="s">
        <v>6042</v>
      </c>
      <c r="Y482" s="14" t="s">
        <v>1668</v>
      </c>
      <c r="Z482" s="14" t="s">
        <v>107</v>
      </c>
      <c r="AA482" s="14" t="s">
        <v>107</v>
      </c>
      <c r="AB482" s="14" t="s">
        <v>2204</v>
      </c>
      <c r="AC482" s="14" t="s">
        <v>113</v>
      </c>
      <c r="AD482" s="14" t="s">
        <v>114</v>
      </c>
    </row>
    <row r="483" customFormat="false" ht="78" hidden="false" customHeight="true" outlineLevel="0" collapsed="false">
      <c r="A483" s="14" t="s">
        <v>6043</v>
      </c>
      <c r="B483" s="14" t="s">
        <v>48</v>
      </c>
      <c r="C483" s="14" t="s">
        <v>2345</v>
      </c>
      <c r="D483" s="14" t="s">
        <v>150</v>
      </c>
      <c r="E483" s="14" t="s">
        <v>6044</v>
      </c>
      <c r="F483" s="15" t="s">
        <v>6045</v>
      </c>
      <c r="G483" s="14" t="s">
        <v>285</v>
      </c>
      <c r="H483" s="14" t="s">
        <v>6046</v>
      </c>
      <c r="I483" s="14" t="s">
        <v>6047</v>
      </c>
      <c r="J483" s="14" t="s">
        <v>54</v>
      </c>
      <c r="K483" s="23" t="s">
        <v>5244</v>
      </c>
      <c r="L483" s="14" t="s">
        <v>6048</v>
      </c>
      <c r="M483" s="14" t="s">
        <v>2351</v>
      </c>
      <c r="N483" s="14" t="s">
        <v>6049</v>
      </c>
      <c r="O483" s="14"/>
      <c r="P483" s="14" t="s">
        <v>6050</v>
      </c>
      <c r="Q483" s="14" t="s">
        <v>6051</v>
      </c>
      <c r="R483" s="14" t="s">
        <v>2341</v>
      </c>
      <c r="S483" s="17" t="s">
        <v>107</v>
      </c>
      <c r="T483" s="20" t="s">
        <v>324</v>
      </c>
      <c r="U483" s="14" t="s">
        <v>6052</v>
      </c>
      <c r="V483" s="14" t="s">
        <v>109</v>
      </c>
      <c r="W483" s="21" t="s">
        <v>429</v>
      </c>
      <c r="X483" s="14" t="s">
        <v>6053</v>
      </c>
      <c r="Y483" s="14" t="s">
        <v>1668</v>
      </c>
      <c r="Z483" s="14" t="s">
        <v>107</v>
      </c>
      <c r="AA483" s="14" t="s">
        <v>107</v>
      </c>
      <c r="AB483" s="14" t="s">
        <v>559</v>
      </c>
      <c r="AC483" s="14" t="s">
        <v>560</v>
      </c>
      <c r="AD483" s="14" t="s">
        <v>561</v>
      </c>
    </row>
    <row r="484" customFormat="false" ht="78" hidden="false" customHeight="true" outlineLevel="0" collapsed="false">
      <c r="A484" s="14" t="s">
        <v>6054</v>
      </c>
      <c r="B484" s="14" t="s">
        <v>43</v>
      </c>
      <c r="C484" s="14" t="s">
        <v>3012</v>
      </c>
      <c r="D484" s="14" t="s">
        <v>150</v>
      </c>
      <c r="E484" s="14" t="s">
        <v>2859</v>
      </c>
      <c r="F484" s="15" t="s">
        <v>871</v>
      </c>
      <c r="G484" s="14" t="s">
        <v>153</v>
      </c>
      <c r="H484" s="14" t="s">
        <v>6055</v>
      </c>
      <c r="I484" s="14" t="s">
        <v>6056</v>
      </c>
      <c r="J484" s="14" t="s">
        <v>51</v>
      </c>
      <c r="K484" s="23" t="s">
        <v>5244</v>
      </c>
      <c r="L484" s="14" t="s">
        <v>6057</v>
      </c>
      <c r="M484" s="14" t="s">
        <v>6058</v>
      </c>
      <c r="N484" s="14" t="s">
        <v>6059</v>
      </c>
      <c r="O484" s="14"/>
      <c r="P484" s="14" t="s">
        <v>6060</v>
      </c>
      <c r="Q484" s="14" t="s">
        <v>6061</v>
      </c>
      <c r="R484" s="14" t="s">
        <v>161</v>
      </c>
      <c r="S484" s="17" t="s">
        <v>107</v>
      </c>
      <c r="T484" s="20" t="s">
        <v>324</v>
      </c>
      <c r="U484" s="14" t="s">
        <v>6062</v>
      </c>
      <c r="V484" s="14" t="s">
        <v>109</v>
      </c>
      <c r="W484" s="21" t="s">
        <v>429</v>
      </c>
      <c r="X484" s="14" t="s">
        <v>6063</v>
      </c>
      <c r="Y484" s="14" t="s">
        <v>194</v>
      </c>
      <c r="Z484" s="14" t="s">
        <v>107</v>
      </c>
      <c r="AA484" s="14" t="s">
        <v>107</v>
      </c>
      <c r="AB484" s="14" t="s">
        <v>131</v>
      </c>
      <c r="AC484" s="14" t="s">
        <v>113</v>
      </c>
      <c r="AD484" s="14" t="s">
        <v>114</v>
      </c>
    </row>
    <row r="485" customFormat="false" ht="78" hidden="false" customHeight="true" outlineLevel="0" collapsed="false">
      <c r="A485" s="14" t="s">
        <v>6064</v>
      </c>
      <c r="B485" s="14" t="s">
        <v>43</v>
      </c>
      <c r="C485" s="14" t="s">
        <v>6065</v>
      </c>
      <c r="D485" s="14" t="s">
        <v>150</v>
      </c>
      <c r="E485" s="14" t="s">
        <v>2859</v>
      </c>
      <c r="F485" s="15" t="s">
        <v>871</v>
      </c>
      <c r="G485" s="14" t="s">
        <v>153</v>
      </c>
      <c r="H485" s="14" t="s">
        <v>6066</v>
      </c>
      <c r="I485" s="14" t="s">
        <v>6067</v>
      </c>
      <c r="J485" s="14" t="s">
        <v>50</v>
      </c>
      <c r="K485" s="23" t="s">
        <v>5244</v>
      </c>
      <c r="L485" s="14" t="s">
        <v>6068</v>
      </c>
      <c r="M485" s="14" t="s">
        <v>6069</v>
      </c>
      <c r="N485" s="14" t="s">
        <v>6070</v>
      </c>
      <c r="O485" s="14"/>
      <c r="P485" s="14" t="s">
        <v>6071</v>
      </c>
      <c r="Q485" s="14" t="s">
        <v>6072</v>
      </c>
      <c r="R485" s="14" t="s">
        <v>161</v>
      </c>
      <c r="S485" s="20" t="s">
        <v>324</v>
      </c>
      <c r="T485" s="17" t="s">
        <v>107</v>
      </c>
      <c r="U485" s="14" t="s">
        <v>6073</v>
      </c>
      <c r="V485" s="14" t="s">
        <v>109</v>
      </c>
      <c r="W485" s="18" t="s">
        <v>110</v>
      </c>
      <c r="X485" s="14" t="s">
        <v>6074</v>
      </c>
      <c r="Y485" s="14" t="s">
        <v>1668</v>
      </c>
      <c r="Z485" s="14" t="s">
        <v>107</v>
      </c>
      <c r="AA485" s="14" t="s">
        <v>107</v>
      </c>
      <c r="AB485" s="14" t="s">
        <v>131</v>
      </c>
      <c r="AC485" s="14" t="s">
        <v>113</v>
      </c>
      <c r="AD485" s="14" t="s">
        <v>114</v>
      </c>
    </row>
    <row r="486" customFormat="false" ht="78" hidden="false" customHeight="true" outlineLevel="0" collapsed="false">
      <c r="A486" s="14" t="s">
        <v>6075</v>
      </c>
      <c r="B486" s="14" t="s">
        <v>43</v>
      </c>
      <c r="C486" s="14" t="s">
        <v>6076</v>
      </c>
      <c r="D486" s="14" t="s">
        <v>150</v>
      </c>
      <c r="E486" s="14" t="s">
        <v>6077</v>
      </c>
      <c r="F486" s="15" t="s">
        <v>6078</v>
      </c>
      <c r="G486" s="14" t="s">
        <v>168</v>
      </c>
      <c r="H486" s="14" t="s">
        <v>6079</v>
      </c>
      <c r="I486" s="14" t="s">
        <v>6080</v>
      </c>
      <c r="J486" s="14" t="s">
        <v>50</v>
      </c>
      <c r="K486" s="23" t="s">
        <v>5244</v>
      </c>
      <c r="L486" s="14" t="s">
        <v>6081</v>
      </c>
      <c r="M486" s="14" t="s">
        <v>6082</v>
      </c>
      <c r="N486" s="14" t="s">
        <v>6083</v>
      </c>
      <c r="O486" s="14"/>
      <c r="P486" s="14" t="s">
        <v>6084</v>
      </c>
      <c r="Q486" s="14" t="s">
        <v>6085</v>
      </c>
      <c r="R486" s="14" t="s">
        <v>851</v>
      </c>
      <c r="S486" s="17" t="s">
        <v>107</v>
      </c>
      <c r="T486" s="17" t="s">
        <v>107</v>
      </c>
      <c r="U486" s="14" t="s">
        <v>6086</v>
      </c>
      <c r="V486" s="14" t="s">
        <v>109</v>
      </c>
      <c r="W486" s="21" t="s">
        <v>429</v>
      </c>
      <c r="X486" s="14" t="s">
        <v>6087</v>
      </c>
      <c r="Y486" s="14" t="s">
        <v>194</v>
      </c>
      <c r="Z486" s="14" t="s">
        <v>107</v>
      </c>
      <c r="AA486" s="14" t="s">
        <v>107</v>
      </c>
      <c r="AB486" s="14" t="s">
        <v>131</v>
      </c>
      <c r="AC486" s="14" t="s">
        <v>113</v>
      </c>
      <c r="AD486" s="14" t="s">
        <v>114</v>
      </c>
    </row>
    <row r="487" customFormat="false" ht="78" hidden="false" customHeight="true" outlineLevel="0" collapsed="false">
      <c r="A487" s="14" t="s">
        <v>6088</v>
      </c>
      <c r="B487" s="14" t="s">
        <v>43</v>
      </c>
      <c r="C487" s="14" t="s">
        <v>6089</v>
      </c>
      <c r="D487" s="14" t="s">
        <v>150</v>
      </c>
      <c r="E487" s="14" t="s">
        <v>6090</v>
      </c>
      <c r="F487" s="15" t="s">
        <v>609</v>
      </c>
      <c r="G487" s="14" t="s">
        <v>533</v>
      </c>
      <c r="H487" s="14" t="s">
        <v>6091</v>
      </c>
      <c r="I487" s="14" t="s">
        <v>6092</v>
      </c>
      <c r="J487" s="14" t="s">
        <v>56</v>
      </c>
      <c r="K487" s="23" t="s">
        <v>5244</v>
      </c>
      <c r="L487" s="14" t="s">
        <v>6093</v>
      </c>
      <c r="M487" s="14" t="s">
        <v>6094</v>
      </c>
      <c r="N487" s="14" t="s">
        <v>6095</v>
      </c>
      <c r="O487" s="14"/>
      <c r="P487" s="14" t="s">
        <v>6096</v>
      </c>
      <c r="Q487" s="14" t="s">
        <v>6097</v>
      </c>
      <c r="R487" s="14" t="s">
        <v>161</v>
      </c>
      <c r="S487" s="17" t="s">
        <v>107</v>
      </c>
      <c r="T487" s="17" t="s">
        <v>107</v>
      </c>
      <c r="U487" s="14" t="s">
        <v>6098</v>
      </c>
      <c r="V487" s="14" t="s">
        <v>109</v>
      </c>
      <c r="W487" s="21" t="s">
        <v>429</v>
      </c>
      <c r="X487" s="14" t="s">
        <v>6099</v>
      </c>
      <c r="Y487" s="14" t="s">
        <v>194</v>
      </c>
      <c r="Z487" s="14" t="s">
        <v>107</v>
      </c>
      <c r="AA487" s="14" t="s">
        <v>946</v>
      </c>
      <c r="AB487" s="14" t="s">
        <v>131</v>
      </c>
      <c r="AC487" s="14" t="s">
        <v>1314</v>
      </c>
      <c r="AD487" s="14" t="s">
        <v>1315</v>
      </c>
    </row>
    <row r="488" customFormat="false" ht="78" hidden="false" customHeight="true" outlineLevel="0" collapsed="false">
      <c r="A488" s="14" t="s">
        <v>6100</v>
      </c>
      <c r="B488" s="14" t="s">
        <v>46</v>
      </c>
      <c r="C488" s="14" t="s">
        <v>6101</v>
      </c>
      <c r="D488" s="14" t="s">
        <v>30</v>
      </c>
      <c r="E488" s="14" t="s">
        <v>6102</v>
      </c>
      <c r="F488" s="14"/>
      <c r="G488" s="14" t="s">
        <v>168</v>
      </c>
      <c r="H488" s="14" t="s">
        <v>6103</v>
      </c>
      <c r="I488" s="14" t="s">
        <v>6104</v>
      </c>
      <c r="J488" s="14" t="s">
        <v>51</v>
      </c>
      <c r="K488" s="23" t="s">
        <v>5244</v>
      </c>
      <c r="L488" s="14" t="s">
        <v>6105</v>
      </c>
      <c r="M488" s="14" t="s">
        <v>6106</v>
      </c>
      <c r="N488" s="14" t="s">
        <v>6107</v>
      </c>
      <c r="O488" s="14"/>
      <c r="P488" s="14" t="s">
        <v>6108</v>
      </c>
      <c r="Q488" s="14" t="s">
        <v>6109</v>
      </c>
      <c r="R488" s="14" t="s">
        <v>957</v>
      </c>
      <c r="S488" s="17" t="s">
        <v>107</v>
      </c>
      <c r="T488" s="17" t="s">
        <v>107</v>
      </c>
      <c r="U488" s="14" t="s">
        <v>6110</v>
      </c>
      <c r="V488" s="14" t="s">
        <v>109</v>
      </c>
      <c r="W488" s="21" t="s">
        <v>429</v>
      </c>
      <c r="X488" s="14" t="s">
        <v>6111</v>
      </c>
      <c r="Y488" s="14" t="s">
        <v>100</v>
      </c>
      <c r="Z488" s="14" t="s">
        <v>107</v>
      </c>
      <c r="AA488" s="14" t="s">
        <v>107</v>
      </c>
      <c r="AB488" s="14" t="s">
        <v>147</v>
      </c>
      <c r="AC488" s="14" t="s">
        <v>1314</v>
      </c>
      <c r="AD488" s="14" t="s">
        <v>1315</v>
      </c>
    </row>
    <row r="489" customFormat="false" ht="78" hidden="false" customHeight="true" outlineLevel="0" collapsed="false">
      <c r="A489" s="14" t="s">
        <v>6112</v>
      </c>
      <c r="B489" s="14" t="s">
        <v>44</v>
      </c>
      <c r="C489" s="14" t="s">
        <v>6113</v>
      </c>
      <c r="D489" s="14" t="s">
        <v>30</v>
      </c>
      <c r="E489" s="14" t="s">
        <v>6114</v>
      </c>
      <c r="F489" s="15" t="s">
        <v>3124</v>
      </c>
      <c r="G489" s="14" t="s">
        <v>1215</v>
      </c>
      <c r="H489" s="14" t="s">
        <v>6115</v>
      </c>
      <c r="I489" s="14" t="s">
        <v>6116</v>
      </c>
      <c r="J489" s="14" t="s">
        <v>53</v>
      </c>
      <c r="K489" s="23" t="s">
        <v>5244</v>
      </c>
      <c r="L489" s="14" t="s">
        <v>6117</v>
      </c>
      <c r="M489" s="14" t="s">
        <v>6118</v>
      </c>
      <c r="N489" s="14" t="s">
        <v>6119</v>
      </c>
      <c r="O489" s="14"/>
      <c r="P489" s="14" t="s">
        <v>6120</v>
      </c>
      <c r="Q489" s="14" t="s">
        <v>6121</v>
      </c>
      <c r="R489" s="14" t="s">
        <v>6122</v>
      </c>
      <c r="S489" s="20" t="s">
        <v>324</v>
      </c>
      <c r="T489" s="20" t="s">
        <v>324</v>
      </c>
      <c r="U489" s="14" t="s">
        <v>6123</v>
      </c>
      <c r="V489" s="14" t="s">
        <v>109</v>
      </c>
      <c r="W489" s="21" t="s">
        <v>429</v>
      </c>
      <c r="X489" s="14" t="s">
        <v>6124</v>
      </c>
      <c r="Y489" s="14" t="s">
        <v>1668</v>
      </c>
      <c r="Z489" s="14" t="s">
        <v>107</v>
      </c>
      <c r="AA489" s="14" t="s">
        <v>107</v>
      </c>
      <c r="AB489" s="14" t="s">
        <v>112</v>
      </c>
      <c r="AC489" s="14" t="s">
        <v>113</v>
      </c>
      <c r="AD489" s="14" t="s">
        <v>114</v>
      </c>
    </row>
    <row r="490" customFormat="false" ht="78" hidden="false" customHeight="true" outlineLevel="0" collapsed="false">
      <c r="A490" s="14" t="s">
        <v>6125</v>
      </c>
      <c r="B490" s="14" t="s">
        <v>44</v>
      </c>
      <c r="C490" s="14" t="s">
        <v>6126</v>
      </c>
      <c r="D490" s="14" t="s">
        <v>30</v>
      </c>
      <c r="E490" s="14" t="s">
        <v>6127</v>
      </c>
      <c r="F490" s="14"/>
      <c r="G490" s="14" t="s">
        <v>168</v>
      </c>
      <c r="H490" s="14" t="s">
        <v>6128</v>
      </c>
      <c r="I490" s="14" t="s">
        <v>6129</v>
      </c>
      <c r="J490" s="14" t="s">
        <v>99</v>
      </c>
      <c r="K490" s="23" t="s">
        <v>5244</v>
      </c>
      <c r="L490" s="14" t="s">
        <v>6130</v>
      </c>
      <c r="M490" s="14" t="s">
        <v>6131</v>
      </c>
      <c r="N490" s="14" t="s">
        <v>6132</v>
      </c>
      <c r="O490" s="14"/>
      <c r="P490" s="14" t="s">
        <v>6133</v>
      </c>
      <c r="Q490" s="14" t="s">
        <v>6134</v>
      </c>
      <c r="R490" s="14" t="s">
        <v>6135</v>
      </c>
      <c r="S490" s="17" t="s">
        <v>107</v>
      </c>
      <c r="T490" s="20" t="s">
        <v>324</v>
      </c>
      <c r="U490" s="14" t="s">
        <v>6136</v>
      </c>
      <c r="V490" s="14" t="s">
        <v>109</v>
      </c>
      <c r="W490" s="21" t="s">
        <v>429</v>
      </c>
      <c r="X490" s="14" t="s">
        <v>6137</v>
      </c>
      <c r="Y490" s="14" t="s">
        <v>1668</v>
      </c>
      <c r="Z490" s="14" t="s">
        <v>107</v>
      </c>
      <c r="AA490" s="14" t="s">
        <v>107</v>
      </c>
      <c r="AB490" s="14" t="s">
        <v>112</v>
      </c>
      <c r="AC490" s="14" t="s">
        <v>113</v>
      </c>
      <c r="AD490" s="14" t="s">
        <v>114</v>
      </c>
    </row>
    <row r="491" customFormat="false" ht="78" hidden="false" customHeight="true" outlineLevel="0" collapsed="false">
      <c r="A491" s="14" t="s">
        <v>6138</v>
      </c>
      <c r="B491" s="14" t="s">
        <v>45</v>
      </c>
      <c r="C491" s="14" t="s">
        <v>3061</v>
      </c>
      <c r="D491" s="14" t="s">
        <v>30</v>
      </c>
      <c r="E491" s="14" t="s">
        <v>6139</v>
      </c>
      <c r="F491" s="15" t="s">
        <v>6140</v>
      </c>
      <c r="G491" s="14" t="s">
        <v>285</v>
      </c>
      <c r="H491" s="14" t="s">
        <v>6141</v>
      </c>
      <c r="I491" s="14" t="s">
        <v>3065</v>
      </c>
      <c r="J491" s="14" t="s">
        <v>53</v>
      </c>
      <c r="K491" s="23" t="s">
        <v>5244</v>
      </c>
      <c r="L491" s="14" t="s">
        <v>6142</v>
      </c>
      <c r="M491" s="14" t="s">
        <v>3067</v>
      </c>
      <c r="N491" s="14" t="s">
        <v>6143</v>
      </c>
      <c r="O491" s="14"/>
      <c r="P491" s="14" t="s">
        <v>6144</v>
      </c>
      <c r="Q491" s="14" t="s">
        <v>6145</v>
      </c>
      <c r="R491" s="14" t="s">
        <v>3057</v>
      </c>
      <c r="S491" s="20" t="s">
        <v>324</v>
      </c>
      <c r="T491" s="20" t="s">
        <v>324</v>
      </c>
      <c r="U491" s="14" t="s">
        <v>3071</v>
      </c>
      <c r="V491" s="14" t="s">
        <v>109</v>
      </c>
      <c r="W491" s="18" t="s">
        <v>110</v>
      </c>
      <c r="X491" s="14" t="s">
        <v>6146</v>
      </c>
      <c r="Y491" s="14" t="s">
        <v>1668</v>
      </c>
      <c r="Z491" s="14" t="s">
        <v>107</v>
      </c>
      <c r="AA491" s="14" t="s">
        <v>107</v>
      </c>
      <c r="AB491" s="14" t="s">
        <v>921</v>
      </c>
      <c r="AC491" s="14" t="s">
        <v>113</v>
      </c>
      <c r="AD491" s="14" t="s">
        <v>114</v>
      </c>
    </row>
    <row r="492" customFormat="false" ht="78" hidden="false" customHeight="true" outlineLevel="0" collapsed="false">
      <c r="A492" s="14" t="s">
        <v>6147</v>
      </c>
      <c r="B492" s="14" t="s">
        <v>45</v>
      </c>
      <c r="C492" s="14" t="s">
        <v>3061</v>
      </c>
      <c r="D492" s="14" t="s">
        <v>30</v>
      </c>
      <c r="E492" s="14" t="s">
        <v>6148</v>
      </c>
      <c r="F492" s="15" t="s">
        <v>6149</v>
      </c>
      <c r="G492" s="14" t="s">
        <v>285</v>
      </c>
      <c r="H492" s="14" t="s">
        <v>6150</v>
      </c>
      <c r="I492" s="14" t="s">
        <v>3065</v>
      </c>
      <c r="J492" s="14" t="s">
        <v>53</v>
      </c>
      <c r="K492" s="23" t="s">
        <v>5244</v>
      </c>
      <c r="L492" s="14" t="s">
        <v>6151</v>
      </c>
      <c r="M492" s="14" t="s">
        <v>3067</v>
      </c>
      <c r="N492" s="14" t="s">
        <v>6152</v>
      </c>
      <c r="O492" s="14"/>
      <c r="P492" s="14" t="s">
        <v>6153</v>
      </c>
      <c r="Q492" s="14" t="s">
        <v>6154</v>
      </c>
      <c r="R492" s="14" t="s">
        <v>3057</v>
      </c>
      <c r="S492" s="20" t="s">
        <v>324</v>
      </c>
      <c r="T492" s="20" t="s">
        <v>324</v>
      </c>
      <c r="U492" s="14" t="s">
        <v>3071</v>
      </c>
      <c r="V492" s="14" t="s">
        <v>109</v>
      </c>
      <c r="W492" s="18" t="s">
        <v>110</v>
      </c>
      <c r="X492" s="14" t="s">
        <v>6155</v>
      </c>
      <c r="Y492" s="14" t="s">
        <v>5244</v>
      </c>
      <c r="Z492" s="14" t="s">
        <v>107</v>
      </c>
      <c r="AA492" s="14" t="s">
        <v>107</v>
      </c>
      <c r="AB492" s="14" t="s">
        <v>921</v>
      </c>
      <c r="AC492" s="14" t="s">
        <v>113</v>
      </c>
      <c r="AD492" s="14" t="s">
        <v>114</v>
      </c>
    </row>
    <row r="493" customFormat="false" ht="78" hidden="false" customHeight="true" outlineLevel="0" collapsed="false">
      <c r="A493" s="14" t="s">
        <v>6156</v>
      </c>
      <c r="B493" s="14" t="s">
        <v>45</v>
      </c>
      <c r="C493" s="14" t="s">
        <v>6157</v>
      </c>
      <c r="D493" s="14" t="s">
        <v>30</v>
      </c>
      <c r="E493" s="14" t="s">
        <v>6158</v>
      </c>
      <c r="F493" s="15" t="s">
        <v>2965</v>
      </c>
      <c r="G493" s="14" t="s">
        <v>1932</v>
      </c>
      <c r="H493" s="14" t="s">
        <v>6159</v>
      </c>
      <c r="I493" s="14" t="s">
        <v>6160</v>
      </c>
      <c r="J493" s="14" t="s">
        <v>536</v>
      </c>
      <c r="K493" s="23" t="s">
        <v>5244</v>
      </c>
      <c r="L493" s="14" t="s">
        <v>6161</v>
      </c>
      <c r="M493" s="14" t="s">
        <v>6162</v>
      </c>
      <c r="N493" s="14" t="s">
        <v>6163</v>
      </c>
      <c r="O493" s="14"/>
      <c r="P493" s="14" t="s">
        <v>6164</v>
      </c>
      <c r="Q493" s="14" t="s">
        <v>6165</v>
      </c>
      <c r="R493" s="14" t="s">
        <v>1063</v>
      </c>
      <c r="S493" s="20" t="s">
        <v>324</v>
      </c>
      <c r="T493" s="17" t="s">
        <v>107</v>
      </c>
      <c r="U493" s="14" t="s">
        <v>6166</v>
      </c>
      <c r="V493" s="14" t="s">
        <v>109</v>
      </c>
      <c r="W493" s="18" t="s">
        <v>110</v>
      </c>
      <c r="X493" s="14" t="s">
        <v>6167</v>
      </c>
      <c r="Y493" s="14" t="s">
        <v>1668</v>
      </c>
      <c r="Z493" s="14" t="s">
        <v>107</v>
      </c>
      <c r="AA493" s="14" t="s">
        <v>107</v>
      </c>
      <c r="AB493" s="14" t="s">
        <v>921</v>
      </c>
      <c r="AC493" s="14" t="s">
        <v>113</v>
      </c>
      <c r="AD493" s="14" t="s">
        <v>114</v>
      </c>
    </row>
    <row r="494" customFormat="false" ht="78" hidden="false" customHeight="true" outlineLevel="0" collapsed="false">
      <c r="A494" s="14" t="s">
        <v>6168</v>
      </c>
      <c r="B494" s="14" t="s">
        <v>45</v>
      </c>
      <c r="C494" s="14" t="s">
        <v>6169</v>
      </c>
      <c r="D494" s="14" t="s">
        <v>30</v>
      </c>
      <c r="E494" s="14" t="s">
        <v>183</v>
      </c>
      <c r="F494" s="15" t="s">
        <v>3075</v>
      </c>
      <c r="G494" s="14" t="s">
        <v>183</v>
      </c>
      <c r="H494" s="14" t="s">
        <v>6170</v>
      </c>
      <c r="I494" s="14" t="s">
        <v>6171</v>
      </c>
      <c r="J494" s="14" t="s">
        <v>56</v>
      </c>
      <c r="K494" s="23" t="s">
        <v>5244</v>
      </c>
      <c r="L494" s="14" t="s">
        <v>6172</v>
      </c>
      <c r="M494" s="14" t="s">
        <v>6173</v>
      </c>
      <c r="N494" s="14" t="s">
        <v>6174</v>
      </c>
      <c r="O494" s="14"/>
      <c r="P494" s="14" t="s">
        <v>6175</v>
      </c>
      <c r="Q494" s="14" t="s">
        <v>6176</v>
      </c>
      <c r="R494" s="14" t="s">
        <v>1063</v>
      </c>
      <c r="S494" s="20" t="s">
        <v>324</v>
      </c>
      <c r="T494" s="17" t="s">
        <v>107</v>
      </c>
      <c r="U494" s="14" t="s">
        <v>6177</v>
      </c>
      <c r="V494" s="14" t="s">
        <v>109</v>
      </c>
      <c r="W494" s="18" t="s">
        <v>110</v>
      </c>
      <c r="X494" s="14" t="s">
        <v>6178</v>
      </c>
      <c r="Y494" s="14" t="s">
        <v>1668</v>
      </c>
      <c r="Z494" s="14" t="s">
        <v>107</v>
      </c>
      <c r="AA494" s="14" t="s">
        <v>107</v>
      </c>
      <c r="AB494" s="14" t="s">
        <v>921</v>
      </c>
      <c r="AC494" s="14" t="s">
        <v>113</v>
      </c>
      <c r="AD494" s="14" t="s">
        <v>114</v>
      </c>
    </row>
    <row r="495" customFormat="false" ht="78" hidden="false" customHeight="true" outlineLevel="0" collapsed="false">
      <c r="A495" s="14" t="s">
        <v>6179</v>
      </c>
      <c r="B495" s="14" t="s">
        <v>45</v>
      </c>
      <c r="C495" s="14" t="s">
        <v>6180</v>
      </c>
      <c r="D495" s="14" t="s">
        <v>30</v>
      </c>
      <c r="E495" s="14" t="s">
        <v>6181</v>
      </c>
      <c r="F495" s="15" t="s">
        <v>6182</v>
      </c>
      <c r="G495" s="14" t="s">
        <v>168</v>
      </c>
      <c r="H495" s="14" t="s">
        <v>6183</v>
      </c>
      <c r="I495" s="14" t="s">
        <v>6184</v>
      </c>
      <c r="J495" s="14" t="s">
        <v>52</v>
      </c>
      <c r="K495" s="23" t="s">
        <v>5244</v>
      </c>
      <c r="L495" s="14" t="s">
        <v>6185</v>
      </c>
      <c r="M495" s="14" t="s">
        <v>6186</v>
      </c>
      <c r="N495" s="14" t="s">
        <v>6187</v>
      </c>
      <c r="O495" s="14"/>
      <c r="P495" s="14" t="s">
        <v>6188</v>
      </c>
      <c r="Q495" s="14" t="s">
        <v>6189</v>
      </c>
      <c r="R495" s="14" t="s">
        <v>1063</v>
      </c>
      <c r="S495" s="20" t="s">
        <v>324</v>
      </c>
      <c r="T495" s="20" t="s">
        <v>324</v>
      </c>
      <c r="U495" s="14" t="s">
        <v>6190</v>
      </c>
      <c r="V495" s="14" t="s">
        <v>109</v>
      </c>
      <c r="W495" s="18" t="s">
        <v>110</v>
      </c>
      <c r="X495" s="14" t="s">
        <v>6191</v>
      </c>
      <c r="Y495" s="14" t="s">
        <v>5244</v>
      </c>
      <c r="Z495" s="14" t="s">
        <v>107</v>
      </c>
      <c r="AA495" s="14" t="s">
        <v>107</v>
      </c>
      <c r="AB495" s="14" t="s">
        <v>921</v>
      </c>
      <c r="AC495" s="14" t="s">
        <v>113</v>
      </c>
      <c r="AD495" s="14" t="s">
        <v>114</v>
      </c>
    </row>
    <row r="496" customFormat="false" ht="78" hidden="false" customHeight="true" outlineLevel="0" collapsed="false">
      <c r="A496" s="14" t="s">
        <v>6192</v>
      </c>
      <c r="B496" s="14" t="s">
        <v>45</v>
      </c>
      <c r="C496" s="14" t="s">
        <v>6193</v>
      </c>
      <c r="D496" s="14" t="s">
        <v>30</v>
      </c>
      <c r="E496" s="14" t="s">
        <v>6194</v>
      </c>
      <c r="F496" s="15" t="s">
        <v>1541</v>
      </c>
      <c r="G496" s="14" t="s">
        <v>168</v>
      </c>
      <c r="H496" s="14" t="s">
        <v>6195</v>
      </c>
      <c r="I496" s="14" t="s">
        <v>6196</v>
      </c>
      <c r="J496" s="14" t="s">
        <v>52</v>
      </c>
      <c r="K496" s="23" t="s">
        <v>5244</v>
      </c>
      <c r="L496" s="14" t="s">
        <v>6197</v>
      </c>
      <c r="M496" s="14" t="s">
        <v>6198</v>
      </c>
      <c r="N496" s="14" t="s">
        <v>6199</v>
      </c>
      <c r="O496" s="14"/>
      <c r="P496" s="14" t="s">
        <v>6200</v>
      </c>
      <c r="Q496" s="14" t="s">
        <v>6201</v>
      </c>
      <c r="R496" s="14" t="s">
        <v>3144</v>
      </c>
      <c r="S496" s="17" t="s">
        <v>107</v>
      </c>
      <c r="T496" s="17" t="s">
        <v>107</v>
      </c>
      <c r="U496" s="14" t="s">
        <v>6202</v>
      </c>
      <c r="V496" s="14" t="s">
        <v>109</v>
      </c>
      <c r="W496" s="21" t="s">
        <v>429</v>
      </c>
      <c r="X496" s="14" t="s">
        <v>6203</v>
      </c>
      <c r="Y496" s="14" t="s">
        <v>194</v>
      </c>
      <c r="Z496" s="14" t="s">
        <v>107</v>
      </c>
      <c r="AA496" s="14" t="s">
        <v>107</v>
      </c>
      <c r="AB496" s="14" t="s">
        <v>921</v>
      </c>
      <c r="AC496" s="14" t="s">
        <v>113</v>
      </c>
      <c r="AD496" s="14" t="s">
        <v>114</v>
      </c>
    </row>
    <row r="497" customFormat="false" ht="78" hidden="false" customHeight="true" outlineLevel="0" collapsed="false">
      <c r="A497" s="14" t="s">
        <v>6204</v>
      </c>
      <c r="B497" s="14" t="s">
        <v>45</v>
      </c>
      <c r="C497" s="14" t="s">
        <v>6205</v>
      </c>
      <c r="D497" s="14" t="s">
        <v>30</v>
      </c>
      <c r="E497" s="14" t="s">
        <v>6206</v>
      </c>
      <c r="F497" s="14"/>
      <c r="G497" s="14" t="s">
        <v>168</v>
      </c>
      <c r="H497" s="14" t="s">
        <v>6207</v>
      </c>
      <c r="I497" s="14" t="s">
        <v>6208</v>
      </c>
      <c r="J497" s="14" t="s">
        <v>52</v>
      </c>
      <c r="K497" s="23" t="s">
        <v>5244</v>
      </c>
      <c r="L497" s="14" t="s">
        <v>6209</v>
      </c>
      <c r="M497" s="14" t="s">
        <v>6210</v>
      </c>
      <c r="N497" s="14" t="s">
        <v>6211</v>
      </c>
      <c r="O497" s="14"/>
      <c r="P497" s="14" t="s">
        <v>6212</v>
      </c>
      <c r="Q497" s="14" t="s">
        <v>6213</v>
      </c>
      <c r="R497" s="14" t="s">
        <v>3144</v>
      </c>
      <c r="S497" s="20" t="s">
        <v>324</v>
      </c>
      <c r="T497" s="17" t="s">
        <v>107</v>
      </c>
      <c r="U497" s="14" t="s">
        <v>6214</v>
      </c>
      <c r="V497" s="14" t="s">
        <v>109</v>
      </c>
      <c r="W497" s="18" t="s">
        <v>110</v>
      </c>
      <c r="X497" s="14" t="s">
        <v>6215</v>
      </c>
      <c r="Y497" s="14" t="s">
        <v>1668</v>
      </c>
      <c r="Z497" s="14" t="s">
        <v>107</v>
      </c>
      <c r="AA497" s="14" t="s">
        <v>107</v>
      </c>
      <c r="AB497" s="14" t="s">
        <v>921</v>
      </c>
      <c r="AC497" s="14" t="s">
        <v>113</v>
      </c>
      <c r="AD497" s="14" t="s">
        <v>114</v>
      </c>
    </row>
    <row r="498" customFormat="false" ht="78" hidden="false" customHeight="true" outlineLevel="0" collapsed="false">
      <c r="A498" s="14" t="s">
        <v>6216</v>
      </c>
      <c r="B498" s="14" t="s">
        <v>45</v>
      </c>
      <c r="C498" s="14" t="s">
        <v>6217</v>
      </c>
      <c r="D498" s="14" t="s">
        <v>30</v>
      </c>
      <c r="E498" s="14" t="s">
        <v>6218</v>
      </c>
      <c r="F498" s="14"/>
      <c r="G498" s="14" t="s">
        <v>168</v>
      </c>
      <c r="H498" s="14" t="s">
        <v>6219</v>
      </c>
      <c r="I498" s="14" t="s">
        <v>6220</v>
      </c>
      <c r="J498" s="14" t="s">
        <v>54</v>
      </c>
      <c r="K498" s="23" t="s">
        <v>5244</v>
      </c>
      <c r="L498" s="14" t="s">
        <v>6221</v>
      </c>
      <c r="M498" s="14" t="s">
        <v>6222</v>
      </c>
      <c r="N498" s="14" t="s">
        <v>6223</v>
      </c>
      <c r="O498" s="14"/>
      <c r="P498" s="14" t="s">
        <v>6224</v>
      </c>
      <c r="Q498" s="14" t="s">
        <v>6225</v>
      </c>
      <c r="R498" s="14" t="s">
        <v>220</v>
      </c>
      <c r="S498" s="17" t="s">
        <v>107</v>
      </c>
      <c r="T498" s="20" t="s">
        <v>324</v>
      </c>
      <c r="U498" s="14" t="s">
        <v>6226</v>
      </c>
      <c r="V498" s="14" t="s">
        <v>109</v>
      </c>
      <c r="W498" s="18" t="s">
        <v>110</v>
      </c>
      <c r="X498" s="14" t="s">
        <v>6227</v>
      </c>
      <c r="Y498" s="14" t="s">
        <v>194</v>
      </c>
      <c r="Z498" s="14" t="s">
        <v>107</v>
      </c>
      <c r="AA498" s="14" t="s">
        <v>107</v>
      </c>
      <c r="AB498" s="14" t="s">
        <v>921</v>
      </c>
      <c r="AC498" s="14" t="s">
        <v>560</v>
      </c>
      <c r="AD498" s="14" t="s">
        <v>561</v>
      </c>
    </row>
    <row r="499" customFormat="false" ht="78" hidden="false" customHeight="true" outlineLevel="0" collapsed="false">
      <c r="A499" s="14" t="s">
        <v>6228</v>
      </c>
      <c r="B499" s="14" t="s">
        <v>47</v>
      </c>
      <c r="C499" s="14" t="s">
        <v>6229</v>
      </c>
      <c r="D499" s="14" t="s">
        <v>30</v>
      </c>
      <c r="E499" s="14" t="s">
        <v>6230</v>
      </c>
      <c r="F499" s="15" t="s">
        <v>896</v>
      </c>
      <c r="G499" s="14" t="s">
        <v>897</v>
      </c>
      <c r="H499" s="14" t="s">
        <v>6231</v>
      </c>
      <c r="I499" s="14" t="s">
        <v>6232</v>
      </c>
      <c r="J499" s="14" t="s">
        <v>52</v>
      </c>
      <c r="K499" s="23" t="s">
        <v>5244</v>
      </c>
      <c r="L499" s="14" t="s">
        <v>6233</v>
      </c>
      <c r="M499" s="14" t="s">
        <v>6234</v>
      </c>
      <c r="N499" s="14" t="s">
        <v>6235</v>
      </c>
      <c r="O499" s="14"/>
      <c r="P499" s="14" t="s">
        <v>6236</v>
      </c>
      <c r="Q499" s="14" t="s">
        <v>6237</v>
      </c>
      <c r="R499" s="14" t="s">
        <v>176</v>
      </c>
      <c r="S499" s="20" t="s">
        <v>324</v>
      </c>
      <c r="T499" s="17" t="s">
        <v>107</v>
      </c>
      <c r="U499" s="14" t="s">
        <v>6238</v>
      </c>
      <c r="V499" s="14" t="s">
        <v>109</v>
      </c>
      <c r="W499" s="18" t="s">
        <v>110</v>
      </c>
      <c r="X499" s="14" t="s">
        <v>6239</v>
      </c>
      <c r="Y499" s="14" t="s">
        <v>1668</v>
      </c>
      <c r="Z499" s="14" t="s">
        <v>107</v>
      </c>
      <c r="AA499" s="14" t="s">
        <v>107</v>
      </c>
      <c r="AB499" s="14" t="s">
        <v>2204</v>
      </c>
      <c r="AC499" s="14" t="s">
        <v>113</v>
      </c>
      <c r="AD499" s="14" t="s">
        <v>114</v>
      </c>
    </row>
    <row r="500" customFormat="false" ht="78" hidden="false" customHeight="true" outlineLevel="0" collapsed="false">
      <c r="A500" s="14" t="s">
        <v>6240</v>
      </c>
      <c r="B500" s="14" t="s">
        <v>47</v>
      </c>
      <c r="C500" s="14" t="s">
        <v>6241</v>
      </c>
      <c r="D500" s="14" t="s">
        <v>30</v>
      </c>
      <c r="E500" s="14" t="s">
        <v>3149</v>
      </c>
      <c r="F500" s="14"/>
      <c r="G500" s="14" t="s">
        <v>168</v>
      </c>
      <c r="H500" s="14" t="s">
        <v>6242</v>
      </c>
      <c r="I500" s="14" t="s">
        <v>6243</v>
      </c>
      <c r="J500" s="14" t="s">
        <v>52</v>
      </c>
      <c r="K500" s="23" t="s">
        <v>5244</v>
      </c>
      <c r="L500" s="14" t="s">
        <v>6244</v>
      </c>
      <c r="M500" s="14" t="s">
        <v>6245</v>
      </c>
      <c r="N500" s="14" t="s">
        <v>6246</v>
      </c>
      <c r="O500" s="14"/>
      <c r="P500" s="14" t="s">
        <v>6247</v>
      </c>
      <c r="Q500" s="14" t="s">
        <v>6248</v>
      </c>
      <c r="R500" s="14" t="s">
        <v>3144</v>
      </c>
      <c r="S500" s="20" t="s">
        <v>324</v>
      </c>
      <c r="T500" s="17" t="s">
        <v>107</v>
      </c>
      <c r="U500" s="14" t="s">
        <v>6249</v>
      </c>
      <c r="V500" s="14" t="s">
        <v>109</v>
      </c>
      <c r="W500" s="18" t="s">
        <v>110</v>
      </c>
      <c r="X500" s="14" t="s">
        <v>6250</v>
      </c>
      <c r="Y500" s="14" t="s">
        <v>1668</v>
      </c>
      <c r="Z500" s="14" t="s">
        <v>107</v>
      </c>
      <c r="AA500" s="14" t="s">
        <v>107</v>
      </c>
      <c r="AB500" s="14" t="s">
        <v>2204</v>
      </c>
      <c r="AC500" s="14" t="s">
        <v>113</v>
      </c>
      <c r="AD500" s="14" t="s">
        <v>114</v>
      </c>
    </row>
    <row r="501" customFormat="false" ht="78" hidden="false" customHeight="true" outlineLevel="0" collapsed="false">
      <c r="A501" s="14" t="s">
        <v>6251</v>
      </c>
      <c r="B501" s="14" t="s">
        <v>47</v>
      </c>
      <c r="C501" s="14" t="s">
        <v>6252</v>
      </c>
      <c r="D501" s="14" t="s">
        <v>30</v>
      </c>
      <c r="E501" s="14" t="s">
        <v>6253</v>
      </c>
      <c r="F501" s="14"/>
      <c r="G501" s="14" t="s">
        <v>168</v>
      </c>
      <c r="H501" s="14" t="s">
        <v>6254</v>
      </c>
      <c r="I501" s="14" t="s">
        <v>6255</v>
      </c>
      <c r="J501" s="14" t="s">
        <v>52</v>
      </c>
      <c r="K501" s="23" t="s">
        <v>5244</v>
      </c>
      <c r="L501" s="14" t="s">
        <v>6256</v>
      </c>
      <c r="M501" s="14" t="s">
        <v>6257</v>
      </c>
      <c r="N501" s="14" t="s">
        <v>6258</v>
      </c>
      <c r="O501" s="14"/>
      <c r="P501" s="14" t="s">
        <v>6259</v>
      </c>
      <c r="Q501" s="14" t="s">
        <v>6260</v>
      </c>
      <c r="R501" s="14" t="s">
        <v>3144</v>
      </c>
      <c r="S501" s="20" t="s">
        <v>324</v>
      </c>
      <c r="T501" s="20" t="s">
        <v>324</v>
      </c>
      <c r="U501" s="14" t="s">
        <v>6261</v>
      </c>
      <c r="V501" s="14" t="s">
        <v>109</v>
      </c>
      <c r="W501" s="21" t="s">
        <v>429</v>
      </c>
      <c r="X501" s="14" t="s">
        <v>6262</v>
      </c>
      <c r="Y501" s="14" t="s">
        <v>1668</v>
      </c>
      <c r="Z501" s="14" t="s">
        <v>107</v>
      </c>
      <c r="AA501" s="14" t="s">
        <v>107</v>
      </c>
      <c r="AB501" s="14" t="s">
        <v>2204</v>
      </c>
      <c r="AC501" s="14" t="s">
        <v>113</v>
      </c>
      <c r="AD501" s="14" t="s">
        <v>114</v>
      </c>
    </row>
    <row r="502" customFormat="false" ht="78" hidden="false" customHeight="true" outlineLevel="0" collapsed="false">
      <c r="A502" s="14" t="s">
        <v>6263</v>
      </c>
      <c r="B502" s="14" t="s">
        <v>47</v>
      </c>
      <c r="C502" s="14" t="s">
        <v>6264</v>
      </c>
      <c r="D502" s="14" t="s">
        <v>30</v>
      </c>
      <c r="E502" s="14" t="s">
        <v>6265</v>
      </c>
      <c r="F502" s="15" t="s">
        <v>6266</v>
      </c>
      <c r="G502" s="14" t="s">
        <v>6267</v>
      </c>
      <c r="H502" s="14" t="s">
        <v>6268</v>
      </c>
      <c r="I502" s="14" t="s">
        <v>6269</v>
      </c>
      <c r="J502" s="14" t="s">
        <v>52</v>
      </c>
      <c r="K502" s="23" t="s">
        <v>5244</v>
      </c>
      <c r="L502" s="14" t="s">
        <v>6270</v>
      </c>
      <c r="M502" s="14" t="s">
        <v>6271</v>
      </c>
      <c r="N502" s="14" t="s">
        <v>6272</v>
      </c>
      <c r="O502" s="14"/>
      <c r="P502" s="14" t="s">
        <v>6273</v>
      </c>
      <c r="Q502" s="14" t="s">
        <v>6274</v>
      </c>
      <c r="R502" s="14" t="s">
        <v>3144</v>
      </c>
      <c r="S502" s="20" t="s">
        <v>324</v>
      </c>
      <c r="T502" s="17" t="s">
        <v>107</v>
      </c>
      <c r="U502" s="14" t="s">
        <v>6275</v>
      </c>
      <c r="V502" s="14" t="s">
        <v>109</v>
      </c>
      <c r="W502" s="18" t="s">
        <v>110</v>
      </c>
      <c r="X502" s="14" t="s">
        <v>6276</v>
      </c>
      <c r="Y502" s="14" t="s">
        <v>1668</v>
      </c>
      <c r="Z502" s="14" t="s">
        <v>107</v>
      </c>
      <c r="AA502" s="14" t="s">
        <v>107</v>
      </c>
      <c r="AB502" s="14" t="s">
        <v>2204</v>
      </c>
      <c r="AC502" s="14" t="s">
        <v>113</v>
      </c>
      <c r="AD502" s="14" t="s">
        <v>114</v>
      </c>
    </row>
    <row r="503" customFormat="false" ht="78" hidden="false" customHeight="true" outlineLevel="0" collapsed="false">
      <c r="A503" s="14" t="s">
        <v>6277</v>
      </c>
      <c r="B503" s="14" t="s">
        <v>47</v>
      </c>
      <c r="C503" s="14" t="s">
        <v>6278</v>
      </c>
      <c r="D503" s="14" t="s">
        <v>30</v>
      </c>
      <c r="E503" s="14" t="s">
        <v>6279</v>
      </c>
      <c r="F503" s="14"/>
      <c r="G503" s="14" t="s">
        <v>168</v>
      </c>
      <c r="H503" s="14" t="s">
        <v>6280</v>
      </c>
      <c r="I503" s="14" t="s">
        <v>6281</v>
      </c>
      <c r="J503" s="14" t="s">
        <v>52</v>
      </c>
      <c r="K503" s="23" t="s">
        <v>5244</v>
      </c>
      <c r="L503" s="14" t="s">
        <v>6282</v>
      </c>
      <c r="M503" s="14" t="s">
        <v>6283</v>
      </c>
      <c r="N503" s="14" t="s">
        <v>6284</v>
      </c>
      <c r="O503" s="14"/>
      <c r="P503" s="14" t="s">
        <v>6285</v>
      </c>
      <c r="Q503" s="14" t="s">
        <v>6286</v>
      </c>
      <c r="R503" s="14" t="s">
        <v>3144</v>
      </c>
      <c r="S503" s="20" t="s">
        <v>324</v>
      </c>
      <c r="T503" s="17" t="s">
        <v>107</v>
      </c>
      <c r="U503" s="14" t="s">
        <v>6287</v>
      </c>
      <c r="V503" s="14" t="s">
        <v>109</v>
      </c>
      <c r="W503" s="18" t="s">
        <v>110</v>
      </c>
      <c r="X503" s="14" t="s">
        <v>6288</v>
      </c>
      <c r="Y503" s="14" t="s">
        <v>1668</v>
      </c>
      <c r="Z503" s="14" t="s">
        <v>107</v>
      </c>
      <c r="AA503" s="14" t="s">
        <v>107</v>
      </c>
      <c r="AB503" s="14" t="s">
        <v>2204</v>
      </c>
      <c r="AC503" s="14" t="s">
        <v>113</v>
      </c>
      <c r="AD503" s="14" t="s">
        <v>114</v>
      </c>
    </row>
    <row r="504" customFormat="false" ht="78" hidden="false" customHeight="true" outlineLevel="0" collapsed="false">
      <c r="A504" s="14" t="s">
        <v>6289</v>
      </c>
      <c r="B504" s="14" t="s">
        <v>47</v>
      </c>
      <c r="C504" s="14" t="s">
        <v>6290</v>
      </c>
      <c r="D504" s="14" t="s">
        <v>30</v>
      </c>
      <c r="E504" s="14" t="s">
        <v>6291</v>
      </c>
      <c r="F504" s="14"/>
      <c r="G504" s="14" t="s">
        <v>168</v>
      </c>
      <c r="H504" s="14" t="s">
        <v>6292</v>
      </c>
      <c r="I504" s="14" t="s">
        <v>6293</v>
      </c>
      <c r="J504" s="14" t="s">
        <v>52</v>
      </c>
      <c r="K504" s="23" t="s">
        <v>5244</v>
      </c>
      <c r="L504" s="14" t="s">
        <v>6294</v>
      </c>
      <c r="M504" s="14" t="s">
        <v>6295</v>
      </c>
      <c r="N504" s="14" t="s">
        <v>6296</v>
      </c>
      <c r="O504" s="14"/>
      <c r="P504" s="14" t="s">
        <v>6297</v>
      </c>
      <c r="Q504" s="14" t="s">
        <v>6298</v>
      </c>
      <c r="R504" s="14" t="s">
        <v>3144</v>
      </c>
      <c r="S504" s="20" t="s">
        <v>324</v>
      </c>
      <c r="T504" s="17" t="s">
        <v>107</v>
      </c>
      <c r="U504" s="14" t="s">
        <v>6299</v>
      </c>
      <c r="V504" s="14" t="s">
        <v>109</v>
      </c>
      <c r="W504" s="18" t="s">
        <v>110</v>
      </c>
      <c r="X504" s="14" t="s">
        <v>6300</v>
      </c>
      <c r="Y504" s="14" t="s">
        <v>1668</v>
      </c>
      <c r="Z504" s="14" t="s">
        <v>107</v>
      </c>
      <c r="AA504" s="14" t="s">
        <v>107</v>
      </c>
      <c r="AB504" s="14" t="s">
        <v>2204</v>
      </c>
      <c r="AC504" s="14" t="s">
        <v>113</v>
      </c>
      <c r="AD504" s="14" t="s">
        <v>114</v>
      </c>
    </row>
    <row r="505" customFormat="false" ht="78" hidden="false" customHeight="true" outlineLevel="0" collapsed="false">
      <c r="A505" s="14" t="s">
        <v>6301</v>
      </c>
      <c r="B505" s="14" t="s">
        <v>47</v>
      </c>
      <c r="C505" s="14" t="s">
        <v>6302</v>
      </c>
      <c r="D505" s="14" t="s">
        <v>30</v>
      </c>
      <c r="E505" s="14" t="s">
        <v>6303</v>
      </c>
      <c r="F505" s="14"/>
      <c r="G505" s="14" t="s">
        <v>168</v>
      </c>
      <c r="H505" s="14" t="s">
        <v>6304</v>
      </c>
      <c r="I505" s="14" t="s">
        <v>6305</v>
      </c>
      <c r="J505" s="14" t="s">
        <v>52</v>
      </c>
      <c r="K505" s="23" t="s">
        <v>5244</v>
      </c>
      <c r="L505" s="14" t="s">
        <v>6306</v>
      </c>
      <c r="M505" s="14" t="s">
        <v>6307</v>
      </c>
      <c r="N505" s="14" t="s">
        <v>6308</v>
      </c>
      <c r="O505" s="14"/>
      <c r="P505" s="14" t="s">
        <v>6309</v>
      </c>
      <c r="Q505" s="14" t="s">
        <v>6310</v>
      </c>
      <c r="R505" s="14" t="s">
        <v>3144</v>
      </c>
      <c r="S505" s="20" t="s">
        <v>324</v>
      </c>
      <c r="T505" s="17" t="s">
        <v>107</v>
      </c>
      <c r="U505" s="14" t="s">
        <v>6311</v>
      </c>
      <c r="V505" s="14" t="s">
        <v>109</v>
      </c>
      <c r="W505" s="21" t="s">
        <v>429</v>
      </c>
      <c r="X505" s="14" t="s">
        <v>6312</v>
      </c>
      <c r="Y505" s="14" t="s">
        <v>1668</v>
      </c>
      <c r="Z505" s="14" t="s">
        <v>107</v>
      </c>
      <c r="AA505" s="14" t="s">
        <v>107</v>
      </c>
      <c r="AB505" s="14" t="s">
        <v>2204</v>
      </c>
      <c r="AC505" s="14" t="s">
        <v>113</v>
      </c>
      <c r="AD505" s="14" t="s">
        <v>114</v>
      </c>
    </row>
    <row r="506" customFormat="false" ht="78" hidden="false" customHeight="true" outlineLevel="0" collapsed="false">
      <c r="A506" s="14" t="s">
        <v>6313</v>
      </c>
      <c r="B506" s="14" t="s">
        <v>48</v>
      </c>
      <c r="C506" s="14" t="s">
        <v>6314</v>
      </c>
      <c r="D506" s="14" t="s">
        <v>30</v>
      </c>
      <c r="E506" s="14" t="s">
        <v>6315</v>
      </c>
      <c r="F506" s="14"/>
      <c r="G506" s="14" t="s">
        <v>168</v>
      </c>
      <c r="H506" s="14" t="s">
        <v>6316</v>
      </c>
      <c r="I506" s="14" t="s">
        <v>6317</v>
      </c>
      <c r="J506" s="14" t="s">
        <v>54</v>
      </c>
      <c r="K506" s="23" t="s">
        <v>5244</v>
      </c>
      <c r="L506" s="14" t="s">
        <v>6318</v>
      </c>
      <c r="M506" s="14" t="s">
        <v>6319</v>
      </c>
      <c r="N506" s="14" t="s">
        <v>6320</v>
      </c>
      <c r="O506" s="14"/>
      <c r="P506" s="14" t="s">
        <v>6321</v>
      </c>
      <c r="Q506" s="14" t="s">
        <v>6322</v>
      </c>
      <c r="R506" s="14" t="s">
        <v>220</v>
      </c>
      <c r="S506" s="17" t="s">
        <v>107</v>
      </c>
      <c r="T506" s="17" t="s">
        <v>107</v>
      </c>
      <c r="U506" s="14" t="s">
        <v>6323</v>
      </c>
      <c r="V506" s="14" t="s">
        <v>109</v>
      </c>
      <c r="W506" s="21" t="s">
        <v>429</v>
      </c>
      <c r="X506" s="14" t="s">
        <v>6324</v>
      </c>
      <c r="Y506" s="14" t="s">
        <v>100</v>
      </c>
      <c r="Z506" s="14" t="s">
        <v>107</v>
      </c>
      <c r="AA506" s="14" t="s">
        <v>107</v>
      </c>
      <c r="AB506" s="14" t="s">
        <v>559</v>
      </c>
      <c r="AC506" s="14" t="s">
        <v>560</v>
      </c>
      <c r="AD506" s="14" t="s">
        <v>561</v>
      </c>
    </row>
    <row r="507" customFormat="false" ht="78" hidden="false" customHeight="true" outlineLevel="0" collapsed="false">
      <c r="A507" s="14" t="s">
        <v>6325</v>
      </c>
      <c r="B507" s="14" t="s">
        <v>46</v>
      </c>
      <c r="C507" s="14" t="s">
        <v>2882</v>
      </c>
      <c r="D507" s="14" t="s">
        <v>30</v>
      </c>
      <c r="E507" s="14" t="s">
        <v>6326</v>
      </c>
      <c r="F507" s="14"/>
      <c r="G507" s="14" t="s">
        <v>168</v>
      </c>
      <c r="H507" s="14" t="s">
        <v>6327</v>
      </c>
      <c r="I507" s="14" t="s">
        <v>6328</v>
      </c>
      <c r="J507" s="14" t="s">
        <v>57</v>
      </c>
      <c r="K507" s="23" t="s">
        <v>5244</v>
      </c>
      <c r="L507" s="14" t="s">
        <v>6329</v>
      </c>
      <c r="M507" s="14" t="s">
        <v>6330</v>
      </c>
      <c r="N507" s="14" t="s">
        <v>6331</v>
      </c>
      <c r="O507" s="14"/>
      <c r="P507" s="14" t="s">
        <v>6332</v>
      </c>
      <c r="Q507" s="14" t="s">
        <v>6333</v>
      </c>
      <c r="R507" s="14" t="s">
        <v>220</v>
      </c>
      <c r="S507" s="17" t="s">
        <v>107</v>
      </c>
      <c r="T507" s="20" t="s">
        <v>324</v>
      </c>
      <c r="U507" s="14" t="s">
        <v>6334</v>
      </c>
      <c r="V507" s="14" t="s">
        <v>109</v>
      </c>
      <c r="W507" s="21" t="s">
        <v>429</v>
      </c>
      <c r="X507" s="14" t="s">
        <v>6335</v>
      </c>
      <c r="Y507" s="14" t="s">
        <v>194</v>
      </c>
      <c r="Z507" s="14" t="s">
        <v>107</v>
      </c>
      <c r="AA507" s="14" t="s">
        <v>107</v>
      </c>
      <c r="AB507" s="14" t="s">
        <v>559</v>
      </c>
      <c r="AC507" s="14" t="s">
        <v>113</v>
      </c>
      <c r="AD507" s="14" t="s">
        <v>114</v>
      </c>
    </row>
    <row r="508" customFormat="false" ht="78" hidden="false" customHeight="true" outlineLevel="0" collapsed="false">
      <c r="A508" s="14" t="s">
        <v>6336</v>
      </c>
      <c r="B508" s="14" t="s">
        <v>46</v>
      </c>
      <c r="C508" s="14" t="s">
        <v>6337</v>
      </c>
      <c r="D508" s="14" t="s">
        <v>30</v>
      </c>
      <c r="E508" s="14" t="s">
        <v>6338</v>
      </c>
      <c r="F508" s="14"/>
      <c r="G508" s="14" t="s">
        <v>168</v>
      </c>
      <c r="H508" s="14" t="s">
        <v>6339</v>
      </c>
      <c r="I508" s="14" t="s">
        <v>6340</v>
      </c>
      <c r="J508" s="14" t="s">
        <v>54</v>
      </c>
      <c r="K508" s="23" t="s">
        <v>5244</v>
      </c>
      <c r="L508" s="14" t="s">
        <v>6341</v>
      </c>
      <c r="M508" s="14" t="s">
        <v>953</v>
      </c>
      <c r="N508" s="14" t="s">
        <v>6342</v>
      </c>
      <c r="O508" s="14"/>
      <c r="P508" s="14" t="s">
        <v>6343</v>
      </c>
      <c r="Q508" s="14" t="s">
        <v>6344</v>
      </c>
      <c r="R508" s="14" t="s">
        <v>957</v>
      </c>
      <c r="S508" s="17" t="s">
        <v>107</v>
      </c>
      <c r="T508" s="17" t="s">
        <v>107</v>
      </c>
      <c r="U508" s="14" t="s">
        <v>6345</v>
      </c>
      <c r="V508" s="14" t="s">
        <v>109</v>
      </c>
      <c r="W508" s="21" t="s">
        <v>429</v>
      </c>
      <c r="X508" s="14" t="s">
        <v>6346</v>
      </c>
      <c r="Y508" s="14" t="s">
        <v>100</v>
      </c>
      <c r="Z508" s="14" t="s">
        <v>107</v>
      </c>
      <c r="AA508" s="14" t="s">
        <v>107</v>
      </c>
      <c r="AB508" s="14" t="s">
        <v>559</v>
      </c>
      <c r="AC508" s="14" t="s">
        <v>560</v>
      </c>
      <c r="AD508" s="14" t="s">
        <v>561</v>
      </c>
    </row>
    <row r="509" customFormat="false" ht="78" hidden="false" customHeight="true" outlineLevel="0" collapsed="false">
      <c r="A509" s="14" t="s">
        <v>6347</v>
      </c>
      <c r="B509" s="14" t="s">
        <v>48</v>
      </c>
      <c r="C509" s="14" t="s">
        <v>6348</v>
      </c>
      <c r="D509" s="14" t="s">
        <v>30</v>
      </c>
      <c r="E509" s="14" t="s">
        <v>6349</v>
      </c>
      <c r="F509" s="14"/>
      <c r="G509" s="14" t="s">
        <v>168</v>
      </c>
      <c r="H509" s="14" t="s">
        <v>6350</v>
      </c>
      <c r="I509" s="14" t="s">
        <v>6351</v>
      </c>
      <c r="J509" s="14" t="s">
        <v>551</v>
      </c>
      <c r="K509" s="23" t="s">
        <v>5244</v>
      </c>
      <c r="L509" s="14" t="s">
        <v>6352</v>
      </c>
      <c r="M509" s="14" t="s">
        <v>6353</v>
      </c>
      <c r="N509" s="14" t="s">
        <v>6354</v>
      </c>
      <c r="O509" s="14"/>
      <c r="P509" s="14" t="s">
        <v>6355</v>
      </c>
      <c r="Q509" s="14" t="s">
        <v>6356</v>
      </c>
      <c r="R509" s="14" t="s">
        <v>957</v>
      </c>
      <c r="S509" s="17" t="s">
        <v>107</v>
      </c>
      <c r="T509" s="20" t="s">
        <v>324</v>
      </c>
      <c r="U509" s="14" t="s">
        <v>6357</v>
      </c>
      <c r="V509" s="14" t="s">
        <v>5377</v>
      </c>
      <c r="W509" s="18" t="s">
        <v>110</v>
      </c>
      <c r="X509" s="14" t="s">
        <v>6358</v>
      </c>
      <c r="Y509" s="14" t="s">
        <v>194</v>
      </c>
      <c r="Z509" s="14" t="s">
        <v>107</v>
      </c>
      <c r="AA509" s="14" t="s">
        <v>946</v>
      </c>
      <c r="AB509" s="14" t="s">
        <v>559</v>
      </c>
      <c r="AC509" s="14" t="s">
        <v>560</v>
      </c>
      <c r="AD509" s="14" t="s">
        <v>561</v>
      </c>
    </row>
    <row r="510" customFormat="false" ht="78" hidden="false" customHeight="true" outlineLevel="0" collapsed="false">
      <c r="A510" s="14" t="s">
        <v>6359</v>
      </c>
      <c r="B510" s="14" t="s">
        <v>43</v>
      </c>
      <c r="C510" s="14" t="s">
        <v>6360</v>
      </c>
      <c r="D510" s="14" t="s">
        <v>30</v>
      </c>
      <c r="E510" s="14" t="s">
        <v>6361</v>
      </c>
      <c r="F510" s="15" t="s">
        <v>4508</v>
      </c>
      <c r="G510" s="14" t="s">
        <v>3321</v>
      </c>
      <c r="H510" s="14" t="s">
        <v>6362</v>
      </c>
      <c r="I510" s="14" t="s">
        <v>6363</v>
      </c>
      <c r="J510" s="14" t="s">
        <v>50</v>
      </c>
      <c r="K510" s="23" t="s">
        <v>5244</v>
      </c>
      <c r="L510" s="14" t="s">
        <v>6364</v>
      </c>
      <c r="M510" s="14" t="s">
        <v>6365</v>
      </c>
      <c r="N510" s="14" t="s">
        <v>6366</v>
      </c>
      <c r="O510" s="14"/>
      <c r="P510" s="14" t="s">
        <v>6367</v>
      </c>
      <c r="Q510" s="14" t="s">
        <v>6368</v>
      </c>
      <c r="R510" s="14" t="s">
        <v>191</v>
      </c>
      <c r="S510" s="17" t="s">
        <v>107</v>
      </c>
      <c r="T510" s="17" t="s">
        <v>107</v>
      </c>
      <c r="U510" s="14" t="s">
        <v>6369</v>
      </c>
      <c r="V510" s="14" t="s">
        <v>109</v>
      </c>
      <c r="W510" s="21" t="s">
        <v>429</v>
      </c>
      <c r="X510" s="14" t="s">
        <v>6370</v>
      </c>
      <c r="Y510" s="14" t="s">
        <v>100</v>
      </c>
      <c r="Z510" s="14" t="s">
        <v>107</v>
      </c>
      <c r="AA510" s="14" t="s">
        <v>107</v>
      </c>
      <c r="AB510" s="14" t="s">
        <v>131</v>
      </c>
      <c r="AC510" s="14" t="s">
        <v>113</v>
      </c>
      <c r="AD510" s="14" t="s">
        <v>114</v>
      </c>
    </row>
    <row r="511" customFormat="false" ht="78" hidden="false" customHeight="true" outlineLevel="0" collapsed="false">
      <c r="A511" s="14" t="s">
        <v>6371</v>
      </c>
      <c r="B511" s="14" t="s">
        <v>43</v>
      </c>
      <c r="C511" s="14" t="s">
        <v>3357</v>
      </c>
      <c r="D511" s="14" t="s">
        <v>30</v>
      </c>
      <c r="E511" s="14" t="s">
        <v>6372</v>
      </c>
      <c r="F511" s="15" t="s">
        <v>6373</v>
      </c>
      <c r="G511" s="14" t="s">
        <v>6374</v>
      </c>
      <c r="H511" s="14" t="s">
        <v>6375</v>
      </c>
      <c r="I511" s="14" t="s">
        <v>6376</v>
      </c>
      <c r="J511" s="14" t="s">
        <v>51</v>
      </c>
      <c r="K511" s="23" t="s">
        <v>5244</v>
      </c>
      <c r="L511" s="14" t="s">
        <v>6377</v>
      </c>
      <c r="M511" s="14" t="s">
        <v>3364</v>
      </c>
      <c r="N511" s="14" t="s">
        <v>6378</v>
      </c>
      <c r="O511" s="14"/>
      <c r="P511" s="14" t="s">
        <v>3366</v>
      </c>
      <c r="Q511" s="14" t="s">
        <v>6379</v>
      </c>
      <c r="R511" s="14" t="s">
        <v>191</v>
      </c>
      <c r="S511" s="20" t="s">
        <v>324</v>
      </c>
      <c r="T511" s="17" t="s">
        <v>107</v>
      </c>
      <c r="U511" s="14" t="s">
        <v>3368</v>
      </c>
      <c r="V511" s="14" t="s">
        <v>109</v>
      </c>
      <c r="W511" s="18" t="s">
        <v>110</v>
      </c>
      <c r="X511" s="14" t="s">
        <v>6380</v>
      </c>
      <c r="Y511" s="14" t="s">
        <v>1668</v>
      </c>
      <c r="Z511" s="14" t="s">
        <v>107</v>
      </c>
      <c r="AA511" s="14" t="s">
        <v>107</v>
      </c>
      <c r="AB511" s="14" t="s">
        <v>131</v>
      </c>
      <c r="AC511" s="14" t="s">
        <v>113</v>
      </c>
      <c r="AD511" s="14" t="s">
        <v>114</v>
      </c>
    </row>
    <row r="512" customFormat="false" ht="78" hidden="false" customHeight="true" outlineLevel="0" collapsed="false">
      <c r="A512" s="14" t="s">
        <v>6381</v>
      </c>
      <c r="B512" s="14" t="s">
        <v>43</v>
      </c>
      <c r="C512" s="14" t="s">
        <v>3357</v>
      </c>
      <c r="D512" s="14" t="s">
        <v>30</v>
      </c>
      <c r="E512" s="14" t="s">
        <v>6382</v>
      </c>
      <c r="F512" s="15" t="s">
        <v>6383</v>
      </c>
      <c r="G512" s="14" t="s">
        <v>6374</v>
      </c>
      <c r="H512" s="14" t="s">
        <v>6384</v>
      </c>
      <c r="I512" s="14" t="s">
        <v>6385</v>
      </c>
      <c r="J512" s="14" t="s">
        <v>51</v>
      </c>
      <c r="K512" s="23" t="s">
        <v>5244</v>
      </c>
      <c r="L512" s="14" t="s">
        <v>6386</v>
      </c>
      <c r="M512" s="14" t="s">
        <v>3364</v>
      </c>
      <c r="N512" s="14" t="s">
        <v>6387</v>
      </c>
      <c r="O512" s="14"/>
      <c r="P512" s="14" t="s">
        <v>3366</v>
      </c>
      <c r="Q512" s="14" t="s">
        <v>6388</v>
      </c>
      <c r="R512" s="14" t="s">
        <v>191</v>
      </c>
      <c r="S512" s="20" t="s">
        <v>324</v>
      </c>
      <c r="T512" s="17" t="s">
        <v>107</v>
      </c>
      <c r="U512" s="14" t="s">
        <v>3368</v>
      </c>
      <c r="V512" s="14" t="s">
        <v>109</v>
      </c>
      <c r="W512" s="18" t="s">
        <v>110</v>
      </c>
      <c r="X512" s="14" t="s">
        <v>6389</v>
      </c>
      <c r="Y512" s="14" t="s">
        <v>1668</v>
      </c>
      <c r="Z512" s="14" t="s">
        <v>107</v>
      </c>
      <c r="AA512" s="14" t="s">
        <v>107</v>
      </c>
      <c r="AB512" s="14" t="s">
        <v>131</v>
      </c>
      <c r="AC512" s="14" t="s">
        <v>113</v>
      </c>
      <c r="AD512" s="14" t="s">
        <v>114</v>
      </c>
    </row>
    <row r="513" customFormat="false" ht="78" hidden="false" customHeight="true" outlineLevel="0" collapsed="false">
      <c r="A513" s="14" t="s">
        <v>6390</v>
      </c>
      <c r="B513" s="14" t="s">
        <v>44</v>
      </c>
      <c r="C513" s="14" t="s">
        <v>6391</v>
      </c>
      <c r="D513" s="14" t="s">
        <v>1051</v>
      </c>
      <c r="E513" s="14" t="s">
        <v>6392</v>
      </c>
      <c r="F513" s="15" t="s">
        <v>6393</v>
      </c>
      <c r="G513" s="14" t="s">
        <v>3556</v>
      </c>
      <c r="H513" s="14" t="s">
        <v>6394</v>
      </c>
      <c r="I513" s="14" t="s">
        <v>6395</v>
      </c>
      <c r="J513" s="14" t="s">
        <v>57</v>
      </c>
      <c r="K513" s="23" t="s">
        <v>5244</v>
      </c>
      <c r="L513" s="14" t="s">
        <v>6396</v>
      </c>
      <c r="M513" s="14" t="s">
        <v>6397</v>
      </c>
      <c r="N513" s="14" t="s">
        <v>6398</v>
      </c>
      <c r="O513" s="14"/>
      <c r="P513" s="14" t="s">
        <v>6399</v>
      </c>
      <c r="Q513" s="14" t="s">
        <v>6400</v>
      </c>
      <c r="R513" s="14" t="s">
        <v>3576</v>
      </c>
      <c r="S513" s="20" t="s">
        <v>324</v>
      </c>
      <c r="T513" s="17" t="s">
        <v>107</v>
      </c>
      <c r="U513" s="14" t="s">
        <v>6401</v>
      </c>
      <c r="V513" s="14" t="s">
        <v>109</v>
      </c>
      <c r="W513" s="18" t="s">
        <v>110</v>
      </c>
      <c r="X513" s="14" t="s">
        <v>6402</v>
      </c>
      <c r="Y513" s="14" t="s">
        <v>1668</v>
      </c>
      <c r="Z513" s="14" t="s">
        <v>107</v>
      </c>
      <c r="AA513" s="14" t="s">
        <v>107</v>
      </c>
      <c r="AB513" s="14" t="s">
        <v>112</v>
      </c>
      <c r="AC513" s="14" t="s">
        <v>113</v>
      </c>
      <c r="AD513" s="14" t="s">
        <v>114</v>
      </c>
    </row>
    <row r="514" customFormat="false" ht="78" hidden="false" customHeight="true" outlineLevel="0" collapsed="false">
      <c r="A514" s="14" t="s">
        <v>6403</v>
      </c>
      <c r="B514" s="14" t="s">
        <v>44</v>
      </c>
      <c r="C514" s="14" t="s">
        <v>6404</v>
      </c>
      <c r="D514" s="14" t="s">
        <v>1051</v>
      </c>
      <c r="E514" s="14" t="s">
        <v>6405</v>
      </c>
      <c r="F514" s="15" t="s">
        <v>6406</v>
      </c>
      <c r="G514" s="14" t="s">
        <v>6407</v>
      </c>
      <c r="H514" s="14" t="s">
        <v>6408</v>
      </c>
      <c r="I514" s="14" t="s">
        <v>6409</v>
      </c>
      <c r="J514" s="14" t="s">
        <v>56</v>
      </c>
      <c r="K514" s="23" t="s">
        <v>5244</v>
      </c>
      <c r="L514" s="14" t="s">
        <v>6410</v>
      </c>
      <c r="M514" s="14" t="s">
        <v>6411</v>
      </c>
      <c r="N514" s="14" t="s">
        <v>6412</v>
      </c>
      <c r="O514" s="14"/>
      <c r="P514" s="14" t="s">
        <v>6413</v>
      </c>
      <c r="Q514" s="14" t="s">
        <v>6414</v>
      </c>
      <c r="R514" s="14" t="s">
        <v>1063</v>
      </c>
      <c r="S514" s="20" t="s">
        <v>324</v>
      </c>
      <c r="T514" s="20" t="s">
        <v>324</v>
      </c>
      <c r="U514" s="14" t="s">
        <v>6415</v>
      </c>
      <c r="V514" s="14" t="s">
        <v>109</v>
      </c>
      <c r="W514" s="18" t="s">
        <v>110</v>
      </c>
      <c r="X514" s="14" t="s">
        <v>6416</v>
      </c>
      <c r="Y514" s="14" t="s">
        <v>5244</v>
      </c>
      <c r="Z514" s="14" t="s">
        <v>107</v>
      </c>
      <c r="AA514" s="14" t="s">
        <v>107</v>
      </c>
      <c r="AB514" s="14" t="s">
        <v>112</v>
      </c>
      <c r="AC514" s="14" t="s">
        <v>113</v>
      </c>
      <c r="AD514" s="14" t="s">
        <v>114</v>
      </c>
    </row>
    <row r="515" customFormat="false" ht="78" hidden="false" customHeight="true" outlineLevel="0" collapsed="false">
      <c r="A515" s="14" t="s">
        <v>6417</v>
      </c>
      <c r="B515" s="14" t="s">
        <v>44</v>
      </c>
      <c r="C515" s="14" t="s">
        <v>6418</v>
      </c>
      <c r="D515" s="14" t="s">
        <v>1051</v>
      </c>
      <c r="E515" s="14" t="s">
        <v>6419</v>
      </c>
      <c r="F515" s="15" t="s">
        <v>1599</v>
      </c>
      <c r="G515" s="14" t="s">
        <v>533</v>
      </c>
      <c r="H515" s="14" t="s">
        <v>6420</v>
      </c>
      <c r="I515" s="14" t="s">
        <v>6421</v>
      </c>
      <c r="J515" s="14" t="s">
        <v>56</v>
      </c>
      <c r="K515" s="23" t="s">
        <v>5244</v>
      </c>
      <c r="L515" s="14" t="s">
        <v>6422</v>
      </c>
      <c r="M515" s="14" t="s">
        <v>6423</v>
      </c>
      <c r="N515" s="14" t="s">
        <v>6424</v>
      </c>
      <c r="O515" s="14"/>
      <c r="P515" s="14" t="s">
        <v>6425</v>
      </c>
      <c r="Q515" s="14" t="s">
        <v>6426</v>
      </c>
      <c r="R515" s="14" t="s">
        <v>1063</v>
      </c>
      <c r="S515" s="20" t="s">
        <v>324</v>
      </c>
      <c r="T515" s="17" t="s">
        <v>107</v>
      </c>
      <c r="U515" s="14" t="s">
        <v>6427</v>
      </c>
      <c r="V515" s="14" t="s">
        <v>109</v>
      </c>
      <c r="W515" s="18" t="s">
        <v>110</v>
      </c>
      <c r="X515" s="14" t="s">
        <v>6428</v>
      </c>
      <c r="Y515" s="14" t="s">
        <v>1668</v>
      </c>
      <c r="Z515" s="14" t="s">
        <v>107</v>
      </c>
      <c r="AA515" s="14" t="s">
        <v>107</v>
      </c>
      <c r="AB515" s="14" t="s">
        <v>112</v>
      </c>
      <c r="AC515" s="14" t="s">
        <v>1314</v>
      </c>
      <c r="AD515" s="14" t="s">
        <v>1315</v>
      </c>
    </row>
    <row r="516" customFormat="false" ht="78" hidden="false" customHeight="true" outlineLevel="0" collapsed="false">
      <c r="A516" s="14" t="s">
        <v>6429</v>
      </c>
      <c r="B516" s="14" t="s">
        <v>45</v>
      </c>
      <c r="C516" s="14" t="s">
        <v>6430</v>
      </c>
      <c r="D516" s="14" t="s">
        <v>1051</v>
      </c>
      <c r="E516" s="14" t="s">
        <v>6431</v>
      </c>
      <c r="F516" s="15" t="s">
        <v>6432</v>
      </c>
      <c r="G516" s="14" t="s">
        <v>6433</v>
      </c>
      <c r="H516" s="14" t="s">
        <v>6434</v>
      </c>
      <c r="I516" s="14" t="s">
        <v>6435</v>
      </c>
      <c r="J516" s="14" t="s">
        <v>536</v>
      </c>
      <c r="K516" s="23" t="s">
        <v>5244</v>
      </c>
      <c r="L516" s="14" t="s">
        <v>6436</v>
      </c>
      <c r="M516" s="14" t="s">
        <v>6437</v>
      </c>
      <c r="N516" s="14" t="s">
        <v>6438</v>
      </c>
      <c r="O516" s="14"/>
      <c r="P516" s="14" t="s">
        <v>6439</v>
      </c>
      <c r="Q516" s="14" t="s">
        <v>6440</v>
      </c>
      <c r="R516" s="14" t="s">
        <v>1063</v>
      </c>
      <c r="S516" s="20" t="s">
        <v>324</v>
      </c>
      <c r="T516" s="17" t="s">
        <v>107</v>
      </c>
      <c r="U516" s="14" t="s">
        <v>6441</v>
      </c>
      <c r="V516" s="14" t="s">
        <v>109</v>
      </c>
      <c r="W516" s="18" t="s">
        <v>110</v>
      </c>
      <c r="X516" s="14" t="s">
        <v>6442</v>
      </c>
      <c r="Y516" s="14" t="s">
        <v>1668</v>
      </c>
      <c r="Z516" s="14" t="s">
        <v>107</v>
      </c>
      <c r="AA516" s="14" t="s">
        <v>107</v>
      </c>
      <c r="AB516" s="14" t="s">
        <v>921</v>
      </c>
      <c r="AC516" s="14" t="s">
        <v>113</v>
      </c>
      <c r="AD516" s="14" t="s">
        <v>114</v>
      </c>
    </row>
    <row r="517" customFormat="false" ht="78" hidden="false" customHeight="true" outlineLevel="0" collapsed="false">
      <c r="A517" s="14" t="s">
        <v>6443</v>
      </c>
      <c r="B517" s="14" t="s">
        <v>45</v>
      </c>
      <c r="C517" s="14" t="s">
        <v>6444</v>
      </c>
      <c r="D517" s="14" t="s">
        <v>1051</v>
      </c>
      <c r="E517" s="14" t="s">
        <v>6445</v>
      </c>
      <c r="F517" s="15" t="s">
        <v>6446</v>
      </c>
      <c r="G517" s="14" t="s">
        <v>6447</v>
      </c>
      <c r="H517" s="14" t="s">
        <v>6448</v>
      </c>
      <c r="I517" s="14" t="s">
        <v>6449</v>
      </c>
      <c r="J517" s="14" t="s">
        <v>536</v>
      </c>
      <c r="K517" s="23" t="s">
        <v>5244</v>
      </c>
      <c r="L517" s="14" t="s">
        <v>6450</v>
      </c>
      <c r="M517" s="14" t="s">
        <v>6451</v>
      </c>
      <c r="N517" s="14" t="s">
        <v>6452</v>
      </c>
      <c r="O517" s="14"/>
      <c r="P517" s="14" t="s">
        <v>6453</v>
      </c>
      <c r="Q517" s="14" t="s">
        <v>6454</v>
      </c>
      <c r="R517" s="14" t="s">
        <v>1063</v>
      </c>
      <c r="S517" s="20" t="s">
        <v>324</v>
      </c>
      <c r="T517" s="17" t="s">
        <v>107</v>
      </c>
      <c r="U517" s="14" t="s">
        <v>6455</v>
      </c>
      <c r="V517" s="14" t="s">
        <v>109</v>
      </c>
      <c r="W517" s="18" t="s">
        <v>110</v>
      </c>
      <c r="X517" s="14" t="s">
        <v>6456</v>
      </c>
      <c r="Y517" s="14" t="s">
        <v>1668</v>
      </c>
      <c r="Z517" s="14" t="s">
        <v>107</v>
      </c>
      <c r="AA517" s="14" t="s">
        <v>107</v>
      </c>
      <c r="AB517" s="14" t="s">
        <v>921</v>
      </c>
      <c r="AC517" s="14" t="s">
        <v>113</v>
      </c>
      <c r="AD517" s="14" t="s">
        <v>114</v>
      </c>
    </row>
    <row r="518" customFormat="false" ht="78" hidden="false" customHeight="true" outlineLevel="0" collapsed="false">
      <c r="A518" s="14" t="s">
        <v>6457</v>
      </c>
      <c r="B518" s="14" t="s">
        <v>45</v>
      </c>
      <c r="C518" s="14" t="s">
        <v>6458</v>
      </c>
      <c r="D518" s="14" t="s">
        <v>1051</v>
      </c>
      <c r="E518" s="14" t="s">
        <v>6459</v>
      </c>
      <c r="F518" s="15" t="s">
        <v>1053</v>
      </c>
      <c r="G518" s="14" t="s">
        <v>6460</v>
      </c>
      <c r="H518" s="14" t="s">
        <v>6461</v>
      </c>
      <c r="I518" s="14" t="s">
        <v>6462</v>
      </c>
      <c r="J518" s="14" t="s">
        <v>536</v>
      </c>
      <c r="K518" s="23" t="s">
        <v>5244</v>
      </c>
      <c r="L518" s="14" t="s">
        <v>6463</v>
      </c>
      <c r="M518" s="14" t="s">
        <v>6464</v>
      </c>
      <c r="N518" s="14" t="s">
        <v>6465</v>
      </c>
      <c r="O518" s="14"/>
      <c r="P518" s="14" t="s">
        <v>6466</v>
      </c>
      <c r="Q518" s="14" t="s">
        <v>6467</v>
      </c>
      <c r="R518" s="14" t="s">
        <v>1063</v>
      </c>
      <c r="S518" s="20" t="s">
        <v>324</v>
      </c>
      <c r="T518" s="17" t="s">
        <v>107</v>
      </c>
      <c r="U518" s="14" t="s">
        <v>6468</v>
      </c>
      <c r="V518" s="14" t="s">
        <v>109</v>
      </c>
      <c r="W518" s="18" t="s">
        <v>110</v>
      </c>
      <c r="X518" s="14" t="s">
        <v>6469</v>
      </c>
      <c r="Y518" s="14" t="s">
        <v>1668</v>
      </c>
      <c r="Z518" s="14" t="s">
        <v>107</v>
      </c>
      <c r="AA518" s="14" t="s">
        <v>107</v>
      </c>
      <c r="AB518" s="14" t="s">
        <v>921</v>
      </c>
      <c r="AC518" s="14" t="s">
        <v>113</v>
      </c>
      <c r="AD518" s="14" t="s">
        <v>114</v>
      </c>
    </row>
    <row r="519" customFormat="false" ht="78" hidden="false" customHeight="true" outlineLevel="0" collapsed="false">
      <c r="A519" s="14" t="s">
        <v>6470</v>
      </c>
      <c r="B519" s="14" t="s">
        <v>45</v>
      </c>
      <c r="C519" s="14" t="s">
        <v>3541</v>
      </c>
      <c r="D519" s="14" t="s">
        <v>1051</v>
      </c>
      <c r="E519" s="14" t="s">
        <v>6471</v>
      </c>
      <c r="F519" s="15" t="s">
        <v>6472</v>
      </c>
      <c r="G519" s="14" t="s">
        <v>285</v>
      </c>
      <c r="H519" s="14" t="s">
        <v>6473</v>
      </c>
      <c r="I519" s="14" t="s">
        <v>6474</v>
      </c>
      <c r="J519" s="14" t="s">
        <v>53</v>
      </c>
      <c r="K519" s="23" t="s">
        <v>5244</v>
      </c>
      <c r="L519" s="14" t="s">
        <v>6475</v>
      </c>
      <c r="M519" s="14" t="s">
        <v>3547</v>
      </c>
      <c r="N519" s="14" t="s">
        <v>6476</v>
      </c>
      <c r="O519" s="14"/>
      <c r="P519" s="14" t="s">
        <v>6477</v>
      </c>
      <c r="Q519" s="14" t="s">
        <v>6478</v>
      </c>
      <c r="R519" s="14" t="s">
        <v>1063</v>
      </c>
      <c r="S519" s="20" t="s">
        <v>324</v>
      </c>
      <c r="T519" s="17" t="s">
        <v>107</v>
      </c>
      <c r="U519" s="14" t="s">
        <v>3551</v>
      </c>
      <c r="V519" s="14" t="s">
        <v>109</v>
      </c>
      <c r="W519" s="21" t="s">
        <v>429</v>
      </c>
      <c r="X519" s="14" t="s">
        <v>6479</v>
      </c>
      <c r="Y519" s="14" t="s">
        <v>1668</v>
      </c>
      <c r="Z519" s="14" t="s">
        <v>107</v>
      </c>
      <c r="AA519" s="14" t="s">
        <v>107</v>
      </c>
      <c r="AB519" s="14" t="s">
        <v>921</v>
      </c>
      <c r="AC519" s="14" t="s">
        <v>113</v>
      </c>
      <c r="AD519" s="14" t="s">
        <v>114</v>
      </c>
    </row>
    <row r="520" customFormat="false" ht="78" hidden="false" customHeight="true" outlineLevel="0" collapsed="false">
      <c r="A520" s="14" t="s">
        <v>6480</v>
      </c>
      <c r="B520" s="14" t="s">
        <v>45</v>
      </c>
      <c r="C520" s="14" t="s">
        <v>3541</v>
      </c>
      <c r="D520" s="14" t="s">
        <v>1051</v>
      </c>
      <c r="E520" s="14" t="s">
        <v>6481</v>
      </c>
      <c r="F520" s="15" t="s">
        <v>6482</v>
      </c>
      <c r="G520" s="14" t="s">
        <v>285</v>
      </c>
      <c r="H520" s="14" t="s">
        <v>6483</v>
      </c>
      <c r="I520" s="14" t="s">
        <v>6484</v>
      </c>
      <c r="J520" s="14" t="s">
        <v>53</v>
      </c>
      <c r="K520" s="23" t="s">
        <v>5244</v>
      </c>
      <c r="L520" s="14" t="s">
        <v>6485</v>
      </c>
      <c r="M520" s="14" t="s">
        <v>3547</v>
      </c>
      <c r="N520" s="14" t="s">
        <v>6486</v>
      </c>
      <c r="O520" s="14"/>
      <c r="P520" s="14" t="s">
        <v>6487</v>
      </c>
      <c r="Q520" s="14" t="s">
        <v>6488</v>
      </c>
      <c r="R520" s="14" t="s">
        <v>1063</v>
      </c>
      <c r="S520" s="20" t="s">
        <v>324</v>
      </c>
      <c r="T520" s="20" t="s">
        <v>324</v>
      </c>
      <c r="U520" s="14" t="s">
        <v>3551</v>
      </c>
      <c r="V520" s="14" t="s">
        <v>109</v>
      </c>
      <c r="W520" s="21" t="s">
        <v>429</v>
      </c>
      <c r="X520" s="14" t="s">
        <v>6489</v>
      </c>
      <c r="Y520" s="14" t="s">
        <v>5244</v>
      </c>
      <c r="Z520" s="14" t="s">
        <v>107</v>
      </c>
      <c r="AA520" s="14" t="s">
        <v>107</v>
      </c>
      <c r="AB520" s="14" t="s">
        <v>921</v>
      </c>
      <c r="AC520" s="14" t="s">
        <v>113</v>
      </c>
      <c r="AD520" s="14" t="s">
        <v>114</v>
      </c>
    </row>
    <row r="521" customFormat="false" ht="78" hidden="false" customHeight="true" outlineLevel="0" collapsed="false">
      <c r="A521" s="14" t="s">
        <v>6490</v>
      </c>
      <c r="B521" s="14" t="s">
        <v>45</v>
      </c>
      <c r="C521" s="14" t="s">
        <v>6491</v>
      </c>
      <c r="D521" s="14" t="s">
        <v>1051</v>
      </c>
      <c r="E521" s="14" t="s">
        <v>6492</v>
      </c>
      <c r="F521" s="15" t="s">
        <v>3555</v>
      </c>
      <c r="G521" s="14" t="s">
        <v>3556</v>
      </c>
      <c r="H521" s="14" t="s">
        <v>6493</v>
      </c>
      <c r="I521" s="14" t="s">
        <v>6494</v>
      </c>
      <c r="J521" s="14" t="s">
        <v>52</v>
      </c>
      <c r="K521" s="23" t="s">
        <v>5244</v>
      </c>
      <c r="L521" s="14" t="s">
        <v>6495</v>
      </c>
      <c r="M521" s="14" t="s">
        <v>6496</v>
      </c>
      <c r="N521" s="14" t="s">
        <v>6497</v>
      </c>
      <c r="O521" s="14"/>
      <c r="P521" s="14" t="s">
        <v>6498</v>
      </c>
      <c r="Q521" s="14" t="s">
        <v>6499</v>
      </c>
      <c r="R521" s="14" t="s">
        <v>3576</v>
      </c>
      <c r="S521" s="20" t="s">
        <v>324</v>
      </c>
      <c r="T521" s="17" t="s">
        <v>107</v>
      </c>
      <c r="U521" s="14" t="s">
        <v>6500</v>
      </c>
      <c r="V521" s="14" t="s">
        <v>109</v>
      </c>
      <c r="W521" s="18" t="s">
        <v>110</v>
      </c>
      <c r="X521" s="14" t="s">
        <v>6501</v>
      </c>
      <c r="Y521" s="14" t="s">
        <v>5244</v>
      </c>
      <c r="Z521" s="14" t="s">
        <v>107</v>
      </c>
      <c r="AA521" s="14" t="s">
        <v>107</v>
      </c>
      <c r="AB521" s="14" t="s">
        <v>921</v>
      </c>
      <c r="AC521" s="14" t="s">
        <v>113</v>
      </c>
      <c r="AD521" s="14" t="s">
        <v>114</v>
      </c>
    </row>
    <row r="522" customFormat="false" ht="78" hidden="false" customHeight="true" outlineLevel="0" collapsed="false">
      <c r="A522" s="14" t="s">
        <v>6502</v>
      </c>
      <c r="B522" s="14" t="s">
        <v>47</v>
      </c>
      <c r="C522" s="14" t="s">
        <v>6503</v>
      </c>
      <c r="D522" s="14" t="s">
        <v>1051</v>
      </c>
      <c r="E522" s="14" t="s">
        <v>6504</v>
      </c>
      <c r="F522" s="15" t="s">
        <v>6505</v>
      </c>
      <c r="G522" s="14" t="s">
        <v>168</v>
      </c>
      <c r="H522" s="14" t="s">
        <v>6506</v>
      </c>
      <c r="I522" s="14" t="s">
        <v>6507</v>
      </c>
      <c r="J522" s="14" t="s">
        <v>52</v>
      </c>
      <c r="K522" s="23" t="s">
        <v>5244</v>
      </c>
      <c r="L522" s="14" t="s">
        <v>6508</v>
      </c>
      <c r="M522" s="14" t="s">
        <v>6509</v>
      </c>
      <c r="N522" s="14" t="s">
        <v>6510</v>
      </c>
      <c r="O522" s="14"/>
      <c r="P522" s="14" t="s">
        <v>6511</v>
      </c>
      <c r="Q522" s="14" t="s">
        <v>6512</v>
      </c>
      <c r="R522" s="14" t="s">
        <v>3576</v>
      </c>
      <c r="S522" s="20" t="s">
        <v>324</v>
      </c>
      <c r="T522" s="20" t="s">
        <v>324</v>
      </c>
      <c r="U522" s="14" t="s">
        <v>6513</v>
      </c>
      <c r="V522" s="14" t="s">
        <v>109</v>
      </c>
      <c r="W522" s="18" t="s">
        <v>110</v>
      </c>
      <c r="X522" s="14" t="s">
        <v>6514</v>
      </c>
      <c r="Y522" s="14" t="s">
        <v>5244</v>
      </c>
      <c r="Z522" s="14" t="s">
        <v>107</v>
      </c>
      <c r="AA522" s="14" t="s">
        <v>107</v>
      </c>
      <c r="AB522" s="14" t="s">
        <v>2204</v>
      </c>
      <c r="AC522" s="14" t="s">
        <v>113</v>
      </c>
      <c r="AD522" s="14" t="s">
        <v>114</v>
      </c>
    </row>
    <row r="523" customFormat="false" ht="78" hidden="false" customHeight="true" outlineLevel="0" collapsed="false">
      <c r="A523" s="14" t="s">
        <v>6515</v>
      </c>
      <c r="B523" s="14" t="s">
        <v>48</v>
      </c>
      <c r="C523" s="14" t="s">
        <v>6516</v>
      </c>
      <c r="D523" s="14" t="s">
        <v>1051</v>
      </c>
      <c r="E523" s="14" t="s">
        <v>6517</v>
      </c>
      <c r="F523" s="15" t="s">
        <v>6518</v>
      </c>
      <c r="G523" s="14" t="s">
        <v>285</v>
      </c>
      <c r="H523" s="14" t="s">
        <v>6519</v>
      </c>
      <c r="I523" s="14" t="s">
        <v>6520</v>
      </c>
      <c r="J523" s="14" t="s">
        <v>54</v>
      </c>
      <c r="K523" s="23" t="s">
        <v>5244</v>
      </c>
      <c r="L523" s="14" t="s">
        <v>6521</v>
      </c>
      <c r="M523" s="14" t="s">
        <v>6522</v>
      </c>
      <c r="N523" s="14" t="s">
        <v>6523</v>
      </c>
      <c r="O523" s="14"/>
      <c r="P523" s="14" t="s">
        <v>6524</v>
      </c>
      <c r="Q523" s="14" t="s">
        <v>6525</v>
      </c>
      <c r="R523" s="14" t="s">
        <v>6526</v>
      </c>
      <c r="S523" s="17" t="s">
        <v>107</v>
      </c>
      <c r="T523" s="20" t="s">
        <v>324</v>
      </c>
      <c r="U523" s="14" t="s">
        <v>6527</v>
      </c>
      <c r="V523" s="14" t="s">
        <v>109</v>
      </c>
      <c r="W523" s="21" t="s">
        <v>429</v>
      </c>
      <c r="X523" s="14" t="s">
        <v>6528</v>
      </c>
      <c r="Y523" s="14" t="s">
        <v>1668</v>
      </c>
      <c r="Z523" s="14" t="s">
        <v>107</v>
      </c>
      <c r="AA523" s="14" t="s">
        <v>107</v>
      </c>
      <c r="AB523" s="14" t="s">
        <v>559</v>
      </c>
      <c r="AC523" s="14" t="s">
        <v>560</v>
      </c>
      <c r="AD523" s="14" t="s">
        <v>561</v>
      </c>
    </row>
    <row r="524" customFormat="false" ht="78" hidden="false" customHeight="true" outlineLevel="0" collapsed="false">
      <c r="A524" s="14" t="s">
        <v>6529</v>
      </c>
      <c r="B524" s="14" t="s">
        <v>43</v>
      </c>
      <c r="C524" s="14" t="s">
        <v>6530</v>
      </c>
      <c r="D524" s="14" t="s">
        <v>1051</v>
      </c>
      <c r="E524" s="14" t="s">
        <v>6531</v>
      </c>
      <c r="F524" s="15" t="s">
        <v>1069</v>
      </c>
      <c r="G524" s="14" t="s">
        <v>1070</v>
      </c>
      <c r="H524" s="14" t="s">
        <v>6532</v>
      </c>
      <c r="I524" s="14" t="s">
        <v>6533</v>
      </c>
      <c r="J524" s="14" t="s">
        <v>51</v>
      </c>
      <c r="K524" s="23" t="s">
        <v>5244</v>
      </c>
      <c r="L524" s="14" t="s">
        <v>6534</v>
      </c>
      <c r="M524" s="14" t="s">
        <v>6535</v>
      </c>
      <c r="N524" s="14" t="s">
        <v>6536</v>
      </c>
      <c r="O524" s="14"/>
      <c r="P524" s="14" t="s">
        <v>6537</v>
      </c>
      <c r="Q524" s="14" t="s">
        <v>6538</v>
      </c>
      <c r="R524" s="14" t="s">
        <v>1078</v>
      </c>
      <c r="S524" s="17" t="s">
        <v>107</v>
      </c>
      <c r="T524" s="20" t="s">
        <v>324</v>
      </c>
      <c r="U524" s="14" t="s">
        <v>6539</v>
      </c>
      <c r="V524" s="14" t="s">
        <v>109</v>
      </c>
      <c r="W524" s="21" t="s">
        <v>429</v>
      </c>
      <c r="X524" s="14" t="s">
        <v>6540</v>
      </c>
      <c r="Y524" s="14" t="s">
        <v>194</v>
      </c>
      <c r="Z524" s="14" t="s">
        <v>107</v>
      </c>
      <c r="AA524" s="14" t="s">
        <v>107</v>
      </c>
      <c r="AB524" s="14" t="s">
        <v>131</v>
      </c>
      <c r="AC524" s="14" t="s">
        <v>113</v>
      </c>
      <c r="AD524" s="14" t="s">
        <v>114</v>
      </c>
    </row>
    <row r="525" customFormat="false" ht="78" hidden="false" customHeight="true" outlineLevel="0" collapsed="false">
      <c r="A525" s="14" t="s">
        <v>6541</v>
      </c>
      <c r="B525" s="14" t="s">
        <v>43</v>
      </c>
      <c r="C525" s="14" t="s">
        <v>6542</v>
      </c>
      <c r="D525" s="14" t="s">
        <v>1051</v>
      </c>
      <c r="E525" s="14" t="s">
        <v>6543</v>
      </c>
      <c r="F525" s="15" t="s">
        <v>3555</v>
      </c>
      <c r="G525" s="14" t="s">
        <v>3556</v>
      </c>
      <c r="H525" s="14" t="s">
        <v>6544</v>
      </c>
      <c r="I525" s="14" t="s">
        <v>6545</v>
      </c>
      <c r="J525" s="14" t="s">
        <v>50</v>
      </c>
      <c r="K525" s="23" t="s">
        <v>5244</v>
      </c>
      <c r="L525" s="14" t="s">
        <v>6546</v>
      </c>
      <c r="M525" s="14" t="s">
        <v>6547</v>
      </c>
      <c r="N525" s="14" t="s">
        <v>6548</v>
      </c>
      <c r="O525" s="14"/>
      <c r="P525" s="14" t="s">
        <v>6549</v>
      </c>
      <c r="Q525" s="14" t="s">
        <v>6550</v>
      </c>
      <c r="R525" s="14" t="s">
        <v>1078</v>
      </c>
      <c r="S525" s="20" t="s">
        <v>324</v>
      </c>
      <c r="T525" s="17" t="s">
        <v>107</v>
      </c>
      <c r="U525" s="14" t="s">
        <v>6551</v>
      </c>
      <c r="V525" s="14" t="s">
        <v>109</v>
      </c>
      <c r="W525" s="21" t="s">
        <v>429</v>
      </c>
      <c r="X525" s="14" t="s">
        <v>6552</v>
      </c>
      <c r="Y525" s="14" t="s">
        <v>1668</v>
      </c>
      <c r="Z525" s="14" t="s">
        <v>107</v>
      </c>
      <c r="AA525" s="14" t="s">
        <v>107</v>
      </c>
      <c r="AB525" s="14" t="s">
        <v>131</v>
      </c>
      <c r="AC525" s="14" t="s">
        <v>113</v>
      </c>
      <c r="AD525" s="14" t="s">
        <v>114</v>
      </c>
    </row>
    <row r="526" customFormat="false" ht="78" hidden="false" customHeight="true" outlineLevel="0" collapsed="false">
      <c r="A526" s="14" t="s">
        <v>6553</v>
      </c>
      <c r="B526" s="14" t="s">
        <v>43</v>
      </c>
      <c r="C526" s="14" t="s">
        <v>6554</v>
      </c>
      <c r="D526" s="14" t="s">
        <v>1051</v>
      </c>
      <c r="E526" s="14" t="s">
        <v>1555</v>
      </c>
      <c r="F526" s="15" t="s">
        <v>1556</v>
      </c>
      <c r="G526" s="14" t="s">
        <v>168</v>
      </c>
      <c r="H526" s="14" t="s">
        <v>6555</v>
      </c>
      <c r="I526" s="14" t="s">
        <v>6556</v>
      </c>
      <c r="J526" s="14" t="s">
        <v>57</v>
      </c>
      <c r="K526" s="23" t="s">
        <v>5244</v>
      </c>
      <c r="L526" s="14" t="s">
        <v>6557</v>
      </c>
      <c r="M526" s="14" t="s">
        <v>6558</v>
      </c>
      <c r="N526" s="14" t="s">
        <v>6559</v>
      </c>
      <c r="O526" s="14"/>
      <c r="P526" s="14" t="s">
        <v>6560</v>
      </c>
      <c r="Q526" s="14" t="s">
        <v>6561</v>
      </c>
      <c r="R526" s="14" t="s">
        <v>1093</v>
      </c>
      <c r="S526" s="20" t="s">
        <v>324</v>
      </c>
      <c r="T526" s="20" t="s">
        <v>324</v>
      </c>
      <c r="U526" s="14" t="s">
        <v>6562</v>
      </c>
      <c r="V526" s="14" t="s">
        <v>109</v>
      </c>
      <c r="W526" s="21" t="s">
        <v>429</v>
      </c>
      <c r="X526" s="14" t="s">
        <v>6563</v>
      </c>
      <c r="Y526" s="14" t="s">
        <v>1668</v>
      </c>
      <c r="Z526" s="14" t="s">
        <v>107</v>
      </c>
      <c r="AA526" s="14" t="s">
        <v>107</v>
      </c>
      <c r="AB526" s="14" t="s">
        <v>131</v>
      </c>
      <c r="AC526" s="14" t="s">
        <v>113</v>
      </c>
      <c r="AD526" s="14" t="s">
        <v>114</v>
      </c>
    </row>
    <row r="527" customFormat="false" ht="78" hidden="false" customHeight="true" outlineLevel="0" collapsed="false">
      <c r="A527" s="14" t="s">
        <v>6564</v>
      </c>
      <c r="B527" s="14" t="s">
        <v>44</v>
      </c>
      <c r="C527" s="14" t="s">
        <v>6565</v>
      </c>
      <c r="D527" s="14" t="s">
        <v>1083</v>
      </c>
      <c r="E527" s="14" t="s">
        <v>5831</v>
      </c>
      <c r="F527" s="15" t="s">
        <v>6566</v>
      </c>
      <c r="G527" s="14" t="s">
        <v>3805</v>
      </c>
      <c r="H527" s="14" t="s">
        <v>6567</v>
      </c>
      <c r="I527" s="14" t="s">
        <v>6568</v>
      </c>
      <c r="J527" s="14" t="s">
        <v>202</v>
      </c>
      <c r="K527" s="23" t="s">
        <v>5244</v>
      </c>
      <c r="L527" s="14" t="s">
        <v>6569</v>
      </c>
      <c r="M527" s="14" t="s">
        <v>6570</v>
      </c>
      <c r="N527" s="14" t="s">
        <v>6571</v>
      </c>
      <c r="O527" s="14"/>
      <c r="P527" s="14" t="s">
        <v>6572</v>
      </c>
      <c r="Q527" s="14" t="s">
        <v>6573</v>
      </c>
      <c r="R527" s="14" t="s">
        <v>1063</v>
      </c>
      <c r="S527" s="20" t="s">
        <v>324</v>
      </c>
      <c r="T527" s="17" t="s">
        <v>107</v>
      </c>
      <c r="U527" s="14" t="s">
        <v>6574</v>
      </c>
      <c r="V527" s="14" t="s">
        <v>109</v>
      </c>
      <c r="W527" s="21" t="s">
        <v>429</v>
      </c>
      <c r="X527" s="14" t="s">
        <v>6575</v>
      </c>
      <c r="Y527" s="14" t="s">
        <v>1668</v>
      </c>
      <c r="Z527" s="14" t="s">
        <v>107</v>
      </c>
      <c r="AA527" s="14" t="s">
        <v>107</v>
      </c>
      <c r="AB527" s="14" t="s">
        <v>112</v>
      </c>
      <c r="AC527" s="14" t="s">
        <v>113</v>
      </c>
      <c r="AD527" s="14" t="s">
        <v>114</v>
      </c>
    </row>
    <row r="528" customFormat="false" ht="78" hidden="false" customHeight="true" outlineLevel="0" collapsed="false">
      <c r="A528" s="14" t="s">
        <v>6576</v>
      </c>
      <c r="B528" s="14" t="s">
        <v>45</v>
      </c>
      <c r="C528" s="14" t="s">
        <v>6577</v>
      </c>
      <c r="D528" s="14" t="s">
        <v>1083</v>
      </c>
      <c r="E528" s="14" t="s">
        <v>6578</v>
      </c>
      <c r="F528" s="15" t="s">
        <v>6579</v>
      </c>
      <c r="G528" s="14" t="s">
        <v>285</v>
      </c>
      <c r="H528" s="14" t="s">
        <v>6580</v>
      </c>
      <c r="I528" s="14" t="s">
        <v>6581</v>
      </c>
      <c r="J528" s="14" t="s">
        <v>53</v>
      </c>
      <c r="K528" s="23" t="s">
        <v>5244</v>
      </c>
      <c r="L528" s="14" t="s">
        <v>6582</v>
      </c>
      <c r="M528" s="14" t="s">
        <v>6583</v>
      </c>
      <c r="N528" s="14" t="s">
        <v>6584</v>
      </c>
      <c r="O528" s="14"/>
      <c r="P528" s="14" t="s">
        <v>6585</v>
      </c>
      <c r="Q528" s="14" t="s">
        <v>6586</v>
      </c>
      <c r="R528" s="14" t="s">
        <v>1063</v>
      </c>
      <c r="S528" s="20" t="s">
        <v>324</v>
      </c>
      <c r="T528" s="17" t="s">
        <v>107</v>
      </c>
      <c r="U528" s="14" t="s">
        <v>6587</v>
      </c>
      <c r="V528" s="14" t="s">
        <v>109</v>
      </c>
      <c r="W528" s="21" t="s">
        <v>429</v>
      </c>
      <c r="X528" s="14" t="s">
        <v>6588</v>
      </c>
      <c r="Y528" s="14" t="s">
        <v>1668</v>
      </c>
      <c r="Z528" s="14" t="s">
        <v>107</v>
      </c>
      <c r="AA528" s="14" t="s">
        <v>107</v>
      </c>
      <c r="AB528" s="14" t="s">
        <v>921</v>
      </c>
      <c r="AC528" s="14" t="s">
        <v>113</v>
      </c>
      <c r="AD528" s="14" t="s">
        <v>114</v>
      </c>
    </row>
    <row r="529" customFormat="false" ht="78" hidden="false" customHeight="true" outlineLevel="0" collapsed="false">
      <c r="A529" s="14" t="s">
        <v>6589</v>
      </c>
      <c r="B529" s="14" t="s">
        <v>45</v>
      </c>
      <c r="C529" s="14" t="s">
        <v>6590</v>
      </c>
      <c r="D529" s="14" t="s">
        <v>1083</v>
      </c>
      <c r="E529" s="14" t="s">
        <v>6591</v>
      </c>
      <c r="F529" s="15" t="s">
        <v>1614</v>
      </c>
      <c r="G529" s="14" t="s">
        <v>1932</v>
      </c>
      <c r="H529" s="14" t="s">
        <v>6592</v>
      </c>
      <c r="I529" s="14" t="s">
        <v>6593</v>
      </c>
      <c r="J529" s="14" t="s">
        <v>56</v>
      </c>
      <c r="K529" s="23" t="s">
        <v>5244</v>
      </c>
      <c r="L529" s="14" t="s">
        <v>6594</v>
      </c>
      <c r="M529" s="14" t="s">
        <v>6595</v>
      </c>
      <c r="N529" s="14" t="s">
        <v>6596</v>
      </c>
      <c r="O529" s="14"/>
      <c r="P529" s="14" t="s">
        <v>6597</v>
      </c>
      <c r="Q529" s="14" t="s">
        <v>6598</v>
      </c>
      <c r="R529" s="14" t="s">
        <v>1063</v>
      </c>
      <c r="S529" s="20" t="s">
        <v>324</v>
      </c>
      <c r="T529" s="17" t="s">
        <v>107</v>
      </c>
      <c r="U529" s="14" t="s">
        <v>6599</v>
      </c>
      <c r="V529" s="14" t="s">
        <v>109</v>
      </c>
      <c r="W529" s="18" t="s">
        <v>110</v>
      </c>
      <c r="X529" s="14" t="s">
        <v>6600</v>
      </c>
      <c r="Y529" s="14" t="s">
        <v>1668</v>
      </c>
      <c r="Z529" s="14" t="s">
        <v>107</v>
      </c>
      <c r="AA529" s="14" t="s">
        <v>107</v>
      </c>
      <c r="AB529" s="14" t="s">
        <v>921</v>
      </c>
      <c r="AC529" s="14" t="s">
        <v>113</v>
      </c>
      <c r="AD529" s="14" t="s">
        <v>114</v>
      </c>
    </row>
    <row r="530" customFormat="false" ht="78" hidden="false" customHeight="true" outlineLevel="0" collapsed="false">
      <c r="A530" s="14" t="s">
        <v>6601</v>
      </c>
      <c r="B530" s="14" t="s">
        <v>47</v>
      </c>
      <c r="C530" s="14" t="s">
        <v>6602</v>
      </c>
      <c r="D530" s="14" t="s">
        <v>1083</v>
      </c>
      <c r="E530" s="14" t="s">
        <v>1084</v>
      </c>
      <c r="F530" s="15" t="s">
        <v>1085</v>
      </c>
      <c r="G530" s="14" t="s">
        <v>285</v>
      </c>
      <c r="H530" s="14" t="s">
        <v>6603</v>
      </c>
      <c r="I530" s="14" t="s">
        <v>6604</v>
      </c>
      <c r="J530" s="14" t="s">
        <v>52</v>
      </c>
      <c r="K530" s="23" t="s">
        <v>5244</v>
      </c>
      <c r="L530" s="14" t="s">
        <v>6605</v>
      </c>
      <c r="M530" s="14" t="s">
        <v>6606</v>
      </c>
      <c r="N530" s="14" t="s">
        <v>6607</v>
      </c>
      <c r="O530" s="14"/>
      <c r="P530" s="14" t="s">
        <v>6608</v>
      </c>
      <c r="Q530" s="14" t="s">
        <v>6609</v>
      </c>
      <c r="R530" s="14" t="s">
        <v>3772</v>
      </c>
      <c r="S530" s="20" t="s">
        <v>324</v>
      </c>
      <c r="T530" s="17" t="s">
        <v>107</v>
      </c>
      <c r="U530" s="14" t="s">
        <v>6610</v>
      </c>
      <c r="V530" s="14" t="s">
        <v>109</v>
      </c>
      <c r="W530" s="18" t="s">
        <v>110</v>
      </c>
      <c r="X530" s="14" t="s">
        <v>6611</v>
      </c>
      <c r="Y530" s="14" t="s">
        <v>5244</v>
      </c>
      <c r="Z530" s="14" t="s">
        <v>107</v>
      </c>
      <c r="AA530" s="14" t="s">
        <v>107</v>
      </c>
      <c r="AB530" s="14" t="s">
        <v>2204</v>
      </c>
      <c r="AC530" s="14" t="s">
        <v>113</v>
      </c>
      <c r="AD530" s="14" t="s">
        <v>114</v>
      </c>
    </row>
    <row r="531" customFormat="false" ht="78" hidden="false" customHeight="true" outlineLevel="0" collapsed="false">
      <c r="A531" s="14" t="s">
        <v>6612</v>
      </c>
      <c r="B531" s="14" t="s">
        <v>47</v>
      </c>
      <c r="C531" s="14" t="s">
        <v>6613</v>
      </c>
      <c r="D531" s="14" t="s">
        <v>1083</v>
      </c>
      <c r="E531" s="14" t="s">
        <v>6614</v>
      </c>
      <c r="F531" s="15" t="s">
        <v>6505</v>
      </c>
      <c r="G531" s="14" t="s">
        <v>1932</v>
      </c>
      <c r="H531" s="14" t="s">
        <v>6615</v>
      </c>
      <c r="I531" s="14" t="s">
        <v>6616</v>
      </c>
      <c r="J531" s="14" t="s">
        <v>52</v>
      </c>
      <c r="K531" s="23" t="s">
        <v>5244</v>
      </c>
      <c r="L531" s="14" t="s">
        <v>6617</v>
      </c>
      <c r="M531" s="14" t="s">
        <v>6618</v>
      </c>
      <c r="N531" s="14" t="s">
        <v>6619</v>
      </c>
      <c r="O531" s="14"/>
      <c r="P531" s="14" t="s">
        <v>6620</v>
      </c>
      <c r="Q531" s="14" t="s">
        <v>6621</v>
      </c>
      <c r="R531" s="14" t="s">
        <v>3772</v>
      </c>
      <c r="S531" s="20" t="s">
        <v>324</v>
      </c>
      <c r="T531" s="17" t="s">
        <v>107</v>
      </c>
      <c r="U531" s="14" t="s">
        <v>6622</v>
      </c>
      <c r="V531" s="14" t="s">
        <v>109</v>
      </c>
      <c r="W531" s="21" t="s">
        <v>429</v>
      </c>
      <c r="X531" s="14" t="s">
        <v>6623</v>
      </c>
      <c r="Y531" s="14" t="s">
        <v>1668</v>
      </c>
      <c r="Z531" s="14" t="s">
        <v>107</v>
      </c>
      <c r="AA531" s="14" t="s">
        <v>107</v>
      </c>
      <c r="AB531" s="14" t="s">
        <v>2204</v>
      </c>
      <c r="AC531" s="14" t="s">
        <v>113</v>
      </c>
      <c r="AD531" s="14" t="s">
        <v>114</v>
      </c>
    </row>
    <row r="532" customFormat="false" ht="78" hidden="false" customHeight="true" outlineLevel="0" collapsed="false">
      <c r="A532" s="14" t="s">
        <v>6624</v>
      </c>
      <c r="B532" s="14" t="s">
        <v>48</v>
      </c>
      <c r="C532" s="14" t="s">
        <v>6625</v>
      </c>
      <c r="D532" s="14" t="s">
        <v>1083</v>
      </c>
      <c r="E532" s="14" t="s">
        <v>6626</v>
      </c>
      <c r="F532" s="15" t="s">
        <v>3791</v>
      </c>
      <c r="G532" s="14" t="s">
        <v>1215</v>
      </c>
      <c r="H532" s="14" t="s">
        <v>6627</v>
      </c>
      <c r="I532" s="14" t="s">
        <v>6628</v>
      </c>
      <c r="J532" s="14" t="s">
        <v>54</v>
      </c>
      <c r="K532" s="23" t="s">
        <v>5244</v>
      </c>
      <c r="L532" s="14" t="s">
        <v>6629</v>
      </c>
      <c r="M532" s="14" t="s">
        <v>6630</v>
      </c>
      <c r="N532" s="14" t="s">
        <v>6631</v>
      </c>
      <c r="O532" s="14"/>
      <c r="P532" s="14" t="s">
        <v>6632</v>
      </c>
      <c r="Q532" s="14" t="s">
        <v>6633</v>
      </c>
      <c r="R532" s="14" t="s">
        <v>6634</v>
      </c>
      <c r="S532" s="20" t="s">
        <v>324</v>
      </c>
      <c r="T532" s="20" t="s">
        <v>324</v>
      </c>
      <c r="U532" s="14" t="s">
        <v>6635</v>
      </c>
      <c r="V532" s="14" t="s">
        <v>109</v>
      </c>
      <c r="W532" s="21" t="s">
        <v>429</v>
      </c>
      <c r="X532" s="14" t="s">
        <v>6636</v>
      </c>
      <c r="Y532" s="14" t="s">
        <v>1668</v>
      </c>
      <c r="Z532" s="14" t="s">
        <v>107</v>
      </c>
      <c r="AA532" s="14" t="s">
        <v>107</v>
      </c>
      <c r="AB532" s="14" t="s">
        <v>559</v>
      </c>
      <c r="AC532" s="14" t="s">
        <v>560</v>
      </c>
      <c r="AD532" s="14" t="s">
        <v>561</v>
      </c>
    </row>
    <row r="533" customFormat="false" ht="78" hidden="false" customHeight="true" outlineLevel="0" collapsed="false">
      <c r="A533" s="14" t="s">
        <v>6637</v>
      </c>
      <c r="B533" s="14" t="s">
        <v>48</v>
      </c>
      <c r="C533" s="14" t="s">
        <v>6638</v>
      </c>
      <c r="D533" s="14" t="s">
        <v>1083</v>
      </c>
      <c r="E533" s="14" t="s">
        <v>6639</v>
      </c>
      <c r="F533" s="15" t="s">
        <v>1136</v>
      </c>
      <c r="G533" s="14" t="s">
        <v>6640</v>
      </c>
      <c r="H533" s="14" t="s">
        <v>3871</v>
      </c>
      <c r="I533" s="14" t="s">
        <v>6641</v>
      </c>
      <c r="J533" s="14" t="s">
        <v>54</v>
      </c>
      <c r="K533" s="23" t="s">
        <v>5244</v>
      </c>
      <c r="L533" s="14" t="s">
        <v>6642</v>
      </c>
      <c r="M533" s="14" t="s">
        <v>6643</v>
      </c>
      <c r="N533" s="14" t="s">
        <v>6644</v>
      </c>
      <c r="O533" s="14"/>
      <c r="P533" s="14" t="s">
        <v>6645</v>
      </c>
      <c r="Q533" s="14" t="s">
        <v>6646</v>
      </c>
      <c r="R533" s="14" t="s">
        <v>1105</v>
      </c>
      <c r="S533" s="17" t="s">
        <v>107</v>
      </c>
      <c r="T533" s="20" t="s">
        <v>324</v>
      </c>
      <c r="U533" s="14" t="s">
        <v>6647</v>
      </c>
      <c r="V533" s="14" t="s">
        <v>109</v>
      </c>
      <c r="W533" s="21" t="s">
        <v>429</v>
      </c>
      <c r="X533" s="14" t="s">
        <v>6648</v>
      </c>
      <c r="Y533" s="14" t="s">
        <v>194</v>
      </c>
      <c r="Z533" s="14" t="s">
        <v>107</v>
      </c>
      <c r="AA533" s="14" t="s">
        <v>107</v>
      </c>
      <c r="AB533" s="14" t="s">
        <v>559</v>
      </c>
      <c r="AC533" s="14" t="s">
        <v>560</v>
      </c>
      <c r="AD533" s="14" t="s">
        <v>561</v>
      </c>
    </row>
    <row r="534" customFormat="false" ht="78" hidden="false" customHeight="true" outlineLevel="0" collapsed="false">
      <c r="A534" s="14" t="s">
        <v>6649</v>
      </c>
      <c r="B534" s="14" t="s">
        <v>43</v>
      </c>
      <c r="C534" s="14" t="s">
        <v>6650</v>
      </c>
      <c r="D534" s="14" t="s">
        <v>1083</v>
      </c>
      <c r="E534" s="14" t="s">
        <v>6651</v>
      </c>
      <c r="F534" s="15" t="s">
        <v>6652</v>
      </c>
      <c r="G534" s="14" t="s">
        <v>168</v>
      </c>
      <c r="H534" s="14" t="s">
        <v>6653</v>
      </c>
      <c r="I534" s="14" t="s">
        <v>6654</v>
      </c>
      <c r="J534" s="14" t="s">
        <v>50</v>
      </c>
      <c r="K534" s="23" t="s">
        <v>5244</v>
      </c>
      <c r="L534" s="14" t="s">
        <v>6655</v>
      </c>
      <c r="M534" s="14" t="s">
        <v>6656</v>
      </c>
      <c r="N534" s="14" t="s">
        <v>6657</v>
      </c>
      <c r="O534" s="14"/>
      <c r="P534" s="14" t="s">
        <v>6658</v>
      </c>
      <c r="Q534" s="14" t="s">
        <v>6659</v>
      </c>
      <c r="R534" s="14" t="s">
        <v>1105</v>
      </c>
      <c r="S534" s="20" t="s">
        <v>324</v>
      </c>
      <c r="T534" s="20" t="s">
        <v>324</v>
      </c>
      <c r="U534" s="14" t="s">
        <v>6660</v>
      </c>
      <c r="V534" s="14" t="s">
        <v>109</v>
      </c>
      <c r="W534" s="18" t="s">
        <v>110</v>
      </c>
      <c r="X534" s="14" t="s">
        <v>6661</v>
      </c>
      <c r="Y534" s="14" t="s">
        <v>5244</v>
      </c>
      <c r="Z534" s="14" t="s">
        <v>107</v>
      </c>
      <c r="AA534" s="14" t="s">
        <v>107</v>
      </c>
      <c r="AB534" s="14" t="s">
        <v>131</v>
      </c>
      <c r="AC534" s="14" t="s">
        <v>113</v>
      </c>
      <c r="AD534" s="14" t="s">
        <v>114</v>
      </c>
    </row>
    <row r="535" customFormat="false" ht="78" hidden="false" customHeight="true" outlineLevel="0" collapsed="false">
      <c r="A535" s="14" t="s">
        <v>6662</v>
      </c>
      <c r="B535" s="14" t="s">
        <v>46</v>
      </c>
      <c r="C535" s="14" t="s">
        <v>6663</v>
      </c>
      <c r="D535" s="14" t="s">
        <v>1149</v>
      </c>
      <c r="E535" s="14" t="s">
        <v>6664</v>
      </c>
      <c r="F535" s="15" t="s">
        <v>6665</v>
      </c>
      <c r="G535" s="14" t="s">
        <v>368</v>
      </c>
      <c r="H535" s="14" t="s">
        <v>6666</v>
      </c>
      <c r="I535" s="14" t="s">
        <v>6667</v>
      </c>
      <c r="J535" s="14" t="s">
        <v>57</v>
      </c>
      <c r="K535" s="23" t="s">
        <v>5244</v>
      </c>
      <c r="L535" s="14" t="s">
        <v>6668</v>
      </c>
      <c r="M535" s="14" t="s">
        <v>6669</v>
      </c>
      <c r="N535" s="14" t="s">
        <v>6670</v>
      </c>
      <c r="O535" s="14"/>
      <c r="P535" s="14" t="s">
        <v>6671</v>
      </c>
      <c r="Q535" s="14" t="s">
        <v>6672</v>
      </c>
      <c r="R535" s="14" t="s">
        <v>1093</v>
      </c>
      <c r="S535" s="17" t="s">
        <v>107</v>
      </c>
      <c r="T535" s="20" t="s">
        <v>324</v>
      </c>
      <c r="U535" s="14" t="s">
        <v>6673</v>
      </c>
      <c r="V535" s="14" t="s">
        <v>109</v>
      </c>
      <c r="W535" s="21" t="s">
        <v>429</v>
      </c>
      <c r="X535" s="14" t="s">
        <v>6674</v>
      </c>
      <c r="Y535" s="14" t="s">
        <v>194</v>
      </c>
      <c r="Z535" s="14" t="s">
        <v>107</v>
      </c>
      <c r="AA535" s="14" t="s">
        <v>107</v>
      </c>
      <c r="AB535" s="14" t="s">
        <v>147</v>
      </c>
      <c r="AC535" s="14" t="s">
        <v>113</v>
      </c>
      <c r="AD535" s="14" t="s">
        <v>114</v>
      </c>
    </row>
    <row r="536" customFormat="false" ht="78" hidden="false" customHeight="true" outlineLevel="0" collapsed="false">
      <c r="A536" s="14" t="s">
        <v>6675</v>
      </c>
      <c r="B536" s="14" t="s">
        <v>44</v>
      </c>
      <c r="C536" s="14" t="s">
        <v>6676</v>
      </c>
      <c r="D536" s="14" t="s">
        <v>1149</v>
      </c>
      <c r="E536" s="14" t="s">
        <v>6677</v>
      </c>
      <c r="F536" s="15" t="s">
        <v>1599</v>
      </c>
      <c r="G536" s="14" t="s">
        <v>533</v>
      </c>
      <c r="H536" s="14" t="s">
        <v>6678</v>
      </c>
      <c r="I536" s="14" t="s">
        <v>6679</v>
      </c>
      <c r="J536" s="14" t="s">
        <v>53</v>
      </c>
      <c r="K536" s="23" t="s">
        <v>5244</v>
      </c>
      <c r="L536" s="14" t="s">
        <v>6680</v>
      </c>
      <c r="M536" s="14" t="s">
        <v>3696</v>
      </c>
      <c r="N536" s="14" t="s">
        <v>6681</v>
      </c>
      <c r="O536" s="14"/>
      <c r="P536" s="14" t="s">
        <v>6682</v>
      </c>
      <c r="Q536" s="14" t="s">
        <v>6683</v>
      </c>
      <c r="R536" s="14" t="s">
        <v>1063</v>
      </c>
      <c r="S536" s="20" t="s">
        <v>324</v>
      </c>
      <c r="T536" s="17" t="s">
        <v>107</v>
      </c>
      <c r="U536" s="14" t="s">
        <v>6684</v>
      </c>
      <c r="V536" s="14" t="s">
        <v>109</v>
      </c>
      <c r="W536" s="21" t="s">
        <v>429</v>
      </c>
      <c r="X536" s="14" t="s">
        <v>6685</v>
      </c>
      <c r="Y536" s="14" t="s">
        <v>1668</v>
      </c>
      <c r="Z536" s="14" t="s">
        <v>107</v>
      </c>
      <c r="AA536" s="14" t="s">
        <v>107</v>
      </c>
      <c r="AB536" s="14" t="s">
        <v>112</v>
      </c>
      <c r="AC536" s="14" t="s">
        <v>1314</v>
      </c>
      <c r="AD536" s="14" t="s">
        <v>1315</v>
      </c>
    </row>
    <row r="537" customFormat="false" ht="78" hidden="false" customHeight="true" outlineLevel="0" collapsed="false">
      <c r="A537" s="14" t="s">
        <v>6686</v>
      </c>
      <c r="B537" s="14" t="s">
        <v>44</v>
      </c>
      <c r="C537" s="14" t="s">
        <v>6687</v>
      </c>
      <c r="D537" s="14" t="s">
        <v>1149</v>
      </c>
      <c r="E537" s="14" t="s">
        <v>6688</v>
      </c>
      <c r="F537" s="15" t="s">
        <v>4880</v>
      </c>
      <c r="G537" s="14" t="s">
        <v>1152</v>
      </c>
      <c r="H537" s="14" t="s">
        <v>6689</v>
      </c>
      <c r="I537" s="14" t="s">
        <v>6690</v>
      </c>
      <c r="J537" s="14" t="s">
        <v>202</v>
      </c>
      <c r="K537" s="23" t="s">
        <v>5244</v>
      </c>
      <c r="L537" s="14" t="s">
        <v>6691</v>
      </c>
      <c r="M537" s="14" t="s">
        <v>6692</v>
      </c>
      <c r="N537" s="14" t="s">
        <v>6693</v>
      </c>
      <c r="O537" s="14"/>
      <c r="P537" s="14" t="s">
        <v>6694</v>
      </c>
      <c r="Q537" s="14" t="s">
        <v>6695</v>
      </c>
      <c r="R537" s="14" t="s">
        <v>1063</v>
      </c>
      <c r="S537" s="20" t="s">
        <v>324</v>
      </c>
      <c r="T537" s="17" t="s">
        <v>107</v>
      </c>
      <c r="U537" s="14" t="s">
        <v>6696</v>
      </c>
      <c r="V537" s="14" t="s">
        <v>109</v>
      </c>
      <c r="W537" s="21" t="s">
        <v>429</v>
      </c>
      <c r="X537" s="14" t="s">
        <v>6697</v>
      </c>
      <c r="Y537" s="14" t="s">
        <v>1668</v>
      </c>
      <c r="Z537" s="14" t="s">
        <v>107</v>
      </c>
      <c r="AA537" s="14" t="s">
        <v>107</v>
      </c>
      <c r="AB537" s="14" t="s">
        <v>112</v>
      </c>
      <c r="AC537" s="14" t="s">
        <v>113</v>
      </c>
      <c r="AD537" s="14" t="s">
        <v>114</v>
      </c>
    </row>
    <row r="538" customFormat="false" ht="78" hidden="false" customHeight="true" outlineLevel="0" collapsed="false">
      <c r="A538" s="14" t="s">
        <v>6698</v>
      </c>
      <c r="B538" s="14" t="s">
        <v>45</v>
      </c>
      <c r="C538" s="14" t="s">
        <v>6699</v>
      </c>
      <c r="D538" s="14" t="s">
        <v>1149</v>
      </c>
      <c r="E538" s="14" t="s">
        <v>6021</v>
      </c>
      <c r="F538" s="15" t="s">
        <v>6700</v>
      </c>
      <c r="G538" s="14" t="s">
        <v>285</v>
      </c>
      <c r="H538" s="14" t="s">
        <v>6701</v>
      </c>
      <c r="I538" s="14" t="s">
        <v>6702</v>
      </c>
      <c r="J538" s="14" t="s">
        <v>536</v>
      </c>
      <c r="K538" s="23" t="s">
        <v>5244</v>
      </c>
      <c r="L538" s="14" t="s">
        <v>6703</v>
      </c>
      <c r="M538" s="14" t="s">
        <v>6704</v>
      </c>
      <c r="N538" s="14" t="s">
        <v>6705</v>
      </c>
      <c r="O538" s="14"/>
      <c r="P538" s="14" t="s">
        <v>6706</v>
      </c>
      <c r="Q538" s="14" t="s">
        <v>6707</v>
      </c>
      <c r="R538" s="14" t="s">
        <v>1159</v>
      </c>
      <c r="S538" s="17" t="s">
        <v>107</v>
      </c>
      <c r="T538" s="17" t="s">
        <v>107</v>
      </c>
      <c r="U538" s="14" t="s">
        <v>6708</v>
      </c>
      <c r="V538" s="14" t="s">
        <v>109</v>
      </c>
      <c r="W538" s="21" t="s">
        <v>429</v>
      </c>
      <c r="X538" s="14" t="s">
        <v>6709</v>
      </c>
      <c r="Y538" s="14" t="s">
        <v>194</v>
      </c>
      <c r="Z538" s="14" t="s">
        <v>107</v>
      </c>
      <c r="AA538" s="14" t="s">
        <v>107</v>
      </c>
      <c r="AB538" s="14" t="s">
        <v>921</v>
      </c>
      <c r="AC538" s="14" t="s">
        <v>113</v>
      </c>
      <c r="AD538" s="14" t="s">
        <v>114</v>
      </c>
    </row>
    <row r="539" customFormat="false" ht="78" hidden="false" customHeight="true" outlineLevel="0" collapsed="false">
      <c r="A539" s="14" t="s">
        <v>6710</v>
      </c>
      <c r="B539" s="14" t="s">
        <v>45</v>
      </c>
      <c r="C539" s="14" t="s">
        <v>6711</v>
      </c>
      <c r="D539" s="14" t="s">
        <v>1149</v>
      </c>
      <c r="E539" s="14" t="s">
        <v>6712</v>
      </c>
      <c r="F539" s="15" t="s">
        <v>1614</v>
      </c>
      <c r="G539" s="14" t="s">
        <v>1932</v>
      </c>
      <c r="H539" s="14" t="s">
        <v>6713</v>
      </c>
      <c r="I539" s="14" t="s">
        <v>6714</v>
      </c>
      <c r="J539" s="14" t="s">
        <v>56</v>
      </c>
      <c r="K539" s="23" t="s">
        <v>5244</v>
      </c>
      <c r="L539" s="14" t="s">
        <v>6715</v>
      </c>
      <c r="M539" s="14" t="s">
        <v>6716</v>
      </c>
      <c r="N539" s="14" t="s">
        <v>6717</v>
      </c>
      <c r="O539" s="14"/>
      <c r="P539" s="14" t="s">
        <v>6718</v>
      </c>
      <c r="Q539" s="14" t="s">
        <v>6719</v>
      </c>
      <c r="R539" s="14" t="s">
        <v>1063</v>
      </c>
      <c r="S539" s="20" t="s">
        <v>324</v>
      </c>
      <c r="T539" s="17" t="s">
        <v>107</v>
      </c>
      <c r="U539" s="14" t="s">
        <v>6720</v>
      </c>
      <c r="V539" s="14" t="s">
        <v>109</v>
      </c>
      <c r="W539" s="18" t="s">
        <v>110</v>
      </c>
      <c r="X539" s="14" t="s">
        <v>6721</v>
      </c>
      <c r="Y539" s="14" t="s">
        <v>1668</v>
      </c>
      <c r="Z539" s="14" t="s">
        <v>946</v>
      </c>
      <c r="AA539" s="14" t="s">
        <v>107</v>
      </c>
      <c r="AB539" s="14" t="s">
        <v>921</v>
      </c>
      <c r="AC539" s="14" t="s">
        <v>113</v>
      </c>
      <c r="AD539" s="14" t="s">
        <v>114</v>
      </c>
    </row>
    <row r="540" customFormat="false" ht="78" hidden="false" customHeight="true" outlineLevel="0" collapsed="false">
      <c r="A540" s="14" t="s">
        <v>6722</v>
      </c>
      <c r="B540" s="14" t="s">
        <v>48</v>
      </c>
      <c r="C540" s="14" t="s">
        <v>6723</v>
      </c>
      <c r="D540" s="14" t="s">
        <v>1149</v>
      </c>
      <c r="E540" s="14" t="s">
        <v>6724</v>
      </c>
      <c r="F540" s="15" t="s">
        <v>1214</v>
      </c>
      <c r="G540" s="14" t="s">
        <v>1215</v>
      </c>
      <c r="H540" s="14" t="s">
        <v>6725</v>
      </c>
      <c r="I540" s="14" t="s">
        <v>6726</v>
      </c>
      <c r="J540" s="14" t="s">
        <v>54</v>
      </c>
      <c r="K540" s="23" t="s">
        <v>5244</v>
      </c>
      <c r="L540" s="14" t="s">
        <v>6727</v>
      </c>
      <c r="M540" s="14" t="s">
        <v>6728</v>
      </c>
      <c r="N540" s="14" t="s">
        <v>6729</v>
      </c>
      <c r="O540" s="14"/>
      <c r="P540" s="14" t="s">
        <v>6730</v>
      </c>
      <c r="Q540" s="14" t="s">
        <v>6731</v>
      </c>
      <c r="R540" s="14" t="s">
        <v>6732</v>
      </c>
      <c r="S540" s="20" t="s">
        <v>324</v>
      </c>
      <c r="T540" s="20" t="s">
        <v>324</v>
      </c>
      <c r="U540" s="14" t="s">
        <v>6733</v>
      </c>
      <c r="V540" s="14" t="s">
        <v>109</v>
      </c>
      <c r="W540" s="21" t="s">
        <v>429</v>
      </c>
      <c r="X540" s="14" t="s">
        <v>6734</v>
      </c>
      <c r="Y540" s="14" t="s">
        <v>1668</v>
      </c>
      <c r="Z540" s="14" t="s">
        <v>107</v>
      </c>
      <c r="AA540" s="14" t="s">
        <v>107</v>
      </c>
      <c r="AB540" s="14" t="s">
        <v>559</v>
      </c>
      <c r="AC540" s="14" t="s">
        <v>560</v>
      </c>
      <c r="AD540" s="14" t="s">
        <v>561</v>
      </c>
    </row>
    <row r="541" customFormat="false" ht="78" hidden="false" customHeight="true" outlineLevel="0" collapsed="false">
      <c r="A541" s="14" t="s">
        <v>6735</v>
      </c>
      <c r="B541" s="14" t="s">
        <v>43</v>
      </c>
      <c r="C541" s="14" t="s">
        <v>6736</v>
      </c>
      <c r="D541" s="14" t="s">
        <v>1149</v>
      </c>
      <c r="E541" s="14" t="s">
        <v>1200</v>
      </c>
      <c r="F541" s="15" t="s">
        <v>1201</v>
      </c>
      <c r="G541" s="14" t="s">
        <v>368</v>
      </c>
      <c r="H541" s="14" t="s">
        <v>6737</v>
      </c>
      <c r="I541" s="14" t="s">
        <v>6738</v>
      </c>
      <c r="J541" s="14" t="s">
        <v>50</v>
      </c>
      <c r="K541" s="23" t="s">
        <v>5244</v>
      </c>
      <c r="L541" s="14" t="s">
        <v>6739</v>
      </c>
      <c r="M541" s="14" t="s">
        <v>6740</v>
      </c>
      <c r="N541" s="14" t="s">
        <v>6741</v>
      </c>
      <c r="O541" s="14"/>
      <c r="P541" s="14" t="s">
        <v>6742</v>
      </c>
      <c r="Q541" s="14" t="s">
        <v>6743</v>
      </c>
      <c r="R541" s="14" t="s">
        <v>1159</v>
      </c>
      <c r="S541" s="17" t="s">
        <v>107</v>
      </c>
      <c r="T541" s="20" t="s">
        <v>324</v>
      </c>
      <c r="U541" s="14" t="s">
        <v>6744</v>
      </c>
      <c r="V541" s="14" t="s">
        <v>109</v>
      </c>
      <c r="W541" s="21" t="s">
        <v>429</v>
      </c>
      <c r="X541" s="14" t="s">
        <v>6745</v>
      </c>
      <c r="Y541" s="14" t="s">
        <v>194</v>
      </c>
      <c r="Z541" s="14" t="s">
        <v>107</v>
      </c>
      <c r="AA541" s="14" t="s">
        <v>107</v>
      </c>
      <c r="AB541" s="14" t="s">
        <v>131</v>
      </c>
      <c r="AC541" s="14" t="s">
        <v>113</v>
      </c>
      <c r="AD541" s="14" t="s">
        <v>114</v>
      </c>
    </row>
    <row r="542" customFormat="false" ht="78" hidden="false" customHeight="true" outlineLevel="0" collapsed="false">
      <c r="A542" s="14" t="s">
        <v>6746</v>
      </c>
      <c r="B542" s="14" t="s">
        <v>44</v>
      </c>
      <c r="C542" s="14" t="s">
        <v>6747</v>
      </c>
      <c r="D542" s="14" t="s">
        <v>40</v>
      </c>
      <c r="E542" s="14" t="s">
        <v>6748</v>
      </c>
      <c r="F542" s="15" t="s">
        <v>4137</v>
      </c>
      <c r="G542" s="14" t="s">
        <v>4138</v>
      </c>
      <c r="H542" s="14" t="s">
        <v>6749</v>
      </c>
      <c r="I542" s="14" t="s">
        <v>6750</v>
      </c>
      <c r="J542" s="14" t="s">
        <v>54</v>
      </c>
      <c r="K542" s="23" t="s">
        <v>5244</v>
      </c>
      <c r="L542" s="14" t="s">
        <v>6751</v>
      </c>
      <c r="M542" s="14" t="s">
        <v>6752</v>
      </c>
      <c r="N542" s="14" t="s">
        <v>6753</v>
      </c>
      <c r="O542" s="14"/>
      <c r="P542" s="14" t="s">
        <v>6754</v>
      </c>
      <c r="Q542" s="14" t="s">
        <v>6755</v>
      </c>
      <c r="R542" s="14" t="s">
        <v>4160</v>
      </c>
      <c r="S542" s="20" t="s">
        <v>324</v>
      </c>
      <c r="T542" s="20" t="s">
        <v>324</v>
      </c>
      <c r="U542" s="14" t="s">
        <v>6756</v>
      </c>
      <c r="V542" s="14" t="s">
        <v>109</v>
      </c>
      <c r="W542" s="18" t="s">
        <v>110</v>
      </c>
      <c r="X542" s="14" t="s">
        <v>6757</v>
      </c>
      <c r="Y542" s="14" t="s">
        <v>5244</v>
      </c>
      <c r="Z542" s="14" t="s">
        <v>107</v>
      </c>
      <c r="AA542" s="14" t="s">
        <v>107</v>
      </c>
      <c r="AB542" s="14" t="s">
        <v>112</v>
      </c>
      <c r="AC542" s="14" t="s">
        <v>560</v>
      </c>
      <c r="AD542" s="14" t="s">
        <v>561</v>
      </c>
    </row>
    <row r="543" customFormat="false" ht="78" hidden="false" customHeight="true" outlineLevel="0" collapsed="false">
      <c r="A543" s="14" t="s">
        <v>6758</v>
      </c>
      <c r="B543" s="14" t="s">
        <v>44</v>
      </c>
      <c r="C543" s="14" t="s">
        <v>6759</v>
      </c>
      <c r="D543" s="14" t="s">
        <v>40</v>
      </c>
      <c r="E543" s="14" t="s">
        <v>6760</v>
      </c>
      <c r="F543" s="15" t="s">
        <v>6761</v>
      </c>
      <c r="G543" s="14" t="s">
        <v>4075</v>
      </c>
      <c r="H543" s="14" t="s">
        <v>6762</v>
      </c>
      <c r="I543" s="14" t="s">
        <v>6763</v>
      </c>
      <c r="J543" s="14" t="s">
        <v>202</v>
      </c>
      <c r="K543" s="23" t="s">
        <v>5244</v>
      </c>
      <c r="L543" s="14" t="s">
        <v>6764</v>
      </c>
      <c r="M543" s="14" t="s">
        <v>6765</v>
      </c>
      <c r="N543" s="14" t="s">
        <v>6766</v>
      </c>
      <c r="O543" s="14"/>
      <c r="P543" s="14" t="s">
        <v>6767</v>
      </c>
      <c r="Q543" s="14" t="s">
        <v>6768</v>
      </c>
      <c r="R543" s="14" t="s">
        <v>235</v>
      </c>
      <c r="S543" s="20" t="s">
        <v>324</v>
      </c>
      <c r="T543" s="17" t="s">
        <v>107</v>
      </c>
      <c r="U543" s="14" t="s">
        <v>6769</v>
      </c>
      <c r="V543" s="14" t="s">
        <v>109</v>
      </c>
      <c r="W543" s="18" t="s">
        <v>110</v>
      </c>
      <c r="X543" s="14" t="s">
        <v>6770</v>
      </c>
      <c r="Y543" s="14" t="s">
        <v>1668</v>
      </c>
      <c r="Z543" s="14" t="s">
        <v>107</v>
      </c>
      <c r="AA543" s="14" t="s">
        <v>107</v>
      </c>
      <c r="AB543" s="14" t="s">
        <v>112</v>
      </c>
      <c r="AC543" s="14" t="s">
        <v>113</v>
      </c>
      <c r="AD543" s="14" t="s">
        <v>114</v>
      </c>
    </row>
    <row r="544" customFormat="false" ht="78" hidden="false" customHeight="true" outlineLevel="0" collapsed="false">
      <c r="A544" s="14" t="s">
        <v>6771</v>
      </c>
      <c r="B544" s="14" t="s">
        <v>45</v>
      </c>
      <c r="C544" s="14" t="s">
        <v>6772</v>
      </c>
      <c r="D544" s="14" t="s">
        <v>40</v>
      </c>
      <c r="E544" s="14" t="s">
        <v>6158</v>
      </c>
      <c r="F544" s="15" t="s">
        <v>2965</v>
      </c>
      <c r="G544" s="14" t="s">
        <v>1932</v>
      </c>
      <c r="H544" s="14" t="s">
        <v>6773</v>
      </c>
      <c r="I544" s="14" t="s">
        <v>6774</v>
      </c>
      <c r="J544" s="14" t="s">
        <v>536</v>
      </c>
      <c r="K544" s="23" t="s">
        <v>5244</v>
      </c>
      <c r="L544" s="14" t="s">
        <v>6775</v>
      </c>
      <c r="M544" s="14" t="s">
        <v>6776</v>
      </c>
      <c r="N544" s="14" t="s">
        <v>6777</v>
      </c>
      <c r="O544" s="14"/>
      <c r="P544" s="14" t="s">
        <v>6778</v>
      </c>
      <c r="Q544" s="14" t="s">
        <v>6779</v>
      </c>
      <c r="R544" s="14" t="s">
        <v>3966</v>
      </c>
      <c r="S544" s="20" t="s">
        <v>324</v>
      </c>
      <c r="T544" s="17" t="s">
        <v>107</v>
      </c>
      <c r="U544" s="14" t="s">
        <v>6780</v>
      </c>
      <c r="V544" s="14" t="s">
        <v>109</v>
      </c>
      <c r="W544" s="18" t="s">
        <v>110</v>
      </c>
      <c r="X544" s="14" t="s">
        <v>6781</v>
      </c>
      <c r="Y544" s="14" t="s">
        <v>5244</v>
      </c>
      <c r="Z544" s="14" t="s">
        <v>107</v>
      </c>
      <c r="AA544" s="14" t="s">
        <v>107</v>
      </c>
      <c r="AB544" s="14" t="s">
        <v>921</v>
      </c>
      <c r="AC544" s="14" t="s">
        <v>113</v>
      </c>
      <c r="AD544" s="14" t="s">
        <v>114</v>
      </c>
    </row>
    <row r="545" customFormat="false" ht="78" hidden="false" customHeight="true" outlineLevel="0" collapsed="false">
      <c r="A545" s="14" t="s">
        <v>6782</v>
      </c>
      <c r="B545" s="14" t="s">
        <v>45</v>
      </c>
      <c r="C545" s="14" t="s">
        <v>6783</v>
      </c>
      <c r="D545" s="14" t="s">
        <v>40</v>
      </c>
      <c r="E545" s="14" t="s">
        <v>6784</v>
      </c>
      <c r="F545" s="15" t="s">
        <v>6785</v>
      </c>
      <c r="G545" s="14" t="s">
        <v>285</v>
      </c>
      <c r="H545" s="14" t="s">
        <v>6786</v>
      </c>
      <c r="I545" s="14" t="s">
        <v>6787</v>
      </c>
      <c r="J545" s="14" t="s">
        <v>54</v>
      </c>
      <c r="K545" s="23" t="s">
        <v>5244</v>
      </c>
      <c r="L545" s="14" t="s">
        <v>6788</v>
      </c>
      <c r="M545" s="14" t="s">
        <v>6789</v>
      </c>
      <c r="N545" s="14" t="s">
        <v>6790</v>
      </c>
      <c r="O545" s="14"/>
      <c r="P545" s="14" t="s">
        <v>6791</v>
      </c>
      <c r="Q545" s="14" t="s">
        <v>6792</v>
      </c>
      <c r="R545" s="14" t="s">
        <v>3966</v>
      </c>
      <c r="S545" s="20" t="s">
        <v>324</v>
      </c>
      <c r="T545" s="17" t="s">
        <v>107</v>
      </c>
      <c r="U545" s="14" t="s">
        <v>6793</v>
      </c>
      <c r="V545" s="14" t="s">
        <v>109</v>
      </c>
      <c r="W545" s="18" t="s">
        <v>110</v>
      </c>
      <c r="X545" s="14" t="s">
        <v>6794</v>
      </c>
      <c r="Y545" s="14" t="s">
        <v>1668</v>
      </c>
      <c r="Z545" s="14" t="s">
        <v>107</v>
      </c>
      <c r="AA545" s="14" t="s">
        <v>107</v>
      </c>
      <c r="AB545" s="14" t="s">
        <v>921</v>
      </c>
      <c r="AC545" s="14" t="s">
        <v>560</v>
      </c>
      <c r="AD545" s="14" t="s">
        <v>561</v>
      </c>
    </row>
    <row r="546" customFormat="false" ht="78" hidden="false" customHeight="true" outlineLevel="0" collapsed="false">
      <c r="A546" s="14" t="s">
        <v>6795</v>
      </c>
      <c r="B546" s="14" t="s">
        <v>45</v>
      </c>
      <c r="C546" s="14" t="s">
        <v>6796</v>
      </c>
      <c r="D546" s="14" t="s">
        <v>40</v>
      </c>
      <c r="E546" s="14" t="s">
        <v>6797</v>
      </c>
      <c r="F546" s="15" t="s">
        <v>226</v>
      </c>
      <c r="G546" s="14" t="s">
        <v>227</v>
      </c>
      <c r="H546" s="14" t="s">
        <v>6798</v>
      </c>
      <c r="I546" s="14" t="s">
        <v>6799</v>
      </c>
      <c r="J546" s="14" t="s">
        <v>52</v>
      </c>
      <c r="K546" s="23" t="s">
        <v>5244</v>
      </c>
      <c r="L546" s="14" t="s">
        <v>6800</v>
      </c>
      <c r="M546" s="14" t="s">
        <v>6801</v>
      </c>
      <c r="N546" s="14" t="s">
        <v>6802</v>
      </c>
      <c r="O546" s="14"/>
      <c r="P546" s="14" t="s">
        <v>6803</v>
      </c>
      <c r="Q546" s="14" t="s">
        <v>6804</v>
      </c>
      <c r="R546" s="14" t="s">
        <v>4131</v>
      </c>
      <c r="S546" s="20" t="s">
        <v>324</v>
      </c>
      <c r="T546" s="17" t="s">
        <v>107</v>
      </c>
      <c r="U546" s="14" t="s">
        <v>6805</v>
      </c>
      <c r="V546" s="14" t="s">
        <v>109</v>
      </c>
      <c r="W546" s="18" t="s">
        <v>110</v>
      </c>
      <c r="X546" s="14" t="s">
        <v>6806</v>
      </c>
      <c r="Y546" s="14" t="s">
        <v>1668</v>
      </c>
      <c r="Z546" s="14" t="s">
        <v>107</v>
      </c>
      <c r="AA546" s="14" t="s">
        <v>107</v>
      </c>
      <c r="AB546" s="14" t="s">
        <v>921</v>
      </c>
      <c r="AC546" s="14" t="s">
        <v>113</v>
      </c>
      <c r="AD546" s="14" t="s">
        <v>114</v>
      </c>
    </row>
    <row r="547" customFormat="false" ht="78" hidden="false" customHeight="true" outlineLevel="0" collapsed="false">
      <c r="A547" s="14" t="s">
        <v>6807</v>
      </c>
      <c r="B547" s="14" t="s">
        <v>45</v>
      </c>
      <c r="C547" s="14" t="s">
        <v>6808</v>
      </c>
      <c r="D547" s="14" t="s">
        <v>40</v>
      </c>
      <c r="E547" s="14" t="s">
        <v>6809</v>
      </c>
      <c r="F547" s="15" t="s">
        <v>4213</v>
      </c>
      <c r="G547" s="14" t="s">
        <v>4152</v>
      </c>
      <c r="H547" s="14" t="s">
        <v>6810</v>
      </c>
      <c r="I547" s="14" t="s">
        <v>6811</v>
      </c>
      <c r="J547" s="14" t="s">
        <v>52</v>
      </c>
      <c r="K547" s="23" t="s">
        <v>5244</v>
      </c>
      <c r="L547" s="14" t="s">
        <v>6812</v>
      </c>
      <c r="M547" s="14" t="s">
        <v>6813</v>
      </c>
      <c r="N547" s="14" t="s">
        <v>6814</v>
      </c>
      <c r="O547" s="14"/>
      <c r="P547" s="14" t="s">
        <v>6815</v>
      </c>
      <c r="Q547" s="14" t="s">
        <v>6816</v>
      </c>
      <c r="R547" s="14" t="s">
        <v>4131</v>
      </c>
      <c r="S547" s="20" t="s">
        <v>324</v>
      </c>
      <c r="T547" s="20" t="s">
        <v>324</v>
      </c>
      <c r="U547" s="14" t="s">
        <v>6817</v>
      </c>
      <c r="V547" s="14" t="s">
        <v>109</v>
      </c>
      <c r="W547" s="18" t="s">
        <v>110</v>
      </c>
      <c r="X547" s="14" t="s">
        <v>6818</v>
      </c>
      <c r="Y547" s="14" t="s">
        <v>5244</v>
      </c>
      <c r="Z547" s="14" t="s">
        <v>107</v>
      </c>
      <c r="AA547" s="14" t="s">
        <v>107</v>
      </c>
      <c r="AB547" s="14" t="s">
        <v>921</v>
      </c>
      <c r="AC547" s="14" t="s">
        <v>113</v>
      </c>
      <c r="AD547" s="14" t="s">
        <v>114</v>
      </c>
    </row>
    <row r="548" customFormat="false" ht="78" hidden="false" customHeight="true" outlineLevel="0" collapsed="false">
      <c r="A548" s="14" t="s">
        <v>6819</v>
      </c>
      <c r="B548" s="14" t="s">
        <v>45</v>
      </c>
      <c r="C548" s="14" t="s">
        <v>6820</v>
      </c>
      <c r="D548" s="14" t="s">
        <v>40</v>
      </c>
      <c r="E548" s="14" t="s">
        <v>1598</v>
      </c>
      <c r="F548" s="15" t="s">
        <v>1599</v>
      </c>
      <c r="G548" s="14" t="s">
        <v>533</v>
      </c>
      <c r="H548" s="14" t="s">
        <v>6821</v>
      </c>
      <c r="I548" s="14" t="s">
        <v>6822</v>
      </c>
      <c r="J548" s="14" t="s">
        <v>1057</v>
      </c>
      <c r="K548" s="23" t="s">
        <v>5244</v>
      </c>
      <c r="L548" s="14" t="s">
        <v>6823</v>
      </c>
      <c r="M548" s="14" t="s">
        <v>6824</v>
      </c>
      <c r="N548" s="14" t="s">
        <v>6825</v>
      </c>
      <c r="O548" s="14"/>
      <c r="P548" s="14" t="s">
        <v>6826</v>
      </c>
      <c r="Q548" s="14" t="s">
        <v>6827</v>
      </c>
      <c r="R548" s="14" t="s">
        <v>3966</v>
      </c>
      <c r="S548" s="20" t="s">
        <v>324</v>
      </c>
      <c r="T548" s="17" t="s">
        <v>107</v>
      </c>
      <c r="U548" s="14" t="s">
        <v>6828</v>
      </c>
      <c r="V548" s="14" t="s">
        <v>109</v>
      </c>
      <c r="W548" s="21" t="s">
        <v>429</v>
      </c>
      <c r="X548" s="14" t="s">
        <v>6829</v>
      </c>
      <c r="Y548" s="14" t="s">
        <v>5244</v>
      </c>
      <c r="Z548" s="14" t="s">
        <v>946</v>
      </c>
      <c r="AA548" s="14" t="s">
        <v>107</v>
      </c>
      <c r="AB548" s="14" t="s">
        <v>921</v>
      </c>
      <c r="AC548" s="14" t="s">
        <v>1314</v>
      </c>
      <c r="AD548" s="14" t="s">
        <v>1315</v>
      </c>
    </row>
    <row r="549" customFormat="false" ht="78" hidden="false" customHeight="true" outlineLevel="0" collapsed="false">
      <c r="A549" s="14" t="s">
        <v>6830</v>
      </c>
      <c r="B549" s="14" t="s">
        <v>45</v>
      </c>
      <c r="C549" s="14" t="s">
        <v>6831</v>
      </c>
      <c r="D549" s="14" t="s">
        <v>40</v>
      </c>
      <c r="E549" s="14" t="s">
        <v>6832</v>
      </c>
      <c r="F549" s="15" t="s">
        <v>4213</v>
      </c>
      <c r="G549" s="14" t="s">
        <v>4152</v>
      </c>
      <c r="H549" s="14" t="s">
        <v>6833</v>
      </c>
      <c r="I549" s="14" t="s">
        <v>6834</v>
      </c>
      <c r="J549" s="14" t="s">
        <v>52</v>
      </c>
      <c r="K549" s="23" t="s">
        <v>5244</v>
      </c>
      <c r="L549" s="14" t="s">
        <v>6835</v>
      </c>
      <c r="M549" s="14" t="s">
        <v>6836</v>
      </c>
      <c r="N549" s="14" t="s">
        <v>6837</v>
      </c>
      <c r="O549" s="14"/>
      <c r="P549" s="14" t="s">
        <v>6838</v>
      </c>
      <c r="Q549" s="14" t="s">
        <v>6839</v>
      </c>
      <c r="R549" s="14" t="s">
        <v>4131</v>
      </c>
      <c r="S549" s="20" t="s">
        <v>324</v>
      </c>
      <c r="T549" s="17" t="s">
        <v>107</v>
      </c>
      <c r="U549" s="14" t="s">
        <v>6840</v>
      </c>
      <c r="V549" s="14" t="s">
        <v>109</v>
      </c>
      <c r="W549" s="18" t="s">
        <v>110</v>
      </c>
      <c r="X549" s="14" t="s">
        <v>6841</v>
      </c>
      <c r="Y549" s="14" t="s">
        <v>1668</v>
      </c>
      <c r="Z549" s="14" t="s">
        <v>107</v>
      </c>
      <c r="AA549" s="14" t="s">
        <v>107</v>
      </c>
      <c r="AB549" s="14" t="s">
        <v>921</v>
      </c>
      <c r="AC549" s="14" t="s">
        <v>113</v>
      </c>
      <c r="AD549" s="14" t="s">
        <v>114</v>
      </c>
    </row>
    <row r="550" customFormat="false" ht="78" hidden="false" customHeight="true" outlineLevel="0" collapsed="false">
      <c r="A550" s="14" t="s">
        <v>6842</v>
      </c>
      <c r="B550" s="14" t="s">
        <v>47</v>
      </c>
      <c r="C550" s="14" t="s">
        <v>6843</v>
      </c>
      <c r="D550" s="14" t="s">
        <v>40</v>
      </c>
      <c r="E550" s="14" t="s">
        <v>225</v>
      </c>
      <c r="F550" s="15" t="s">
        <v>226</v>
      </c>
      <c r="G550" s="14" t="s">
        <v>227</v>
      </c>
      <c r="H550" s="14" t="s">
        <v>6844</v>
      </c>
      <c r="I550" s="14" t="s">
        <v>6845</v>
      </c>
      <c r="J550" s="14" t="s">
        <v>52</v>
      </c>
      <c r="K550" s="23" t="s">
        <v>5244</v>
      </c>
      <c r="L550" s="14" t="s">
        <v>6846</v>
      </c>
      <c r="M550" s="14" t="s">
        <v>6847</v>
      </c>
      <c r="N550" s="14" t="s">
        <v>6848</v>
      </c>
      <c r="O550" s="14"/>
      <c r="P550" s="14" t="s">
        <v>6849</v>
      </c>
      <c r="Q550" s="14" t="s">
        <v>6850</v>
      </c>
      <c r="R550" s="14" t="s">
        <v>4131</v>
      </c>
      <c r="S550" s="20" t="s">
        <v>324</v>
      </c>
      <c r="T550" s="17" t="s">
        <v>107</v>
      </c>
      <c r="U550" s="14" t="s">
        <v>6851</v>
      </c>
      <c r="V550" s="14" t="s">
        <v>109</v>
      </c>
      <c r="W550" s="18" t="s">
        <v>110</v>
      </c>
      <c r="X550" s="14" t="s">
        <v>6852</v>
      </c>
      <c r="Y550" s="14" t="s">
        <v>5244</v>
      </c>
      <c r="Z550" s="14" t="s">
        <v>107</v>
      </c>
      <c r="AA550" s="14" t="s">
        <v>107</v>
      </c>
      <c r="AB550" s="14" t="s">
        <v>2204</v>
      </c>
      <c r="AC550" s="14" t="s">
        <v>113</v>
      </c>
      <c r="AD550" s="14" t="s">
        <v>114</v>
      </c>
    </row>
    <row r="551" customFormat="false" ht="78" hidden="false" customHeight="true" outlineLevel="0" collapsed="false">
      <c r="A551" s="14" t="s">
        <v>6853</v>
      </c>
      <c r="B551" s="14" t="s">
        <v>47</v>
      </c>
      <c r="C551" s="14" t="s">
        <v>6854</v>
      </c>
      <c r="D551" s="14" t="s">
        <v>40</v>
      </c>
      <c r="E551" s="14" t="s">
        <v>1227</v>
      </c>
      <c r="F551" s="15" t="s">
        <v>1228</v>
      </c>
      <c r="G551" s="14" t="s">
        <v>1229</v>
      </c>
      <c r="H551" s="14" t="s">
        <v>6855</v>
      </c>
      <c r="I551" s="14" t="s">
        <v>6856</v>
      </c>
      <c r="J551" s="14" t="s">
        <v>52</v>
      </c>
      <c r="K551" s="23" t="s">
        <v>5244</v>
      </c>
      <c r="L551" s="14" t="s">
        <v>6857</v>
      </c>
      <c r="M551" s="14" t="s">
        <v>6858</v>
      </c>
      <c r="N551" s="14" t="s">
        <v>6859</v>
      </c>
      <c r="O551" s="14"/>
      <c r="P551" s="14" t="s">
        <v>6860</v>
      </c>
      <c r="Q551" s="14" t="s">
        <v>6861</v>
      </c>
      <c r="R551" s="14" t="s">
        <v>4131</v>
      </c>
      <c r="S551" s="20" t="s">
        <v>324</v>
      </c>
      <c r="T551" s="17" t="s">
        <v>107</v>
      </c>
      <c r="U551" s="14" t="s">
        <v>6862</v>
      </c>
      <c r="V551" s="14" t="s">
        <v>109</v>
      </c>
      <c r="W551" s="18" t="s">
        <v>110</v>
      </c>
      <c r="X551" s="14" t="s">
        <v>6863</v>
      </c>
      <c r="Y551" s="14" t="s">
        <v>1668</v>
      </c>
      <c r="Z551" s="14" t="s">
        <v>107</v>
      </c>
      <c r="AA551" s="14" t="s">
        <v>107</v>
      </c>
      <c r="AB551" s="14" t="s">
        <v>2204</v>
      </c>
      <c r="AC551" s="14" t="s">
        <v>113</v>
      </c>
      <c r="AD551" s="14" t="s">
        <v>114</v>
      </c>
    </row>
    <row r="552" customFormat="false" ht="78" hidden="false" customHeight="true" outlineLevel="0" collapsed="false">
      <c r="A552" s="14" t="s">
        <v>6864</v>
      </c>
      <c r="B552" s="14" t="s">
        <v>47</v>
      </c>
      <c r="C552" s="14" t="s">
        <v>6865</v>
      </c>
      <c r="D552" s="14" t="s">
        <v>40</v>
      </c>
      <c r="E552" s="14" t="s">
        <v>1227</v>
      </c>
      <c r="F552" s="15" t="s">
        <v>1228</v>
      </c>
      <c r="G552" s="14" t="s">
        <v>1229</v>
      </c>
      <c r="H552" s="14" t="s">
        <v>4855</v>
      </c>
      <c r="I552" s="14" t="s">
        <v>6866</v>
      </c>
      <c r="J552" s="14" t="s">
        <v>52</v>
      </c>
      <c r="K552" s="23" t="s">
        <v>5244</v>
      </c>
      <c r="L552" s="14" t="s">
        <v>6867</v>
      </c>
      <c r="M552" s="14" t="s">
        <v>6868</v>
      </c>
      <c r="N552" s="14" t="s">
        <v>6869</v>
      </c>
      <c r="O552" s="14"/>
      <c r="P552" s="14" t="s">
        <v>6870</v>
      </c>
      <c r="Q552" s="14" t="s">
        <v>6871</v>
      </c>
      <c r="R552" s="14" t="s">
        <v>4131</v>
      </c>
      <c r="S552" s="20" t="s">
        <v>324</v>
      </c>
      <c r="T552" s="20" t="s">
        <v>324</v>
      </c>
      <c r="U552" s="14" t="s">
        <v>6872</v>
      </c>
      <c r="V552" s="14" t="s">
        <v>109</v>
      </c>
      <c r="W552" s="18" t="s">
        <v>110</v>
      </c>
      <c r="X552" s="14" t="s">
        <v>6873</v>
      </c>
      <c r="Y552" s="14" t="s">
        <v>5244</v>
      </c>
      <c r="Z552" s="14" t="s">
        <v>107</v>
      </c>
      <c r="AA552" s="14" t="s">
        <v>107</v>
      </c>
      <c r="AB552" s="14" t="s">
        <v>2204</v>
      </c>
      <c r="AC552" s="14" t="s">
        <v>113</v>
      </c>
      <c r="AD552" s="14" t="s">
        <v>114</v>
      </c>
    </row>
    <row r="553" customFormat="false" ht="78" hidden="false" customHeight="true" outlineLevel="0" collapsed="false">
      <c r="A553" s="14" t="s">
        <v>6874</v>
      </c>
      <c r="B553" s="14" t="s">
        <v>48</v>
      </c>
      <c r="C553" s="14" t="s">
        <v>6875</v>
      </c>
      <c r="D553" s="14" t="s">
        <v>40</v>
      </c>
      <c r="E553" s="14" t="s">
        <v>6876</v>
      </c>
      <c r="F553" s="15" t="s">
        <v>4213</v>
      </c>
      <c r="G553" s="14" t="s">
        <v>4152</v>
      </c>
      <c r="H553" s="14" t="s">
        <v>4867</v>
      </c>
      <c r="I553" s="14" t="s">
        <v>6877</v>
      </c>
      <c r="J553" s="14" t="s">
        <v>551</v>
      </c>
      <c r="K553" s="23" t="s">
        <v>5244</v>
      </c>
      <c r="L553" s="14" t="s">
        <v>6878</v>
      </c>
      <c r="M553" s="14" t="s">
        <v>6879</v>
      </c>
      <c r="N553" s="14" t="s">
        <v>6880</v>
      </c>
      <c r="O553" s="14"/>
      <c r="P553" s="14" t="s">
        <v>6881</v>
      </c>
      <c r="Q553" s="14" t="s">
        <v>6882</v>
      </c>
      <c r="R553" s="14" t="s">
        <v>6883</v>
      </c>
      <c r="S553" s="17" t="s">
        <v>107</v>
      </c>
      <c r="T553" s="20" t="s">
        <v>324</v>
      </c>
      <c r="U553" s="14" t="s">
        <v>6884</v>
      </c>
      <c r="V553" s="14" t="s">
        <v>109</v>
      </c>
      <c r="W553" s="21" t="s">
        <v>429</v>
      </c>
      <c r="X553" s="14" t="s">
        <v>6885</v>
      </c>
      <c r="Y553" s="14" t="s">
        <v>1668</v>
      </c>
      <c r="Z553" s="14" t="s">
        <v>107</v>
      </c>
      <c r="AA553" s="14" t="s">
        <v>107</v>
      </c>
      <c r="AB553" s="14" t="s">
        <v>559</v>
      </c>
      <c r="AC553" s="14" t="s">
        <v>560</v>
      </c>
      <c r="AD553" s="14" t="s">
        <v>561</v>
      </c>
    </row>
    <row r="554" customFormat="false" ht="78" hidden="false" customHeight="true" outlineLevel="0" collapsed="false">
      <c r="A554" s="14" t="s">
        <v>6886</v>
      </c>
      <c r="B554" s="14" t="s">
        <v>44</v>
      </c>
      <c r="C554" s="14" t="s">
        <v>6887</v>
      </c>
      <c r="D554" s="14" t="s">
        <v>36</v>
      </c>
      <c r="E554" s="14" t="s">
        <v>594</v>
      </c>
      <c r="F554" s="15" t="s">
        <v>595</v>
      </c>
      <c r="G554" s="14" t="s">
        <v>1342</v>
      </c>
      <c r="H554" s="14" t="s">
        <v>6888</v>
      </c>
      <c r="I554" s="14" t="s">
        <v>6889</v>
      </c>
      <c r="J554" s="14" t="s">
        <v>202</v>
      </c>
      <c r="K554" s="23" t="s">
        <v>5244</v>
      </c>
      <c r="L554" s="14" t="s">
        <v>6890</v>
      </c>
      <c r="M554" s="14" t="s">
        <v>6891</v>
      </c>
      <c r="N554" s="14" t="s">
        <v>6892</v>
      </c>
      <c r="O554" s="14"/>
      <c r="P554" s="14" t="s">
        <v>6893</v>
      </c>
      <c r="Q554" s="14" t="s">
        <v>6894</v>
      </c>
      <c r="R554" s="14" t="s">
        <v>3966</v>
      </c>
      <c r="S554" s="20" t="s">
        <v>324</v>
      </c>
      <c r="T554" s="17" t="s">
        <v>107</v>
      </c>
      <c r="U554" s="14" t="s">
        <v>6895</v>
      </c>
      <c r="V554" s="14" t="s">
        <v>109</v>
      </c>
      <c r="W554" s="18" t="s">
        <v>110</v>
      </c>
      <c r="X554" s="14" t="s">
        <v>6896</v>
      </c>
      <c r="Y554" s="14" t="s">
        <v>1668</v>
      </c>
      <c r="Z554" s="14" t="s">
        <v>107</v>
      </c>
      <c r="AA554" s="14" t="s">
        <v>107</v>
      </c>
      <c r="AB554" s="14" t="s">
        <v>112</v>
      </c>
      <c r="AC554" s="14" t="s">
        <v>113</v>
      </c>
      <c r="AD554" s="14" t="s">
        <v>114</v>
      </c>
    </row>
    <row r="555" customFormat="false" ht="78" hidden="false" customHeight="true" outlineLevel="0" collapsed="false">
      <c r="A555" s="14" t="s">
        <v>6897</v>
      </c>
      <c r="B555" s="14" t="s">
        <v>44</v>
      </c>
      <c r="C555" s="14" t="s">
        <v>6898</v>
      </c>
      <c r="D555" s="14" t="s">
        <v>36</v>
      </c>
      <c r="E555" s="14" t="s">
        <v>6899</v>
      </c>
      <c r="F555" s="15" t="s">
        <v>1303</v>
      </c>
      <c r="G555" s="14" t="s">
        <v>1304</v>
      </c>
      <c r="H555" s="14" t="s">
        <v>6900</v>
      </c>
      <c r="I555" s="14" t="s">
        <v>6901</v>
      </c>
      <c r="J555" s="14" t="s">
        <v>54</v>
      </c>
      <c r="K555" s="23" t="s">
        <v>5244</v>
      </c>
      <c r="L555" s="14" t="s">
        <v>6902</v>
      </c>
      <c r="M555" s="14" t="s">
        <v>6903</v>
      </c>
      <c r="N555" s="14" t="s">
        <v>6904</v>
      </c>
      <c r="O555" s="14"/>
      <c r="P555" s="14" t="s">
        <v>6905</v>
      </c>
      <c r="Q555" s="14" t="s">
        <v>6906</v>
      </c>
      <c r="R555" s="14" t="s">
        <v>4160</v>
      </c>
      <c r="S555" s="20" t="s">
        <v>324</v>
      </c>
      <c r="T555" s="20" t="s">
        <v>324</v>
      </c>
      <c r="U555" s="14" t="s">
        <v>6907</v>
      </c>
      <c r="V555" s="14" t="s">
        <v>109</v>
      </c>
      <c r="W555" s="18" t="s">
        <v>110</v>
      </c>
      <c r="X555" s="14" t="s">
        <v>6908</v>
      </c>
      <c r="Y555" s="14" t="s">
        <v>5244</v>
      </c>
      <c r="Z555" s="14" t="s">
        <v>107</v>
      </c>
      <c r="AA555" s="14" t="s">
        <v>107</v>
      </c>
      <c r="AB555" s="14" t="s">
        <v>112</v>
      </c>
      <c r="AC555" s="14" t="s">
        <v>560</v>
      </c>
      <c r="AD555" s="14" t="s">
        <v>561</v>
      </c>
    </row>
    <row r="556" customFormat="false" ht="78" hidden="false" customHeight="true" outlineLevel="0" collapsed="false">
      <c r="A556" s="14" t="s">
        <v>6909</v>
      </c>
      <c r="B556" s="14" t="s">
        <v>44</v>
      </c>
      <c r="C556" s="14" t="s">
        <v>6910</v>
      </c>
      <c r="D556" s="14" t="s">
        <v>36</v>
      </c>
      <c r="E556" s="14" t="s">
        <v>6911</v>
      </c>
      <c r="F556" s="15" t="s">
        <v>1303</v>
      </c>
      <c r="G556" s="14" t="s">
        <v>1304</v>
      </c>
      <c r="H556" s="14" t="s">
        <v>6912</v>
      </c>
      <c r="I556" s="14" t="s">
        <v>6913</v>
      </c>
      <c r="J556" s="14" t="s">
        <v>99</v>
      </c>
      <c r="K556" s="23" t="s">
        <v>5244</v>
      </c>
      <c r="L556" s="14" t="s">
        <v>6914</v>
      </c>
      <c r="M556" s="14" t="s">
        <v>6915</v>
      </c>
      <c r="N556" s="14" t="s">
        <v>6916</v>
      </c>
      <c r="O556" s="14"/>
      <c r="P556" s="14" t="s">
        <v>6917</v>
      </c>
      <c r="Q556" s="14" t="s">
        <v>6918</v>
      </c>
      <c r="R556" s="14" t="s">
        <v>3966</v>
      </c>
      <c r="S556" s="20" t="s">
        <v>324</v>
      </c>
      <c r="T556" s="17" t="s">
        <v>107</v>
      </c>
      <c r="U556" s="14" t="s">
        <v>6919</v>
      </c>
      <c r="V556" s="14" t="s">
        <v>109</v>
      </c>
      <c r="W556" s="18" t="s">
        <v>110</v>
      </c>
      <c r="X556" s="14" t="s">
        <v>6920</v>
      </c>
      <c r="Y556" s="14" t="s">
        <v>1668</v>
      </c>
      <c r="Z556" s="14" t="s">
        <v>107</v>
      </c>
      <c r="AA556" s="14" t="s">
        <v>107</v>
      </c>
      <c r="AB556" s="14" t="s">
        <v>112</v>
      </c>
      <c r="AC556" s="14" t="s">
        <v>113</v>
      </c>
      <c r="AD556" s="14" t="s">
        <v>114</v>
      </c>
    </row>
    <row r="557" customFormat="false" ht="78" hidden="false" customHeight="true" outlineLevel="0" collapsed="false">
      <c r="A557" s="14" t="s">
        <v>6921</v>
      </c>
      <c r="B557" s="14" t="s">
        <v>45</v>
      </c>
      <c r="C557" s="14" t="s">
        <v>4615</v>
      </c>
      <c r="D557" s="14" t="s">
        <v>36</v>
      </c>
      <c r="E557" s="14" t="s">
        <v>6922</v>
      </c>
      <c r="F557" s="15" t="s">
        <v>4426</v>
      </c>
      <c r="G557" s="14" t="s">
        <v>285</v>
      </c>
      <c r="H557" s="14" t="s">
        <v>6923</v>
      </c>
      <c r="I557" s="14" t="s">
        <v>6924</v>
      </c>
      <c r="J557" s="14" t="s">
        <v>56</v>
      </c>
      <c r="K557" s="23" t="s">
        <v>5244</v>
      </c>
      <c r="L557" s="14" t="s">
        <v>6925</v>
      </c>
      <c r="M557" s="14" t="s">
        <v>6926</v>
      </c>
      <c r="N557" s="14" t="s">
        <v>6927</v>
      </c>
      <c r="O557" s="14"/>
      <c r="P557" s="14" t="s">
        <v>6928</v>
      </c>
      <c r="Q557" s="14" t="s">
        <v>6929</v>
      </c>
      <c r="R557" s="14" t="s">
        <v>3966</v>
      </c>
      <c r="S557" s="20" t="s">
        <v>324</v>
      </c>
      <c r="T557" s="17" t="s">
        <v>107</v>
      </c>
      <c r="U557" s="14" t="s">
        <v>6930</v>
      </c>
      <c r="V557" s="14" t="s">
        <v>109</v>
      </c>
      <c r="W557" s="21" t="s">
        <v>429</v>
      </c>
      <c r="X557" s="14" t="s">
        <v>6931</v>
      </c>
      <c r="Y557" s="14" t="s">
        <v>1668</v>
      </c>
      <c r="Z557" s="14" t="s">
        <v>107</v>
      </c>
      <c r="AA557" s="14" t="s">
        <v>107</v>
      </c>
      <c r="AB557" s="14" t="s">
        <v>921</v>
      </c>
      <c r="AC557" s="14" t="s">
        <v>113</v>
      </c>
      <c r="AD557" s="14" t="s">
        <v>114</v>
      </c>
    </row>
    <row r="558" customFormat="false" ht="78" hidden="false" customHeight="true" outlineLevel="0" collapsed="false">
      <c r="A558" s="14" t="s">
        <v>6932</v>
      </c>
      <c r="B558" s="14" t="s">
        <v>45</v>
      </c>
      <c r="C558" s="14" t="s">
        <v>6933</v>
      </c>
      <c r="D558" s="14" t="s">
        <v>36</v>
      </c>
      <c r="E558" s="14" t="s">
        <v>6934</v>
      </c>
      <c r="F558" s="15" t="s">
        <v>6935</v>
      </c>
      <c r="G558" s="14" t="s">
        <v>6936</v>
      </c>
      <c r="H558" s="14" t="s">
        <v>6937</v>
      </c>
      <c r="I558" s="14" t="s">
        <v>6938</v>
      </c>
      <c r="J558" s="14" t="s">
        <v>536</v>
      </c>
      <c r="K558" s="23" t="s">
        <v>5244</v>
      </c>
      <c r="L558" s="14" t="s">
        <v>6939</v>
      </c>
      <c r="M558" s="14" t="s">
        <v>6940</v>
      </c>
      <c r="N558" s="14" t="s">
        <v>6941</v>
      </c>
      <c r="O558" s="14"/>
      <c r="P558" s="14" t="s">
        <v>6942</v>
      </c>
      <c r="Q558" s="14" t="s">
        <v>6943</v>
      </c>
      <c r="R558" s="14" t="s">
        <v>3966</v>
      </c>
      <c r="S558" s="20" t="s">
        <v>324</v>
      </c>
      <c r="T558" s="17" t="s">
        <v>107</v>
      </c>
      <c r="U558" s="14" t="s">
        <v>6944</v>
      </c>
      <c r="V558" s="14" t="s">
        <v>109</v>
      </c>
      <c r="W558" s="18" t="s">
        <v>110</v>
      </c>
      <c r="X558" s="14" t="s">
        <v>6945</v>
      </c>
      <c r="Y558" s="14" t="s">
        <v>5244</v>
      </c>
      <c r="Z558" s="14" t="s">
        <v>107</v>
      </c>
      <c r="AA558" s="14" t="s">
        <v>107</v>
      </c>
      <c r="AB558" s="14" t="s">
        <v>921</v>
      </c>
      <c r="AC558" s="14" t="s">
        <v>113</v>
      </c>
      <c r="AD558" s="14" t="s">
        <v>114</v>
      </c>
    </row>
    <row r="559" customFormat="false" ht="78" hidden="false" customHeight="true" outlineLevel="0" collapsed="false">
      <c r="A559" s="14" t="s">
        <v>6946</v>
      </c>
      <c r="B559" s="14" t="s">
        <v>45</v>
      </c>
      <c r="C559" s="14" t="s">
        <v>6947</v>
      </c>
      <c r="D559" s="14" t="s">
        <v>36</v>
      </c>
      <c r="E559" s="14" t="s">
        <v>4330</v>
      </c>
      <c r="F559" s="15" t="s">
        <v>119</v>
      </c>
      <c r="G559" s="14" t="s">
        <v>240</v>
      </c>
      <c r="H559" s="14" t="s">
        <v>6948</v>
      </c>
      <c r="I559" s="14" t="s">
        <v>6949</v>
      </c>
      <c r="J559" s="14" t="s">
        <v>52</v>
      </c>
      <c r="K559" s="23" t="s">
        <v>5244</v>
      </c>
      <c r="L559" s="14" t="s">
        <v>6950</v>
      </c>
      <c r="M559" s="14" t="s">
        <v>6951</v>
      </c>
      <c r="N559" s="14" t="s">
        <v>6952</v>
      </c>
      <c r="O559" s="14"/>
      <c r="P559" s="14" t="s">
        <v>6953</v>
      </c>
      <c r="Q559" s="14" t="s">
        <v>6954</v>
      </c>
      <c r="R559" s="14" t="s">
        <v>6955</v>
      </c>
      <c r="S559" s="20" t="s">
        <v>324</v>
      </c>
      <c r="T559" s="17" t="s">
        <v>107</v>
      </c>
      <c r="U559" s="14" t="s">
        <v>6956</v>
      </c>
      <c r="V559" s="14" t="s">
        <v>109</v>
      </c>
      <c r="W559" s="18" t="s">
        <v>110</v>
      </c>
      <c r="X559" s="14" t="s">
        <v>6957</v>
      </c>
      <c r="Y559" s="14" t="s">
        <v>1668</v>
      </c>
      <c r="Z559" s="14" t="s">
        <v>107</v>
      </c>
      <c r="AA559" s="14" t="s">
        <v>107</v>
      </c>
      <c r="AB559" s="14" t="s">
        <v>921</v>
      </c>
      <c r="AC559" s="14" t="s">
        <v>113</v>
      </c>
      <c r="AD559" s="14" t="s">
        <v>114</v>
      </c>
    </row>
    <row r="560" customFormat="false" ht="78" hidden="false" customHeight="true" outlineLevel="0" collapsed="false">
      <c r="A560" s="14" t="s">
        <v>6958</v>
      </c>
      <c r="B560" s="14" t="s">
        <v>45</v>
      </c>
      <c r="C560" s="14" t="s">
        <v>6959</v>
      </c>
      <c r="D560" s="14" t="s">
        <v>36</v>
      </c>
      <c r="E560" s="14" t="s">
        <v>1302</v>
      </c>
      <c r="F560" s="15" t="s">
        <v>1303</v>
      </c>
      <c r="G560" s="14" t="s">
        <v>1304</v>
      </c>
      <c r="H560" s="14" t="s">
        <v>6960</v>
      </c>
      <c r="I560" s="14" t="s">
        <v>6961</v>
      </c>
      <c r="J560" s="14" t="s">
        <v>52</v>
      </c>
      <c r="K560" s="23" t="s">
        <v>5244</v>
      </c>
      <c r="L560" s="14" t="s">
        <v>6962</v>
      </c>
      <c r="M560" s="14" t="s">
        <v>6963</v>
      </c>
      <c r="N560" s="14" t="s">
        <v>6964</v>
      </c>
      <c r="O560" s="14"/>
      <c r="P560" s="14" t="s">
        <v>6965</v>
      </c>
      <c r="Q560" s="14" t="s">
        <v>6966</v>
      </c>
      <c r="R560" s="14" t="s">
        <v>6955</v>
      </c>
      <c r="S560" s="20" t="s">
        <v>324</v>
      </c>
      <c r="T560" s="20" t="s">
        <v>324</v>
      </c>
      <c r="U560" s="14" t="s">
        <v>6967</v>
      </c>
      <c r="V560" s="14" t="s">
        <v>109</v>
      </c>
      <c r="W560" s="18" t="s">
        <v>110</v>
      </c>
      <c r="X560" s="14" t="s">
        <v>6968</v>
      </c>
      <c r="Y560" s="14" t="s">
        <v>5244</v>
      </c>
      <c r="Z560" s="14" t="s">
        <v>107</v>
      </c>
      <c r="AA560" s="14" t="s">
        <v>107</v>
      </c>
      <c r="AB560" s="14" t="s">
        <v>921</v>
      </c>
      <c r="AC560" s="14" t="s">
        <v>113</v>
      </c>
      <c r="AD560" s="14" t="s">
        <v>114</v>
      </c>
    </row>
    <row r="561" customFormat="false" ht="78" hidden="false" customHeight="true" outlineLevel="0" collapsed="false">
      <c r="A561" s="14" t="s">
        <v>6969</v>
      </c>
      <c r="B561" s="14" t="s">
        <v>45</v>
      </c>
      <c r="C561" s="14" t="s">
        <v>6970</v>
      </c>
      <c r="D561" s="14" t="s">
        <v>36</v>
      </c>
      <c r="E561" s="14" t="s">
        <v>6971</v>
      </c>
      <c r="F561" s="15" t="s">
        <v>6972</v>
      </c>
      <c r="G561" s="14" t="s">
        <v>6936</v>
      </c>
      <c r="H561" s="14" t="s">
        <v>6973</v>
      </c>
      <c r="I561" s="14" t="s">
        <v>6974</v>
      </c>
      <c r="J561" s="14" t="s">
        <v>56</v>
      </c>
      <c r="K561" s="23" t="s">
        <v>5244</v>
      </c>
      <c r="L561" s="14" t="s">
        <v>6975</v>
      </c>
      <c r="M561" s="14" t="s">
        <v>6976</v>
      </c>
      <c r="N561" s="14" t="s">
        <v>6977</v>
      </c>
      <c r="O561" s="14"/>
      <c r="P561" s="14" t="s">
        <v>6978</v>
      </c>
      <c r="Q561" s="14" t="s">
        <v>6979</v>
      </c>
      <c r="R561" s="14" t="s">
        <v>3966</v>
      </c>
      <c r="S561" s="20" t="s">
        <v>324</v>
      </c>
      <c r="T561" s="17" t="s">
        <v>107</v>
      </c>
      <c r="U561" s="14" t="s">
        <v>6980</v>
      </c>
      <c r="V561" s="14" t="s">
        <v>109</v>
      </c>
      <c r="W561" s="18" t="s">
        <v>110</v>
      </c>
      <c r="X561" s="14" t="s">
        <v>6981</v>
      </c>
      <c r="Y561" s="14" t="s">
        <v>5244</v>
      </c>
      <c r="Z561" s="14" t="s">
        <v>107</v>
      </c>
      <c r="AA561" s="14" t="s">
        <v>107</v>
      </c>
      <c r="AB561" s="14" t="s">
        <v>921</v>
      </c>
      <c r="AC561" s="14" t="s">
        <v>113</v>
      </c>
      <c r="AD561" s="14" t="s">
        <v>114</v>
      </c>
    </row>
    <row r="562" customFormat="false" ht="78" hidden="false" customHeight="true" outlineLevel="0" collapsed="false">
      <c r="A562" s="14" t="s">
        <v>6982</v>
      </c>
      <c r="B562" s="14" t="s">
        <v>48</v>
      </c>
      <c r="C562" s="14" t="s">
        <v>6983</v>
      </c>
      <c r="D562" s="14" t="s">
        <v>36</v>
      </c>
      <c r="E562" s="14" t="s">
        <v>6984</v>
      </c>
      <c r="F562" s="14"/>
      <c r="G562" s="14" t="s">
        <v>168</v>
      </c>
      <c r="H562" s="14" t="s">
        <v>6985</v>
      </c>
      <c r="I562" s="14" t="s">
        <v>6986</v>
      </c>
      <c r="J562" s="14" t="s">
        <v>51</v>
      </c>
      <c r="K562" s="23" t="s">
        <v>5244</v>
      </c>
      <c r="L562" s="14" t="s">
        <v>6987</v>
      </c>
      <c r="M562" s="14" t="s">
        <v>6988</v>
      </c>
      <c r="N562" s="14" t="s">
        <v>6989</v>
      </c>
      <c r="O562" s="14"/>
      <c r="P562" s="14" t="s">
        <v>6990</v>
      </c>
      <c r="Q562" s="14" t="s">
        <v>6991</v>
      </c>
      <c r="R562" s="14" t="s">
        <v>957</v>
      </c>
      <c r="S562" s="17" t="s">
        <v>107</v>
      </c>
      <c r="T562" s="20" t="s">
        <v>324</v>
      </c>
      <c r="U562" s="14" t="s">
        <v>6992</v>
      </c>
      <c r="V562" s="14" t="s">
        <v>109</v>
      </c>
      <c r="W562" s="21" t="s">
        <v>429</v>
      </c>
      <c r="X562" s="14" t="s">
        <v>6993</v>
      </c>
      <c r="Y562" s="14" t="s">
        <v>194</v>
      </c>
      <c r="Z562" s="14" t="s">
        <v>107</v>
      </c>
      <c r="AA562" s="14" t="s">
        <v>946</v>
      </c>
      <c r="AB562" s="14" t="s">
        <v>559</v>
      </c>
      <c r="AC562" s="14" t="s">
        <v>1314</v>
      </c>
      <c r="AD562" s="14" t="s">
        <v>1315</v>
      </c>
    </row>
    <row r="563" customFormat="false" ht="78" hidden="false" customHeight="true" outlineLevel="0" collapsed="false">
      <c r="A563" s="14" t="s">
        <v>6994</v>
      </c>
      <c r="B563" s="14" t="s">
        <v>44</v>
      </c>
      <c r="C563" s="14" t="s">
        <v>6995</v>
      </c>
      <c r="D563" s="14" t="s">
        <v>252</v>
      </c>
      <c r="E563" s="14" t="s">
        <v>4685</v>
      </c>
      <c r="F563" s="15" t="s">
        <v>4686</v>
      </c>
      <c r="G563" s="14" t="s">
        <v>4687</v>
      </c>
      <c r="H563" s="14" t="s">
        <v>6996</v>
      </c>
      <c r="I563" s="14" t="s">
        <v>6997</v>
      </c>
      <c r="J563" s="14" t="s">
        <v>400</v>
      </c>
      <c r="K563" s="23" t="s">
        <v>5244</v>
      </c>
      <c r="L563" s="14" t="s">
        <v>6998</v>
      </c>
      <c r="M563" s="14" t="s">
        <v>6999</v>
      </c>
      <c r="N563" s="14" t="s">
        <v>7000</v>
      </c>
      <c r="O563" s="14"/>
      <c r="P563" s="14" t="s">
        <v>7001</v>
      </c>
      <c r="Q563" s="14" t="s">
        <v>7002</v>
      </c>
      <c r="R563" s="14" t="s">
        <v>263</v>
      </c>
      <c r="S563" s="20" t="s">
        <v>324</v>
      </c>
      <c r="T563" s="17" t="s">
        <v>107</v>
      </c>
      <c r="U563" s="14" t="s">
        <v>7003</v>
      </c>
      <c r="V563" s="14" t="s">
        <v>109</v>
      </c>
      <c r="W563" s="18" t="s">
        <v>110</v>
      </c>
      <c r="X563" s="14" t="s">
        <v>7004</v>
      </c>
      <c r="Y563" s="14" t="s">
        <v>1668</v>
      </c>
      <c r="Z563" s="14" t="s">
        <v>107</v>
      </c>
      <c r="AA563" s="14" t="s">
        <v>107</v>
      </c>
      <c r="AB563" s="14" t="s">
        <v>112</v>
      </c>
      <c r="AC563" s="14" t="s">
        <v>113</v>
      </c>
      <c r="AD563" s="14" t="s">
        <v>114</v>
      </c>
    </row>
    <row r="564" customFormat="false" ht="78" hidden="false" customHeight="true" outlineLevel="0" collapsed="false">
      <c r="A564" s="14" t="s">
        <v>7005</v>
      </c>
      <c r="B564" s="14" t="s">
        <v>45</v>
      </c>
      <c r="C564" s="14" t="s">
        <v>7006</v>
      </c>
      <c r="D564" s="14" t="s">
        <v>252</v>
      </c>
      <c r="E564" s="14" t="s">
        <v>7007</v>
      </c>
      <c r="F564" s="15" t="s">
        <v>1390</v>
      </c>
      <c r="G564" s="14" t="s">
        <v>285</v>
      </c>
      <c r="H564" s="14" t="s">
        <v>7008</v>
      </c>
      <c r="I564" s="14" t="s">
        <v>7009</v>
      </c>
      <c r="J564" s="14" t="s">
        <v>53</v>
      </c>
      <c r="K564" s="23" t="s">
        <v>5244</v>
      </c>
      <c r="L564" s="14" t="s">
        <v>7010</v>
      </c>
      <c r="M564" s="14" t="s">
        <v>7011</v>
      </c>
      <c r="N564" s="14" t="s">
        <v>7012</v>
      </c>
      <c r="O564" s="14"/>
      <c r="P564" s="14" t="s">
        <v>7013</v>
      </c>
      <c r="Q564" s="14" t="s">
        <v>7014</v>
      </c>
      <c r="R564" s="14" t="s">
        <v>3966</v>
      </c>
      <c r="S564" s="20" t="s">
        <v>324</v>
      </c>
      <c r="T564" s="17" t="s">
        <v>107</v>
      </c>
      <c r="U564" s="14" t="s">
        <v>7015</v>
      </c>
      <c r="V564" s="14" t="s">
        <v>109</v>
      </c>
      <c r="W564" s="18" t="s">
        <v>110</v>
      </c>
      <c r="X564" s="14" t="s">
        <v>7016</v>
      </c>
      <c r="Y564" s="14" t="s">
        <v>1668</v>
      </c>
      <c r="Z564" s="14" t="s">
        <v>107</v>
      </c>
      <c r="AA564" s="14" t="s">
        <v>107</v>
      </c>
      <c r="AB564" s="14" t="s">
        <v>921</v>
      </c>
      <c r="AC564" s="14" t="s">
        <v>113</v>
      </c>
      <c r="AD564" s="14" t="s">
        <v>114</v>
      </c>
    </row>
    <row r="565" customFormat="false" ht="78" hidden="false" customHeight="true" outlineLevel="0" collapsed="false">
      <c r="A565" s="14" t="s">
        <v>7017</v>
      </c>
      <c r="B565" s="14" t="s">
        <v>45</v>
      </c>
      <c r="C565" s="14" t="s">
        <v>4841</v>
      </c>
      <c r="D565" s="14" t="s">
        <v>252</v>
      </c>
      <c r="E565" s="14" t="s">
        <v>7018</v>
      </c>
      <c r="F565" s="15" t="s">
        <v>1366</v>
      </c>
      <c r="G565" s="14" t="s">
        <v>255</v>
      </c>
      <c r="H565" s="14" t="s">
        <v>7019</v>
      </c>
      <c r="I565" s="14" t="s">
        <v>7020</v>
      </c>
      <c r="J565" s="14" t="s">
        <v>52</v>
      </c>
      <c r="K565" s="23" t="s">
        <v>5244</v>
      </c>
      <c r="L565" s="14" t="s">
        <v>7021</v>
      </c>
      <c r="M565" s="14" t="s">
        <v>7022</v>
      </c>
      <c r="N565" s="14" t="s">
        <v>7023</v>
      </c>
      <c r="O565" s="14"/>
      <c r="P565" s="14" t="s">
        <v>7024</v>
      </c>
      <c r="Q565" s="14" t="s">
        <v>7025</v>
      </c>
      <c r="R565" s="14" t="s">
        <v>4649</v>
      </c>
      <c r="S565" s="20" t="s">
        <v>324</v>
      </c>
      <c r="T565" s="20" t="s">
        <v>324</v>
      </c>
      <c r="U565" s="14" t="s">
        <v>7026</v>
      </c>
      <c r="V565" s="14" t="s">
        <v>109</v>
      </c>
      <c r="W565" s="21" t="s">
        <v>429</v>
      </c>
      <c r="X565" s="14" t="s">
        <v>7027</v>
      </c>
      <c r="Y565" s="14" t="s">
        <v>5244</v>
      </c>
      <c r="Z565" s="14" t="s">
        <v>107</v>
      </c>
      <c r="AA565" s="14" t="s">
        <v>107</v>
      </c>
      <c r="AB565" s="14" t="s">
        <v>921</v>
      </c>
      <c r="AC565" s="14" t="s">
        <v>113</v>
      </c>
      <c r="AD565" s="14" t="s">
        <v>114</v>
      </c>
    </row>
    <row r="566" customFormat="false" ht="78" hidden="false" customHeight="true" outlineLevel="0" collapsed="false">
      <c r="A566" s="14" t="s">
        <v>7028</v>
      </c>
      <c r="B566" s="14" t="s">
        <v>45</v>
      </c>
      <c r="C566" s="14" t="s">
        <v>7029</v>
      </c>
      <c r="D566" s="14" t="s">
        <v>252</v>
      </c>
      <c r="E566" s="14" t="s">
        <v>6158</v>
      </c>
      <c r="F566" s="15" t="s">
        <v>2965</v>
      </c>
      <c r="G566" s="14" t="s">
        <v>1932</v>
      </c>
      <c r="H566" s="14" t="s">
        <v>7030</v>
      </c>
      <c r="I566" s="14" t="s">
        <v>7031</v>
      </c>
      <c r="J566" s="14" t="s">
        <v>536</v>
      </c>
      <c r="K566" s="23" t="s">
        <v>5244</v>
      </c>
      <c r="L566" s="14" t="s">
        <v>7032</v>
      </c>
      <c r="M566" s="14" t="s">
        <v>7033</v>
      </c>
      <c r="N566" s="14" t="s">
        <v>7034</v>
      </c>
      <c r="O566" s="14"/>
      <c r="P566" s="14" t="s">
        <v>7035</v>
      </c>
      <c r="Q566" s="14" t="s">
        <v>7036</v>
      </c>
      <c r="R566" s="14" t="s">
        <v>3966</v>
      </c>
      <c r="S566" s="20" t="s">
        <v>324</v>
      </c>
      <c r="T566" s="17" t="s">
        <v>107</v>
      </c>
      <c r="U566" s="14" t="s">
        <v>7037</v>
      </c>
      <c r="V566" s="14" t="s">
        <v>109</v>
      </c>
      <c r="W566" s="18" t="s">
        <v>110</v>
      </c>
      <c r="X566" s="14" t="s">
        <v>7038</v>
      </c>
      <c r="Y566" s="14" t="s">
        <v>5244</v>
      </c>
      <c r="Z566" s="14" t="s">
        <v>107</v>
      </c>
      <c r="AA566" s="14" t="s">
        <v>107</v>
      </c>
      <c r="AB566" s="14" t="s">
        <v>921</v>
      </c>
      <c r="AC566" s="14" t="s">
        <v>113</v>
      </c>
      <c r="AD566" s="14" t="s">
        <v>114</v>
      </c>
    </row>
    <row r="567" customFormat="false" ht="78" hidden="false" customHeight="true" outlineLevel="0" collapsed="false">
      <c r="A567" s="14" t="s">
        <v>7039</v>
      </c>
      <c r="B567" s="14" t="s">
        <v>45</v>
      </c>
      <c r="C567" s="14" t="s">
        <v>7040</v>
      </c>
      <c r="D567" s="14" t="s">
        <v>252</v>
      </c>
      <c r="E567" s="14" t="s">
        <v>4567</v>
      </c>
      <c r="F567" s="15" t="s">
        <v>6972</v>
      </c>
      <c r="G567" s="14" t="s">
        <v>4567</v>
      </c>
      <c r="H567" s="14" t="s">
        <v>7041</v>
      </c>
      <c r="I567" s="14" t="s">
        <v>7042</v>
      </c>
      <c r="J567" s="14" t="s">
        <v>56</v>
      </c>
      <c r="K567" s="23" t="s">
        <v>5244</v>
      </c>
      <c r="L567" s="14" t="s">
        <v>7043</v>
      </c>
      <c r="M567" s="14" t="s">
        <v>7044</v>
      </c>
      <c r="N567" s="14" t="s">
        <v>7045</v>
      </c>
      <c r="O567" s="14"/>
      <c r="P567" s="14" t="s">
        <v>7046</v>
      </c>
      <c r="Q567" s="14" t="s">
        <v>7047</v>
      </c>
      <c r="R567" s="14" t="s">
        <v>3966</v>
      </c>
      <c r="S567" s="20" t="s">
        <v>324</v>
      </c>
      <c r="T567" s="17" t="s">
        <v>107</v>
      </c>
      <c r="U567" s="14" t="s">
        <v>7048</v>
      </c>
      <c r="V567" s="14" t="s">
        <v>109</v>
      </c>
      <c r="W567" s="18" t="s">
        <v>110</v>
      </c>
      <c r="X567" s="14" t="s">
        <v>7049</v>
      </c>
      <c r="Y567" s="14" t="s">
        <v>5244</v>
      </c>
      <c r="Z567" s="14" t="s">
        <v>107</v>
      </c>
      <c r="AA567" s="14" t="s">
        <v>107</v>
      </c>
      <c r="AB567" s="14" t="s">
        <v>921</v>
      </c>
      <c r="AC567" s="14" t="s">
        <v>113</v>
      </c>
      <c r="AD567" s="14" t="s">
        <v>114</v>
      </c>
    </row>
    <row r="568" customFormat="false" ht="78" hidden="false" customHeight="true" outlineLevel="0" collapsed="false">
      <c r="A568" s="14" t="s">
        <v>7050</v>
      </c>
      <c r="B568" s="14" t="s">
        <v>47</v>
      </c>
      <c r="C568" s="14" t="s">
        <v>6843</v>
      </c>
      <c r="D568" s="14" t="s">
        <v>252</v>
      </c>
      <c r="E568" s="14" t="s">
        <v>268</v>
      </c>
      <c r="F568" s="15" t="s">
        <v>269</v>
      </c>
      <c r="G568" s="14" t="s">
        <v>270</v>
      </c>
      <c r="H568" s="14" t="s">
        <v>7051</v>
      </c>
      <c r="I568" s="14" t="s">
        <v>7052</v>
      </c>
      <c r="J568" s="14" t="s">
        <v>52</v>
      </c>
      <c r="K568" s="23" t="s">
        <v>5244</v>
      </c>
      <c r="L568" s="14" t="s">
        <v>7053</v>
      </c>
      <c r="M568" s="14" t="s">
        <v>7054</v>
      </c>
      <c r="N568" s="14" t="s">
        <v>7055</v>
      </c>
      <c r="O568" s="14"/>
      <c r="P568" s="14" t="s">
        <v>7056</v>
      </c>
      <c r="Q568" s="14" t="s">
        <v>7057</v>
      </c>
      <c r="R568" s="14" t="s">
        <v>4649</v>
      </c>
      <c r="S568" s="20" t="s">
        <v>324</v>
      </c>
      <c r="T568" s="17" t="s">
        <v>107</v>
      </c>
      <c r="U568" s="14" t="s">
        <v>7058</v>
      </c>
      <c r="V568" s="14" t="s">
        <v>109</v>
      </c>
      <c r="W568" s="18" t="s">
        <v>110</v>
      </c>
      <c r="X568" s="14" t="s">
        <v>7059</v>
      </c>
      <c r="Y568" s="14" t="s">
        <v>5244</v>
      </c>
      <c r="Z568" s="14" t="s">
        <v>107</v>
      </c>
      <c r="AA568" s="14" t="s">
        <v>107</v>
      </c>
      <c r="AB568" s="14" t="s">
        <v>2204</v>
      </c>
      <c r="AC568" s="14" t="s">
        <v>113</v>
      </c>
      <c r="AD568" s="14" t="s">
        <v>114</v>
      </c>
    </row>
    <row r="569" customFormat="false" ht="78" hidden="false" customHeight="true" outlineLevel="0" collapsed="false">
      <c r="A569" s="14" t="s">
        <v>7060</v>
      </c>
      <c r="B569" s="14" t="s">
        <v>48</v>
      </c>
      <c r="C569" s="14" t="s">
        <v>7061</v>
      </c>
      <c r="D569" s="14" t="s">
        <v>252</v>
      </c>
      <c r="E569" s="14" t="s">
        <v>7062</v>
      </c>
      <c r="F569" s="15" t="s">
        <v>254</v>
      </c>
      <c r="G569" s="14" t="s">
        <v>255</v>
      </c>
      <c r="H569" s="14" t="s">
        <v>4867</v>
      </c>
      <c r="I569" s="14" t="s">
        <v>7063</v>
      </c>
      <c r="J569" s="14" t="s">
        <v>551</v>
      </c>
      <c r="K569" s="23" t="s">
        <v>5244</v>
      </c>
      <c r="L569" s="14" t="s">
        <v>7064</v>
      </c>
      <c r="M569" s="14" t="s">
        <v>7065</v>
      </c>
      <c r="N569" s="14" t="s">
        <v>7066</v>
      </c>
      <c r="O569" s="14"/>
      <c r="P569" s="14" t="s">
        <v>7067</v>
      </c>
      <c r="Q569" s="14" t="s">
        <v>7068</v>
      </c>
      <c r="R569" s="14" t="s">
        <v>7069</v>
      </c>
      <c r="S569" s="17" t="s">
        <v>107</v>
      </c>
      <c r="T569" s="20" t="s">
        <v>324</v>
      </c>
      <c r="U569" s="14" t="s">
        <v>7070</v>
      </c>
      <c r="V569" s="14" t="s">
        <v>109</v>
      </c>
      <c r="W569" s="21" t="s">
        <v>429</v>
      </c>
      <c r="X569" s="14" t="s">
        <v>7071</v>
      </c>
      <c r="Y569" s="14" t="s">
        <v>1668</v>
      </c>
      <c r="Z569" s="14" t="s">
        <v>107</v>
      </c>
      <c r="AA569" s="14" t="s">
        <v>107</v>
      </c>
      <c r="AB569" s="14" t="s">
        <v>559</v>
      </c>
      <c r="AC569" s="14" t="s">
        <v>560</v>
      </c>
      <c r="AD569" s="14" t="s">
        <v>561</v>
      </c>
    </row>
    <row r="570" customFormat="false" ht="78" hidden="false" customHeight="true" outlineLevel="0" collapsed="false">
      <c r="A570" s="14" t="s">
        <v>7072</v>
      </c>
      <c r="B570" s="14" t="s">
        <v>46</v>
      </c>
      <c r="C570" s="14" t="s">
        <v>7073</v>
      </c>
      <c r="D570" s="14" t="s">
        <v>1451</v>
      </c>
      <c r="E570" s="14" t="s">
        <v>7074</v>
      </c>
      <c r="F570" s="15" t="s">
        <v>7075</v>
      </c>
      <c r="G570" s="14" t="s">
        <v>4757</v>
      </c>
      <c r="H570" s="14" t="s">
        <v>7076</v>
      </c>
      <c r="I570" s="14" t="s">
        <v>7077</v>
      </c>
      <c r="J570" s="14" t="s">
        <v>202</v>
      </c>
      <c r="K570" s="23" t="s">
        <v>5244</v>
      </c>
      <c r="L570" s="14" t="s">
        <v>7078</v>
      </c>
      <c r="M570" s="14" t="s">
        <v>7079</v>
      </c>
      <c r="N570" s="14" t="s">
        <v>7080</v>
      </c>
      <c r="O570" s="14"/>
      <c r="P570" s="14" t="s">
        <v>7081</v>
      </c>
      <c r="Q570" s="14" t="s">
        <v>7082</v>
      </c>
      <c r="R570" s="14" t="s">
        <v>1522</v>
      </c>
      <c r="S570" s="20" t="s">
        <v>324</v>
      </c>
      <c r="T570" s="17" t="s">
        <v>107</v>
      </c>
      <c r="U570" s="14" t="s">
        <v>7083</v>
      </c>
      <c r="V570" s="14" t="s">
        <v>109</v>
      </c>
      <c r="W570" s="21" t="s">
        <v>429</v>
      </c>
      <c r="X570" s="14" t="s">
        <v>7084</v>
      </c>
      <c r="Y570" s="14" t="s">
        <v>1668</v>
      </c>
      <c r="Z570" s="14" t="s">
        <v>107</v>
      </c>
      <c r="AA570" s="14" t="s">
        <v>107</v>
      </c>
      <c r="AB570" s="14" t="s">
        <v>147</v>
      </c>
      <c r="AC570" s="14" t="s">
        <v>113</v>
      </c>
      <c r="AD570" s="14" t="s">
        <v>114</v>
      </c>
    </row>
    <row r="571" customFormat="false" ht="78" hidden="false" customHeight="true" outlineLevel="0" collapsed="false">
      <c r="A571" s="14" t="s">
        <v>7085</v>
      </c>
      <c r="B571" s="14" t="s">
        <v>45</v>
      </c>
      <c r="C571" s="14" t="s">
        <v>7086</v>
      </c>
      <c r="D571" s="14" t="s">
        <v>1451</v>
      </c>
      <c r="E571" s="14" t="s">
        <v>7087</v>
      </c>
      <c r="F571" s="15" t="s">
        <v>1768</v>
      </c>
      <c r="G571" s="14" t="s">
        <v>7088</v>
      </c>
      <c r="H571" s="14" t="s">
        <v>7089</v>
      </c>
      <c r="I571" s="14" t="s">
        <v>7090</v>
      </c>
      <c r="J571" s="14" t="s">
        <v>56</v>
      </c>
      <c r="K571" s="23" t="s">
        <v>5244</v>
      </c>
      <c r="L571" s="14" t="s">
        <v>7091</v>
      </c>
      <c r="M571" s="14" t="s">
        <v>7092</v>
      </c>
      <c r="N571" s="14" t="s">
        <v>7093</v>
      </c>
      <c r="O571" s="14"/>
      <c r="P571" s="14" t="s">
        <v>7094</v>
      </c>
      <c r="Q571" s="14" t="s">
        <v>7095</v>
      </c>
      <c r="R571" s="14" t="s">
        <v>3966</v>
      </c>
      <c r="S571" s="20" t="s">
        <v>324</v>
      </c>
      <c r="T571" s="17" t="s">
        <v>107</v>
      </c>
      <c r="U571" s="14" t="s">
        <v>7096</v>
      </c>
      <c r="V571" s="14" t="s">
        <v>109</v>
      </c>
      <c r="W571" s="21" t="s">
        <v>429</v>
      </c>
      <c r="X571" s="14" t="s">
        <v>7097</v>
      </c>
      <c r="Y571" s="14" t="s">
        <v>1668</v>
      </c>
      <c r="Z571" s="14" t="s">
        <v>107</v>
      </c>
      <c r="AA571" s="14" t="s">
        <v>107</v>
      </c>
      <c r="AB571" s="14" t="s">
        <v>921</v>
      </c>
      <c r="AC571" s="14" t="s">
        <v>113</v>
      </c>
      <c r="AD571" s="14" t="s">
        <v>114</v>
      </c>
    </row>
    <row r="572" customFormat="false" ht="78" hidden="false" customHeight="true" outlineLevel="0" collapsed="false">
      <c r="A572" s="14" t="s">
        <v>7098</v>
      </c>
      <c r="B572" s="14" t="s">
        <v>45</v>
      </c>
      <c r="C572" s="14" t="s">
        <v>7099</v>
      </c>
      <c r="D572" s="14" t="s">
        <v>1451</v>
      </c>
      <c r="E572" s="14" t="s">
        <v>7088</v>
      </c>
      <c r="F572" s="15" t="s">
        <v>548</v>
      </c>
      <c r="G572" s="14" t="s">
        <v>7088</v>
      </c>
      <c r="H572" s="14" t="s">
        <v>7100</v>
      </c>
      <c r="I572" s="14" t="s">
        <v>7101</v>
      </c>
      <c r="J572" s="14" t="s">
        <v>1057</v>
      </c>
      <c r="K572" s="23" t="s">
        <v>5244</v>
      </c>
      <c r="L572" s="14" t="s">
        <v>7102</v>
      </c>
      <c r="M572" s="14" t="s">
        <v>7103</v>
      </c>
      <c r="N572" s="14" t="s">
        <v>7104</v>
      </c>
      <c r="O572" s="14"/>
      <c r="P572" s="14" t="s">
        <v>7105</v>
      </c>
      <c r="Q572" s="14" t="s">
        <v>7106</v>
      </c>
      <c r="R572" s="14" t="s">
        <v>3966</v>
      </c>
      <c r="S572" s="20" t="s">
        <v>324</v>
      </c>
      <c r="T572" s="17" t="s">
        <v>107</v>
      </c>
      <c r="U572" s="14" t="s">
        <v>7107</v>
      </c>
      <c r="V572" s="14" t="s">
        <v>109</v>
      </c>
      <c r="W572" s="18" t="s">
        <v>110</v>
      </c>
      <c r="X572" s="14" t="s">
        <v>7108</v>
      </c>
      <c r="Y572" s="14" t="s">
        <v>5244</v>
      </c>
      <c r="Z572" s="14" t="s">
        <v>107</v>
      </c>
      <c r="AA572" s="14" t="s">
        <v>107</v>
      </c>
      <c r="AB572" s="14" t="s">
        <v>921</v>
      </c>
      <c r="AC572" s="14" t="s">
        <v>113</v>
      </c>
      <c r="AD572" s="14" t="s">
        <v>114</v>
      </c>
    </row>
    <row r="573" customFormat="false" ht="78" hidden="false" customHeight="true" outlineLevel="0" collapsed="false">
      <c r="A573" s="14" t="s">
        <v>7109</v>
      </c>
      <c r="B573" s="14" t="s">
        <v>45</v>
      </c>
      <c r="C573" s="14" t="s">
        <v>7110</v>
      </c>
      <c r="D573" s="14" t="s">
        <v>1451</v>
      </c>
      <c r="E573" s="14" t="s">
        <v>4891</v>
      </c>
      <c r="F573" s="15" t="s">
        <v>420</v>
      </c>
      <c r="G573" s="14" t="s">
        <v>1490</v>
      </c>
      <c r="H573" s="14" t="s">
        <v>7111</v>
      </c>
      <c r="I573" s="14" t="s">
        <v>7112</v>
      </c>
      <c r="J573" s="14" t="s">
        <v>52</v>
      </c>
      <c r="K573" s="23" t="s">
        <v>5244</v>
      </c>
      <c r="L573" s="14" t="s">
        <v>7113</v>
      </c>
      <c r="M573" s="14" t="s">
        <v>7114</v>
      </c>
      <c r="N573" s="14" t="s">
        <v>7115</v>
      </c>
      <c r="O573" s="14"/>
      <c r="P573" s="14" t="s">
        <v>7116</v>
      </c>
      <c r="Q573" s="14" t="s">
        <v>7117</v>
      </c>
      <c r="R573" s="14" t="s">
        <v>4850</v>
      </c>
      <c r="S573" s="20" t="s">
        <v>324</v>
      </c>
      <c r="T573" s="17" t="s">
        <v>107</v>
      </c>
      <c r="U573" s="14" t="s">
        <v>7118</v>
      </c>
      <c r="V573" s="14" t="s">
        <v>109</v>
      </c>
      <c r="W573" s="18" t="s">
        <v>110</v>
      </c>
      <c r="X573" s="14" t="s">
        <v>7119</v>
      </c>
      <c r="Y573" s="14" t="s">
        <v>1668</v>
      </c>
      <c r="Z573" s="14" t="s">
        <v>107</v>
      </c>
      <c r="AA573" s="14" t="s">
        <v>107</v>
      </c>
      <c r="AB573" s="14" t="s">
        <v>921</v>
      </c>
      <c r="AC573" s="14" t="s">
        <v>113</v>
      </c>
      <c r="AD573" s="14" t="s">
        <v>114</v>
      </c>
    </row>
    <row r="574" customFormat="false" ht="78" hidden="false" customHeight="true" outlineLevel="0" collapsed="false">
      <c r="A574" s="14" t="s">
        <v>7120</v>
      </c>
      <c r="B574" s="14" t="s">
        <v>45</v>
      </c>
      <c r="C574" s="14" t="s">
        <v>7121</v>
      </c>
      <c r="D574" s="14" t="s">
        <v>1451</v>
      </c>
      <c r="E574" s="14" t="s">
        <v>7122</v>
      </c>
      <c r="F574" s="15" t="s">
        <v>548</v>
      </c>
      <c r="G574" s="14" t="s">
        <v>1490</v>
      </c>
      <c r="H574" s="14" t="s">
        <v>7123</v>
      </c>
      <c r="I574" s="14" t="s">
        <v>7124</v>
      </c>
      <c r="J574" s="14" t="s">
        <v>52</v>
      </c>
      <c r="K574" s="23" t="s">
        <v>5244</v>
      </c>
      <c r="L574" s="14" t="s">
        <v>7125</v>
      </c>
      <c r="M574" s="14" t="s">
        <v>7126</v>
      </c>
      <c r="N574" s="14" t="s">
        <v>7127</v>
      </c>
      <c r="O574" s="14"/>
      <c r="P574" s="14" t="s">
        <v>7128</v>
      </c>
      <c r="Q574" s="14" t="s">
        <v>7129</v>
      </c>
      <c r="R574" s="14" t="s">
        <v>3966</v>
      </c>
      <c r="S574" s="20" t="s">
        <v>324</v>
      </c>
      <c r="T574" s="17" t="s">
        <v>107</v>
      </c>
      <c r="U574" s="14" t="s">
        <v>7130</v>
      </c>
      <c r="V574" s="14" t="s">
        <v>109</v>
      </c>
      <c r="W574" s="18" t="s">
        <v>110</v>
      </c>
      <c r="X574" s="14" t="s">
        <v>7131</v>
      </c>
      <c r="Y574" s="14" t="s">
        <v>1668</v>
      </c>
      <c r="Z574" s="14" t="s">
        <v>107</v>
      </c>
      <c r="AA574" s="14" t="s">
        <v>107</v>
      </c>
      <c r="AB574" s="14" t="s">
        <v>921</v>
      </c>
      <c r="AC574" s="14" t="s">
        <v>113</v>
      </c>
      <c r="AD574" s="14" t="s">
        <v>114</v>
      </c>
    </row>
    <row r="575" customFormat="false" ht="78" hidden="false" customHeight="true" outlineLevel="0" collapsed="false">
      <c r="A575" s="14" t="s">
        <v>7132</v>
      </c>
      <c r="B575" s="14" t="s">
        <v>47</v>
      </c>
      <c r="C575" s="14" t="s">
        <v>7133</v>
      </c>
      <c r="D575" s="14" t="s">
        <v>1451</v>
      </c>
      <c r="E575" s="14" t="s">
        <v>1150</v>
      </c>
      <c r="F575" s="15" t="s">
        <v>1151</v>
      </c>
      <c r="G575" s="14" t="s">
        <v>1490</v>
      </c>
      <c r="H575" s="14" t="s">
        <v>7134</v>
      </c>
      <c r="I575" s="14" t="s">
        <v>7135</v>
      </c>
      <c r="J575" s="14" t="s">
        <v>52</v>
      </c>
      <c r="K575" s="23" t="s">
        <v>5244</v>
      </c>
      <c r="L575" s="14" t="s">
        <v>7136</v>
      </c>
      <c r="M575" s="14" t="s">
        <v>7137</v>
      </c>
      <c r="N575" s="14" t="s">
        <v>7138</v>
      </c>
      <c r="O575" s="14"/>
      <c r="P575" s="14" t="s">
        <v>7139</v>
      </c>
      <c r="Q575" s="14" t="s">
        <v>7140</v>
      </c>
      <c r="R575" s="14" t="s">
        <v>4850</v>
      </c>
      <c r="S575" s="20" t="s">
        <v>324</v>
      </c>
      <c r="T575" s="17" t="s">
        <v>107</v>
      </c>
      <c r="U575" s="14" t="s">
        <v>7141</v>
      </c>
      <c r="V575" s="14" t="s">
        <v>109</v>
      </c>
      <c r="W575" s="18" t="s">
        <v>110</v>
      </c>
      <c r="X575" s="14" t="s">
        <v>7142</v>
      </c>
      <c r="Y575" s="14" t="s">
        <v>1668</v>
      </c>
      <c r="Z575" s="14" t="s">
        <v>107</v>
      </c>
      <c r="AA575" s="14" t="s">
        <v>107</v>
      </c>
      <c r="AB575" s="14" t="s">
        <v>2204</v>
      </c>
      <c r="AC575" s="14" t="s">
        <v>113</v>
      </c>
      <c r="AD575" s="14" t="s">
        <v>114</v>
      </c>
    </row>
    <row r="576" customFormat="false" ht="78" hidden="false" customHeight="true" outlineLevel="0" collapsed="false">
      <c r="A576" s="14" t="s">
        <v>7143</v>
      </c>
      <c r="B576" s="14" t="s">
        <v>47</v>
      </c>
      <c r="C576" s="14" t="s">
        <v>7144</v>
      </c>
      <c r="D576" s="14" t="s">
        <v>1451</v>
      </c>
      <c r="E576" s="14" t="s">
        <v>7145</v>
      </c>
      <c r="F576" s="15" t="s">
        <v>367</v>
      </c>
      <c r="G576" s="14" t="s">
        <v>1490</v>
      </c>
      <c r="H576" s="14" t="s">
        <v>7146</v>
      </c>
      <c r="I576" s="14" t="s">
        <v>7147</v>
      </c>
      <c r="J576" s="14" t="s">
        <v>52</v>
      </c>
      <c r="K576" s="23" t="s">
        <v>5244</v>
      </c>
      <c r="L576" s="14" t="s">
        <v>7148</v>
      </c>
      <c r="M576" s="14" t="s">
        <v>7149</v>
      </c>
      <c r="N576" s="14" t="s">
        <v>7150</v>
      </c>
      <c r="O576" s="14"/>
      <c r="P576" s="14" t="s">
        <v>7151</v>
      </c>
      <c r="Q576" s="14" t="s">
        <v>7152</v>
      </c>
      <c r="R576" s="14" t="s">
        <v>4850</v>
      </c>
      <c r="S576" s="20" t="s">
        <v>324</v>
      </c>
      <c r="T576" s="17" t="s">
        <v>107</v>
      </c>
      <c r="U576" s="14" t="s">
        <v>7153</v>
      </c>
      <c r="V576" s="14" t="s">
        <v>109</v>
      </c>
      <c r="W576" s="18" t="s">
        <v>110</v>
      </c>
      <c r="X576" s="14" t="s">
        <v>7154</v>
      </c>
      <c r="Y576" s="14" t="s">
        <v>1668</v>
      </c>
      <c r="Z576" s="14" t="s">
        <v>107</v>
      </c>
      <c r="AA576" s="14" t="s">
        <v>107</v>
      </c>
      <c r="AB576" s="14" t="s">
        <v>2204</v>
      </c>
      <c r="AC576" s="14" t="s">
        <v>113</v>
      </c>
      <c r="AD576" s="14" t="s">
        <v>114</v>
      </c>
    </row>
    <row r="577" customFormat="false" ht="78" hidden="false" customHeight="true" outlineLevel="0" collapsed="false">
      <c r="A577" s="14" t="s">
        <v>7155</v>
      </c>
      <c r="B577" s="14" t="s">
        <v>48</v>
      </c>
      <c r="C577" s="14" t="s">
        <v>4424</v>
      </c>
      <c r="D577" s="14" t="s">
        <v>1451</v>
      </c>
      <c r="E577" s="14" t="s">
        <v>7156</v>
      </c>
      <c r="F577" s="15" t="s">
        <v>4830</v>
      </c>
      <c r="G577" s="14" t="s">
        <v>1454</v>
      </c>
      <c r="H577" s="14" t="s">
        <v>7157</v>
      </c>
      <c r="I577" s="14" t="s">
        <v>7158</v>
      </c>
      <c r="J577" s="14" t="s">
        <v>54</v>
      </c>
      <c r="K577" s="23" t="s">
        <v>5244</v>
      </c>
      <c r="L577" s="14" t="s">
        <v>7159</v>
      </c>
      <c r="M577" s="14" t="s">
        <v>7160</v>
      </c>
      <c r="N577" s="14" t="s">
        <v>7161</v>
      </c>
      <c r="O577" s="14"/>
      <c r="P577" s="14" t="s">
        <v>7162</v>
      </c>
      <c r="Q577" s="14" t="s">
        <v>7163</v>
      </c>
      <c r="R577" s="14" t="s">
        <v>4160</v>
      </c>
      <c r="S577" s="17" t="s">
        <v>107</v>
      </c>
      <c r="T577" s="20" t="s">
        <v>324</v>
      </c>
      <c r="U577" s="14" t="s">
        <v>7164</v>
      </c>
      <c r="V577" s="14" t="s">
        <v>109</v>
      </c>
      <c r="W577" s="18" t="s">
        <v>110</v>
      </c>
      <c r="X577" s="14" t="s">
        <v>7165</v>
      </c>
      <c r="Y577" s="14" t="s">
        <v>1668</v>
      </c>
      <c r="Z577" s="14" t="s">
        <v>107</v>
      </c>
      <c r="AA577" s="14" t="s">
        <v>946</v>
      </c>
      <c r="AB577" s="14" t="s">
        <v>559</v>
      </c>
      <c r="AC577" s="14" t="s">
        <v>560</v>
      </c>
      <c r="AD577" s="14" t="s">
        <v>561</v>
      </c>
    </row>
    <row r="578" customFormat="false" ht="78" hidden="false" customHeight="true" outlineLevel="0" collapsed="false">
      <c r="A578" s="14" t="s">
        <v>7166</v>
      </c>
      <c r="B578" s="14" t="s">
        <v>46</v>
      </c>
      <c r="C578" s="14" t="s">
        <v>7167</v>
      </c>
      <c r="D578" s="14" t="s">
        <v>1539</v>
      </c>
      <c r="E578" s="14" t="s">
        <v>1570</v>
      </c>
      <c r="F578" s="15" t="s">
        <v>1571</v>
      </c>
      <c r="G578" s="14" t="s">
        <v>1572</v>
      </c>
      <c r="H578" s="14" t="s">
        <v>7168</v>
      </c>
      <c r="I578" s="14" t="s">
        <v>7169</v>
      </c>
      <c r="J578" s="14" t="s">
        <v>99</v>
      </c>
      <c r="K578" s="23" t="s">
        <v>5244</v>
      </c>
      <c r="L578" s="14" t="s">
        <v>7170</v>
      </c>
      <c r="M578" s="14" t="s">
        <v>7171</v>
      </c>
      <c r="N578" s="14" t="s">
        <v>7172</v>
      </c>
      <c r="O578" s="14"/>
      <c r="P578" s="14" t="s">
        <v>7173</v>
      </c>
      <c r="Q578" s="14" t="s">
        <v>7174</v>
      </c>
      <c r="R578" s="14" t="s">
        <v>1565</v>
      </c>
      <c r="S578" s="20" t="s">
        <v>324</v>
      </c>
      <c r="T578" s="20" t="s">
        <v>324</v>
      </c>
      <c r="U578" s="14" t="s">
        <v>7175</v>
      </c>
      <c r="V578" s="14" t="s">
        <v>109</v>
      </c>
      <c r="W578" s="21" t="s">
        <v>429</v>
      </c>
      <c r="X578" s="14" t="s">
        <v>7176</v>
      </c>
      <c r="Y578" s="14" t="s">
        <v>1668</v>
      </c>
      <c r="Z578" s="14" t="s">
        <v>107</v>
      </c>
      <c r="AA578" s="14" t="s">
        <v>107</v>
      </c>
      <c r="AB578" s="14" t="s">
        <v>147</v>
      </c>
      <c r="AC578" s="14" t="s">
        <v>113</v>
      </c>
      <c r="AD578" s="14" t="s">
        <v>114</v>
      </c>
    </row>
    <row r="579" customFormat="false" ht="78" hidden="false" customHeight="true" outlineLevel="0" collapsed="false">
      <c r="A579" s="14" t="s">
        <v>7177</v>
      </c>
      <c r="B579" s="14" t="s">
        <v>45</v>
      </c>
      <c r="C579" s="14" t="s">
        <v>7178</v>
      </c>
      <c r="D579" s="14" t="s">
        <v>1539</v>
      </c>
      <c r="E579" s="14" t="s">
        <v>7179</v>
      </c>
      <c r="F579" s="14"/>
      <c r="G579" s="14" t="s">
        <v>285</v>
      </c>
      <c r="H579" s="14" t="s">
        <v>7180</v>
      </c>
      <c r="I579" s="14" t="s">
        <v>7181</v>
      </c>
      <c r="J579" s="14" t="s">
        <v>53</v>
      </c>
      <c r="K579" s="23" t="s">
        <v>5244</v>
      </c>
      <c r="L579" s="14" t="s">
        <v>7182</v>
      </c>
      <c r="M579" s="14" t="s">
        <v>7183</v>
      </c>
      <c r="N579" s="14" t="s">
        <v>7184</v>
      </c>
      <c r="O579" s="14"/>
      <c r="P579" s="14" t="s">
        <v>7185</v>
      </c>
      <c r="Q579" s="14" t="s">
        <v>7186</v>
      </c>
      <c r="R579" s="14" t="s">
        <v>1565</v>
      </c>
      <c r="S579" s="20" t="s">
        <v>324</v>
      </c>
      <c r="T579" s="20" t="s">
        <v>324</v>
      </c>
      <c r="U579" s="14" t="s">
        <v>7187</v>
      </c>
      <c r="V579" s="14" t="s">
        <v>109</v>
      </c>
      <c r="W579" s="18" t="s">
        <v>110</v>
      </c>
      <c r="X579" s="14" t="s">
        <v>7188</v>
      </c>
      <c r="Y579" s="14" t="s">
        <v>1668</v>
      </c>
      <c r="Z579" s="14" t="s">
        <v>107</v>
      </c>
      <c r="AA579" s="14" t="s">
        <v>107</v>
      </c>
      <c r="AB579" s="14" t="s">
        <v>921</v>
      </c>
      <c r="AC579" s="14" t="s">
        <v>113</v>
      </c>
      <c r="AD579" s="14" t="s">
        <v>114</v>
      </c>
    </row>
    <row r="580" customFormat="false" ht="78" hidden="false" customHeight="true" outlineLevel="0" collapsed="false">
      <c r="A580" s="14" t="s">
        <v>7189</v>
      </c>
      <c r="B580" s="14" t="s">
        <v>45</v>
      </c>
      <c r="C580" s="14" t="s">
        <v>7190</v>
      </c>
      <c r="D580" s="14" t="s">
        <v>1539</v>
      </c>
      <c r="E580" s="14" t="s">
        <v>1598</v>
      </c>
      <c r="F580" s="15" t="s">
        <v>7191</v>
      </c>
      <c r="G580" s="14" t="s">
        <v>1600</v>
      </c>
      <c r="H580" s="14" t="s">
        <v>7192</v>
      </c>
      <c r="I580" s="14" t="s">
        <v>7193</v>
      </c>
      <c r="J580" s="14" t="s">
        <v>52</v>
      </c>
      <c r="K580" s="23" t="s">
        <v>5244</v>
      </c>
      <c r="L580" s="14" t="s">
        <v>7194</v>
      </c>
      <c r="M580" s="14" t="s">
        <v>7195</v>
      </c>
      <c r="N580" s="14" t="s">
        <v>7196</v>
      </c>
      <c r="O580" s="14"/>
      <c r="P580" s="14" t="s">
        <v>7197</v>
      </c>
      <c r="Q580" s="14" t="s">
        <v>7198</v>
      </c>
      <c r="R580" s="14" t="s">
        <v>1565</v>
      </c>
      <c r="S580" s="20" t="s">
        <v>324</v>
      </c>
      <c r="T580" s="20" t="s">
        <v>324</v>
      </c>
      <c r="U580" s="14" t="s">
        <v>7199</v>
      </c>
      <c r="V580" s="14" t="s">
        <v>109</v>
      </c>
      <c r="W580" s="21" t="s">
        <v>429</v>
      </c>
      <c r="X580" s="14" t="s">
        <v>7200</v>
      </c>
      <c r="Y580" s="14" t="s">
        <v>1668</v>
      </c>
      <c r="Z580" s="14" t="s">
        <v>107</v>
      </c>
      <c r="AA580" s="14" t="s">
        <v>107</v>
      </c>
      <c r="AB580" s="14" t="s">
        <v>921</v>
      </c>
      <c r="AC580" s="14" t="s">
        <v>113</v>
      </c>
      <c r="AD580" s="14" t="s">
        <v>114</v>
      </c>
    </row>
    <row r="581" customFormat="false" ht="78" hidden="false" customHeight="true" outlineLevel="0" collapsed="false">
      <c r="A581" s="14" t="s">
        <v>7201</v>
      </c>
      <c r="B581" s="14" t="s">
        <v>45</v>
      </c>
      <c r="C581" s="14" t="s">
        <v>7202</v>
      </c>
      <c r="D581" s="14" t="s">
        <v>1539</v>
      </c>
      <c r="E581" s="14" t="s">
        <v>4939</v>
      </c>
      <c r="F581" s="15" t="s">
        <v>4940</v>
      </c>
      <c r="G581" s="14" t="s">
        <v>1600</v>
      </c>
      <c r="H581" s="14" t="s">
        <v>7203</v>
      </c>
      <c r="I581" s="14" t="s">
        <v>7204</v>
      </c>
      <c r="J581" s="14" t="s">
        <v>52</v>
      </c>
      <c r="K581" s="23" t="s">
        <v>5244</v>
      </c>
      <c r="L581" s="14" t="s">
        <v>7205</v>
      </c>
      <c r="M581" s="14" t="s">
        <v>7206</v>
      </c>
      <c r="N581" s="14" t="s">
        <v>7207</v>
      </c>
      <c r="O581" s="14"/>
      <c r="P581" s="14" t="s">
        <v>7208</v>
      </c>
      <c r="Q581" s="14" t="s">
        <v>7209</v>
      </c>
      <c r="R581" s="14" t="s">
        <v>1565</v>
      </c>
      <c r="S581" s="20" t="s">
        <v>324</v>
      </c>
      <c r="T581" s="20" t="s">
        <v>324</v>
      </c>
      <c r="U581" s="14" t="s">
        <v>7210</v>
      </c>
      <c r="V581" s="14" t="s">
        <v>109</v>
      </c>
      <c r="W581" s="18" t="s">
        <v>110</v>
      </c>
      <c r="X581" s="14" t="s">
        <v>7211</v>
      </c>
      <c r="Y581" s="14" t="s">
        <v>1668</v>
      </c>
      <c r="Z581" s="14" t="s">
        <v>107</v>
      </c>
      <c r="AA581" s="14" t="s">
        <v>107</v>
      </c>
      <c r="AB581" s="14" t="s">
        <v>921</v>
      </c>
      <c r="AC581" s="14" t="s">
        <v>113</v>
      </c>
      <c r="AD581" s="14" t="s">
        <v>114</v>
      </c>
    </row>
    <row r="582" customFormat="false" ht="78" hidden="false" customHeight="true" outlineLevel="0" collapsed="false">
      <c r="A582" s="14" t="s">
        <v>7212</v>
      </c>
      <c r="B582" s="14" t="s">
        <v>48</v>
      </c>
      <c r="C582" s="14" t="s">
        <v>7213</v>
      </c>
      <c r="D582" s="14" t="s">
        <v>1539</v>
      </c>
      <c r="E582" s="14" t="s">
        <v>1555</v>
      </c>
      <c r="F582" s="15" t="s">
        <v>1556</v>
      </c>
      <c r="G582" s="14" t="s">
        <v>1557</v>
      </c>
      <c r="H582" s="14" t="s">
        <v>7214</v>
      </c>
      <c r="I582" s="14" t="s">
        <v>7215</v>
      </c>
      <c r="J582" s="14" t="s">
        <v>551</v>
      </c>
      <c r="K582" s="23" t="s">
        <v>5244</v>
      </c>
      <c r="L582" s="14" t="s">
        <v>7216</v>
      </c>
      <c r="M582" s="14" t="s">
        <v>7217</v>
      </c>
      <c r="N582" s="14" t="s">
        <v>7218</v>
      </c>
      <c r="O582" s="14"/>
      <c r="P582" s="14" t="s">
        <v>7219</v>
      </c>
      <c r="Q582" s="14" t="s">
        <v>7220</v>
      </c>
      <c r="R582" s="14" t="s">
        <v>1565</v>
      </c>
      <c r="S582" s="20" t="s">
        <v>324</v>
      </c>
      <c r="T582" s="20" t="s">
        <v>324</v>
      </c>
      <c r="U582" s="14" t="s">
        <v>7221</v>
      </c>
      <c r="V582" s="14" t="s">
        <v>5377</v>
      </c>
      <c r="W582" s="21" t="s">
        <v>429</v>
      </c>
      <c r="X582" s="14" t="s">
        <v>7222</v>
      </c>
      <c r="Y582" s="14" t="s">
        <v>1668</v>
      </c>
      <c r="Z582" s="14" t="s">
        <v>107</v>
      </c>
      <c r="AA582" s="14" t="s">
        <v>107</v>
      </c>
      <c r="AB582" s="14" t="s">
        <v>559</v>
      </c>
      <c r="AC582" s="14" t="s">
        <v>560</v>
      </c>
      <c r="AD582" s="14" t="s">
        <v>561</v>
      </c>
    </row>
    <row r="583" customFormat="false" ht="78" hidden="false" customHeight="true" outlineLevel="0" collapsed="false">
      <c r="A583" s="14" t="s">
        <v>7223</v>
      </c>
      <c r="B583" s="14" t="s">
        <v>43</v>
      </c>
      <c r="C583" s="14" t="s">
        <v>7224</v>
      </c>
      <c r="D583" s="14" t="s">
        <v>1539</v>
      </c>
      <c r="E583" s="14" t="s">
        <v>1598</v>
      </c>
      <c r="F583" s="15" t="s">
        <v>1599</v>
      </c>
      <c r="G583" s="14" t="s">
        <v>1600</v>
      </c>
      <c r="H583" s="14" t="s">
        <v>7225</v>
      </c>
      <c r="I583" s="14" t="s">
        <v>7226</v>
      </c>
      <c r="J583" s="14" t="s">
        <v>55</v>
      </c>
      <c r="K583" s="23" t="s">
        <v>5244</v>
      </c>
      <c r="L583" s="14" t="s">
        <v>7227</v>
      </c>
      <c r="M583" s="14" t="s">
        <v>7228</v>
      </c>
      <c r="N583" s="14" t="s">
        <v>7229</v>
      </c>
      <c r="O583" s="14"/>
      <c r="P583" s="14" t="s">
        <v>7230</v>
      </c>
      <c r="Q583" s="14" t="s">
        <v>7231</v>
      </c>
      <c r="R583" s="14" t="s">
        <v>1565</v>
      </c>
      <c r="S583" s="20" t="s">
        <v>324</v>
      </c>
      <c r="T583" s="20" t="s">
        <v>324</v>
      </c>
      <c r="U583" s="14" t="s">
        <v>7232</v>
      </c>
      <c r="V583" s="14" t="s">
        <v>109</v>
      </c>
      <c r="W583" s="18" t="s">
        <v>110</v>
      </c>
      <c r="X583" s="14" t="s">
        <v>7233</v>
      </c>
      <c r="Y583" s="14" t="s">
        <v>1668</v>
      </c>
      <c r="Z583" s="14" t="s">
        <v>107</v>
      </c>
      <c r="AA583" s="14" t="s">
        <v>107</v>
      </c>
      <c r="AB583" s="14" t="s">
        <v>131</v>
      </c>
      <c r="AC583" s="14" t="s">
        <v>113</v>
      </c>
      <c r="AD583" s="14" t="s">
        <v>114</v>
      </c>
    </row>
    <row r="584" customFormat="false" ht="78" hidden="false" customHeight="true" outlineLevel="0" collapsed="false">
      <c r="A584" s="14" t="s">
        <v>7234</v>
      </c>
      <c r="B584" s="14" t="s">
        <v>44</v>
      </c>
      <c r="C584" s="14" t="s">
        <v>7235</v>
      </c>
      <c r="D584" s="14" t="s">
        <v>1612</v>
      </c>
      <c r="E584" s="14" t="s">
        <v>7236</v>
      </c>
      <c r="F584" s="15" t="s">
        <v>6393</v>
      </c>
      <c r="G584" s="14" t="s">
        <v>1586</v>
      </c>
      <c r="H584" s="14" t="s">
        <v>7237</v>
      </c>
      <c r="I584" s="14" t="s">
        <v>7238</v>
      </c>
      <c r="J584" s="14" t="s">
        <v>53</v>
      </c>
      <c r="K584" s="23" t="s">
        <v>5244</v>
      </c>
      <c r="L584" s="14" t="s">
        <v>7239</v>
      </c>
      <c r="M584" s="14" t="s">
        <v>7240</v>
      </c>
      <c r="N584" s="14" t="s">
        <v>7241</v>
      </c>
      <c r="O584" s="14"/>
      <c r="P584" s="14" t="s">
        <v>7242</v>
      </c>
      <c r="Q584" s="14" t="s">
        <v>7243</v>
      </c>
      <c r="R584" s="14" t="s">
        <v>7244</v>
      </c>
      <c r="S584" s="17" t="s">
        <v>107</v>
      </c>
      <c r="T584" s="20" t="s">
        <v>324</v>
      </c>
      <c r="U584" s="14" t="s">
        <v>7245</v>
      </c>
      <c r="V584" s="14" t="s">
        <v>109</v>
      </c>
      <c r="W584" s="18" t="s">
        <v>110</v>
      </c>
      <c r="X584" s="14" t="s">
        <v>7246</v>
      </c>
      <c r="Y584" s="14" t="s">
        <v>194</v>
      </c>
      <c r="Z584" s="14" t="s">
        <v>107</v>
      </c>
      <c r="AA584" s="14" t="s">
        <v>107</v>
      </c>
      <c r="AB584" s="14" t="s">
        <v>112</v>
      </c>
      <c r="AC584" s="14" t="s">
        <v>113</v>
      </c>
      <c r="AD584" s="14" t="s">
        <v>114</v>
      </c>
    </row>
    <row r="585" customFormat="false" ht="78" hidden="false" customHeight="true" outlineLevel="0" collapsed="false">
      <c r="A585" s="14" t="s">
        <v>7247</v>
      </c>
      <c r="B585" s="14" t="s">
        <v>44</v>
      </c>
      <c r="C585" s="14" t="s">
        <v>7248</v>
      </c>
      <c r="D585" s="14" t="s">
        <v>1612</v>
      </c>
      <c r="E585" s="14" t="s">
        <v>1640</v>
      </c>
      <c r="F585" s="15" t="s">
        <v>7249</v>
      </c>
      <c r="G585" s="14" t="s">
        <v>285</v>
      </c>
      <c r="H585" s="14" t="s">
        <v>7250</v>
      </c>
      <c r="I585" s="14" t="s">
        <v>7251</v>
      </c>
      <c r="J585" s="14" t="s">
        <v>55</v>
      </c>
      <c r="K585" s="23" t="s">
        <v>5244</v>
      </c>
      <c r="L585" s="14" t="s">
        <v>7252</v>
      </c>
      <c r="M585" s="14" t="s">
        <v>7253</v>
      </c>
      <c r="N585" s="14" t="s">
        <v>7254</v>
      </c>
      <c r="O585" s="14"/>
      <c r="P585" s="14" t="s">
        <v>7255</v>
      </c>
      <c r="Q585" s="14" t="s">
        <v>7256</v>
      </c>
      <c r="R585" s="14" t="s">
        <v>7257</v>
      </c>
      <c r="S585" s="20" t="s">
        <v>324</v>
      </c>
      <c r="T585" s="20" t="s">
        <v>324</v>
      </c>
      <c r="U585" s="14" t="s">
        <v>7258</v>
      </c>
      <c r="V585" s="14" t="s">
        <v>109</v>
      </c>
      <c r="W585" s="18" t="s">
        <v>110</v>
      </c>
      <c r="X585" s="14" t="s">
        <v>7259</v>
      </c>
      <c r="Y585" s="14" t="s">
        <v>1668</v>
      </c>
      <c r="Z585" s="14" t="s">
        <v>107</v>
      </c>
      <c r="AA585" s="14" t="s">
        <v>107</v>
      </c>
      <c r="AB585" s="14" t="s">
        <v>112</v>
      </c>
      <c r="AC585" s="14" t="s">
        <v>113</v>
      </c>
      <c r="AD585" s="14" t="s">
        <v>114</v>
      </c>
    </row>
    <row r="586" customFormat="false" ht="78" hidden="false" customHeight="true" outlineLevel="0" collapsed="false">
      <c r="A586" s="14" t="s">
        <v>7260</v>
      </c>
      <c r="B586" s="14" t="s">
        <v>44</v>
      </c>
      <c r="C586" s="14" t="s">
        <v>5181</v>
      </c>
      <c r="D586" s="14" t="s">
        <v>1612</v>
      </c>
      <c r="E586" s="14" t="s">
        <v>1640</v>
      </c>
      <c r="F586" s="15" t="s">
        <v>7249</v>
      </c>
      <c r="G586" s="14" t="s">
        <v>285</v>
      </c>
      <c r="H586" s="14" t="s">
        <v>5182</v>
      </c>
      <c r="I586" s="14" t="s">
        <v>7261</v>
      </c>
      <c r="J586" s="14" t="s">
        <v>56</v>
      </c>
      <c r="K586" s="23" t="s">
        <v>5244</v>
      </c>
      <c r="L586" s="14" t="s">
        <v>5184</v>
      </c>
      <c r="M586" s="14" t="s">
        <v>5185</v>
      </c>
      <c r="N586" s="14" t="s">
        <v>7262</v>
      </c>
      <c r="O586" s="14"/>
      <c r="P586" s="14" t="s">
        <v>7263</v>
      </c>
      <c r="Q586" s="14" t="s">
        <v>7264</v>
      </c>
      <c r="R586" s="14" t="s">
        <v>918</v>
      </c>
      <c r="S586" s="17" t="s">
        <v>107</v>
      </c>
      <c r="T586" s="20" t="s">
        <v>324</v>
      </c>
      <c r="U586" s="14" t="s">
        <v>7265</v>
      </c>
      <c r="V586" s="14" t="s">
        <v>109</v>
      </c>
      <c r="W586" s="21" t="s">
        <v>429</v>
      </c>
      <c r="X586" s="14" t="s">
        <v>7266</v>
      </c>
      <c r="Y586" s="14" t="s">
        <v>194</v>
      </c>
      <c r="Z586" s="14" t="s">
        <v>107</v>
      </c>
      <c r="AA586" s="14" t="s">
        <v>107</v>
      </c>
      <c r="AB586" s="14" t="s">
        <v>921</v>
      </c>
      <c r="AC586" s="14" t="s">
        <v>113</v>
      </c>
      <c r="AD586" s="14" t="s">
        <v>114</v>
      </c>
    </row>
    <row r="587" customFormat="false" ht="78" hidden="false" customHeight="true" outlineLevel="0" collapsed="false">
      <c r="A587" s="14" t="s">
        <v>7267</v>
      </c>
      <c r="B587" s="14" t="s">
        <v>44</v>
      </c>
      <c r="C587" s="14" t="s">
        <v>5181</v>
      </c>
      <c r="D587" s="14" t="s">
        <v>1612</v>
      </c>
      <c r="E587" s="14" t="s">
        <v>5125</v>
      </c>
      <c r="F587" s="15" t="s">
        <v>5126</v>
      </c>
      <c r="G587" s="14" t="s">
        <v>285</v>
      </c>
      <c r="H587" s="14" t="s">
        <v>5182</v>
      </c>
      <c r="I587" s="14" t="s">
        <v>7268</v>
      </c>
      <c r="J587" s="14" t="s">
        <v>56</v>
      </c>
      <c r="K587" s="23" t="s">
        <v>5244</v>
      </c>
      <c r="L587" s="14" t="s">
        <v>5184</v>
      </c>
      <c r="M587" s="14" t="s">
        <v>5185</v>
      </c>
      <c r="N587" s="14" t="s">
        <v>7269</v>
      </c>
      <c r="O587" s="14"/>
      <c r="P587" s="14" t="s">
        <v>7270</v>
      </c>
      <c r="Q587" s="14" t="s">
        <v>7271</v>
      </c>
      <c r="R587" s="14" t="s">
        <v>918</v>
      </c>
      <c r="S587" s="17" t="s">
        <v>107</v>
      </c>
      <c r="T587" s="20" t="s">
        <v>324</v>
      </c>
      <c r="U587" s="14" t="s">
        <v>7272</v>
      </c>
      <c r="V587" s="14" t="s">
        <v>109</v>
      </c>
      <c r="W587" s="21" t="s">
        <v>429</v>
      </c>
      <c r="X587" s="14" t="s">
        <v>7273</v>
      </c>
      <c r="Y587" s="14" t="s">
        <v>194</v>
      </c>
      <c r="Z587" s="14" t="s">
        <v>107</v>
      </c>
      <c r="AA587" s="14" t="s">
        <v>107</v>
      </c>
      <c r="AB587" s="14" t="s">
        <v>921</v>
      </c>
      <c r="AC587" s="14" t="s">
        <v>113</v>
      </c>
      <c r="AD587" s="14" t="s">
        <v>114</v>
      </c>
    </row>
    <row r="588" customFormat="false" ht="78" hidden="false" customHeight="true" outlineLevel="0" collapsed="false">
      <c r="A588" s="14" t="s">
        <v>7274</v>
      </c>
      <c r="B588" s="14" t="s">
        <v>47</v>
      </c>
      <c r="C588" s="14" t="s">
        <v>7275</v>
      </c>
      <c r="D588" s="14" t="s">
        <v>1612</v>
      </c>
      <c r="E588" s="14" t="s">
        <v>1612</v>
      </c>
      <c r="F588" s="15" t="s">
        <v>1768</v>
      </c>
      <c r="G588" s="14" t="s">
        <v>285</v>
      </c>
      <c r="H588" s="14" t="s">
        <v>7276</v>
      </c>
      <c r="I588" s="14" t="s">
        <v>7277</v>
      </c>
      <c r="J588" s="14" t="s">
        <v>1057</v>
      </c>
      <c r="K588" s="23" t="s">
        <v>5244</v>
      </c>
      <c r="L588" s="14" t="s">
        <v>7278</v>
      </c>
      <c r="M588" s="14" t="s">
        <v>7279</v>
      </c>
      <c r="N588" s="14" t="s">
        <v>7280</v>
      </c>
      <c r="O588" s="14"/>
      <c r="P588" s="14" t="s">
        <v>7281</v>
      </c>
      <c r="Q588" s="14" t="s">
        <v>7282</v>
      </c>
      <c r="R588" s="14" t="s">
        <v>1622</v>
      </c>
      <c r="S588" s="20" t="s">
        <v>324</v>
      </c>
      <c r="T588" s="20" t="s">
        <v>324</v>
      </c>
      <c r="U588" s="14" t="s">
        <v>7283</v>
      </c>
      <c r="V588" s="14" t="s">
        <v>109</v>
      </c>
      <c r="W588" s="18" t="s">
        <v>110</v>
      </c>
      <c r="X588" s="14" t="s">
        <v>7284</v>
      </c>
      <c r="Y588" s="14" t="s">
        <v>5244</v>
      </c>
      <c r="Z588" s="14" t="s">
        <v>107</v>
      </c>
      <c r="AA588" s="14" t="s">
        <v>107</v>
      </c>
      <c r="AB588" s="14" t="s">
        <v>921</v>
      </c>
      <c r="AC588" s="14" t="s">
        <v>113</v>
      </c>
      <c r="AD588" s="14" t="s">
        <v>114</v>
      </c>
    </row>
    <row r="589" customFormat="false" ht="78" hidden="false" customHeight="true" outlineLevel="0" collapsed="false">
      <c r="A589" s="14" t="s">
        <v>7285</v>
      </c>
      <c r="B589" s="14" t="s">
        <v>45</v>
      </c>
      <c r="C589" s="14" t="s">
        <v>7286</v>
      </c>
      <c r="D589" s="14" t="s">
        <v>1612</v>
      </c>
      <c r="E589" s="14" t="s">
        <v>7287</v>
      </c>
      <c r="F589" s="15" t="s">
        <v>7288</v>
      </c>
      <c r="G589" s="14" t="s">
        <v>285</v>
      </c>
      <c r="H589" s="14" t="s">
        <v>7289</v>
      </c>
      <c r="I589" s="14" t="s">
        <v>7290</v>
      </c>
      <c r="J589" s="14" t="s">
        <v>536</v>
      </c>
      <c r="K589" s="23" t="s">
        <v>5244</v>
      </c>
      <c r="L589" s="14" t="s">
        <v>7291</v>
      </c>
      <c r="M589" s="14" t="s">
        <v>7292</v>
      </c>
      <c r="N589" s="14" t="s">
        <v>7293</v>
      </c>
      <c r="O589" s="14"/>
      <c r="P589" s="14" t="s">
        <v>7294</v>
      </c>
      <c r="Q589" s="14" t="s">
        <v>7295</v>
      </c>
      <c r="R589" s="14" t="s">
        <v>1622</v>
      </c>
      <c r="S589" s="20" t="s">
        <v>324</v>
      </c>
      <c r="T589" s="20" t="s">
        <v>324</v>
      </c>
      <c r="U589" s="14" t="s">
        <v>7296</v>
      </c>
      <c r="V589" s="14" t="s">
        <v>109</v>
      </c>
      <c r="W589" s="18" t="s">
        <v>110</v>
      </c>
      <c r="X589" s="14" t="s">
        <v>7297</v>
      </c>
      <c r="Y589" s="14" t="s">
        <v>1668</v>
      </c>
      <c r="Z589" s="14" t="s">
        <v>107</v>
      </c>
      <c r="AA589" s="14" t="s">
        <v>107</v>
      </c>
      <c r="AB589" s="14" t="s">
        <v>921</v>
      </c>
      <c r="AC589" s="14" t="s">
        <v>113</v>
      </c>
      <c r="AD589" s="14" t="s">
        <v>114</v>
      </c>
    </row>
    <row r="590" customFormat="false" ht="78" hidden="false" customHeight="true" outlineLevel="0" collapsed="false">
      <c r="A590" s="14" t="s">
        <v>7298</v>
      </c>
      <c r="B590" s="14" t="s">
        <v>48</v>
      </c>
      <c r="C590" s="14" t="s">
        <v>7299</v>
      </c>
      <c r="D590" s="14" t="s">
        <v>1612</v>
      </c>
      <c r="E590" s="14" t="s">
        <v>1612</v>
      </c>
      <c r="F590" s="15" t="s">
        <v>1768</v>
      </c>
      <c r="G590" s="14" t="s">
        <v>285</v>
      </c>
      <c r="H590" s="14" t="s">
        <v>7300</v>
      </c>
      <c r="I590" s="14" t="s">
        <v>7301</v>
      </c>
      <c r="J590" s="14" t="s">
        <v>551</v>
      </c>
      <c r="K590" s="23" t="s">
        <v>5244</v>
      </c>
      <c r="L590" s="14" t="s">
        <v>7302</v>
      </c>
      <c r="M590" s="14" t="s">
        <v>7303</v>
      </c>
      <c r="N590" s="14" t="s">
        <v>7304</v>
      </c>
      <c r="O590" s="14"/>
      <c r="P590" s="14" t="s">
        <v>7305</v>
      </c>
      <c r="Q590" s="14" t="s">
        <v>7306</v>
      </c>
      <c r="R590" s="14" t="s">
        <v>1622</v>
      </c>
      <c r="S590" s="17" t="s">
        <v>107</v>
      </c>
      <c r="T590" s="20" t="s">
        <v>324</v>
      </c>
      <c r="U590" s="14" t="s">
        <v>7307</v>
      </c>
      <c r="V590" s="14" t="s">
        <v>5377</v>
      </c>
      <c r="W590" s="21" t="s">
        <v>429</v>
      </c>
      <c r="X590" s="14" t="s">
        <v>7308</v>
      </c>
      <c r="Y590" s="14" t="s">
        <v>194</v>
      </c>
      <c r="Z590" s="14" t="s">
        <v>107</v>
      </c>
      <c r="AA590" s="14" t="s">
        <v>107</v>
      </c>
      <c r="AB590" s="14" t="s">
        <v>559</v>
      </c>
      <c r="AC590" s="14" t="s">
        <v>560</v>
      </c>
      <c r="AD590" s="14" t="s">
        <v>561</v>
      </c>
    </row>
    <row r="591" customFormat="false" ht="78" hidden="false" customHeight="true" outlineLevel="0" collapsed="false">
      <c r="A591" s="14" t="s">
        <v>7309</v>
      </c>
      <c r="B591" s="14" t="s">
        <v>43</v>
      </c>
      <c r="C591" s="14" t="s">
        <v>7310</v>
      </c>
      <c r="D591" s="14" t="s">
        <v>1612</v>
      </c>
      <c r="E591" s="14" t="s">
        <v>5138</v>
      </c>
      <c r="F591" s="15" t="s">
        <v>1793</v>
      </c>
      <c r="G591" s="14" t="s">
        <v>285</v>
      </c>
      <c r="H591" s="14" t="s">
        <v>7311</v>
      </c>
      <c r="I591" s="14" t="s">
        <v>7312</v>
      </c>
      <c r="J591" s="14" t="s">
        <v>50</v>
      </c>
      <c r="K591" s="23" t="s">
        <v>5244</v>
      </c>
      <c r="L591" s="14" t="s">
        <v>7313</v>
      </c>
      <c r="M591" s="14" t="s">
        <v>7314</v>
      </c>
      <c r="N591" s="14" t="s">
        <v>7315</v>
      </c>
      <c r="O591" s="14"/>
      <c r="P591" s="14" t="s">
        <v>7316</v>
      </c>
      <c r="Q591" s="14" t="s">
        <v>7317</v>
      </c>
      <c r="R591" s="14" t="s">
        <v>1622</v>
      </c>
      <c r="S591" s="20" t="s">
        <v>324</v>
      </c>
      <c r="T591" s="20" t="s">
        <v>324</v>
      </c>
      <c r="U591" s="14" t="s">
        <v>7318</v>
      </c>
      <c r="V591" s="14" t="s">
        <v>109</v>
      </c>
      <c r="W591" s="18" t="s">
        <v>110</v>
      </c>
      <c r="X591" s="14" t="s">
        <v>7319</v>
      </c>
      <c r="Y591" s="14" t="s">
        <v>1668</v>
      </c>
      <c r="Z591" s="14" t="s">
        <v>107</v>
      </c>
      <c r="AA591" s="14" t="s">
        <v>107</v>
      </c>
      <c r="AB591" s="14" t="s">
        <v>131</v>
      </c>
      <c r="AC591" s="14" t="s">
        <v>113</v>
      </c>
      <c r="AD591" s="14" t="s">
        <v>114</v>
      </c>
    </row>
    <row r="592" customFormat="false" ht="78" hidden="false" customHeight="true" outlineLevel="0" collapsed="false">
      <c r="A592" s="14" t="s">
        <v>7320</v>
      </c>
      <c r="B592" s="14" t="s">
        <v>46</v>
      </c>
      <c r="C592" s="14" t="s">
        <v>7321</v>
      </c>
      <c r="D592" s="14" t="s">
        <v>282</v>
      </c>
      <c r="E592" s="14" t="s">
        <v>7322</v>
      </c>
      <c r="F592" s="14"/>
      <c r="G592" s="14" t="s">
        <v>168</v>
      </c>
      <c r="H592" s="14" t="s">
        <v>7323</v>
      </c>
      <c r="I592" s="14" t="s">
        <v>7324</v>
      </c>
      <c r="J592" s="14" t="s">
        <v>51</v>
      </c>
      <c r="K592" s="23" t="s">
        <v>5244</v>
      </c>
      <c r="L592" s="14" t="s">
        <v>7325</v>
      </c>
      <c r="M592" s="14" t="s">
        <v>7326</v>
      </c>
      <c r="N592" s="14" t="s">
        <v>7327</v>
      </c>
      <c r="O592" s="14"/>
      <c r="P592" s="14" t="s">
        <v>7328</v>
      </c>
      <c r="Q592" s="14" t="s">
        <v>7329</v>
      </c>
      <c r="R592" s="14" t="s">
        <v>957</v>
      </c>
      <c r="S592" s="17" t="s">
        <v>107</v>
      </c>
      <c r="T592" s="17" t="s">
        <v>107</v>
      </c>
      <c r="U592" s="14" t="s">
        <v>7330</v>
      </c>
      <c r="V592" s="14" t="s">
        <v>109</v>
      </c>
      <c r="W592" s="18" t="s">
        <v>110</v>
      </c>
      <c r="X592" s="14" t="s">
        <v>7331</v>
      </c>
      <c r="Y592" s="14" t="s">
        <v>194</v>
      </c>
      <c r="Z592" s="14" t="s">
        <v>107</v>
      </c>
      <c r="AA592" s="14" t="s">
        <v>107</v>
      </c>
      <c r="AB592" s="14" t="s">
        <v>147</v>
      </c>
      <c r="AC592" s="14" t="s">
        <v>113</v>
      </c>
      <c r="AD592" s="14" t="s">
        <v>114</v>
      </c>
    </row>
    <row r="593" customFormat="false" ht="78" hidden="false" customHeight="true" outlineLevel="0" collapsed="false">
      <c r="A593" s="14" t="s">
        <v>7332</v>
      </c>
      <c r="B593" s="14" t="s">
        <v>46</v>
      </c>
      <c r="C593" s="14" t="s">
        <v>7333</v>
      </c>
      <c r="D593" s="14" t="s">
        <v>282</v>
      </c>
      <c r="E593" s="14" t="s">
        <v>7334</v>
      </c>
      <c r="F593" s="15" t="s">
        <v>7335</v>
      </c>
      <c r="G593" s="14" t="s">
        <v>285</v>
      </c>
      <c r="H593" s="14" t="s">
        <v>7336</v>
      </c>
      <c r="I593" s="14" t="s">
        <v>7337</v>
      </c>
      <c r="J593" s="14" t="s">
        <v>51</v>
      </c>
      <c r="K593" s="23" t="s">
        <v>5244</v>
      </c>
      <c r="L593" s="14" t="s">
        <v>7338</v>
      </c>
      <c r="M593" s="14" t="s">
        <v>7339</v>
      </c>
      <c r="N593" s="14" t="s">
        <v>7340</v>
      </c>
      <c r="O593" s="14"/>
      <c r="P593" s="14" t="s">
        <v>7341</v>
      </c>
      <c r="Q593" s="14" t="s">
        <v>7342</v>
      </c>
      <c r="R593" s="14" t="s">
        <v>7343</v>
      </c>
      <c r="S593" s="17" t="s">
        <v>107</v>
      </c>
      <c r="T593" s="20" t="s">
        <v>324</v>
      </c>
      <c r="U593" s="14" t="s">
        <v>7344</v>
      </c>
      <c r="V593" s="14" t="s">
        <v>109</v>
      </c>
      <c r="W593" s="21" t="s">
        <v>429</v>
      </c>
      <c r="X593" s="14" t="s">
        <v>7345</v>
      </c>
      <c r="Y593" s="14" t="s">
        <v>194</v>
      </c>
      <c r="Z593" s="14" t="s">
        <v>946</v>
      </c>
      <c r="AA593" s="14" t="s">
        <v>107</v>
      </c>
      <c r="AB593" s="14" t="s">
        <v>147</v>
      </c>
      <c r="AC593" s="14" t="s">
        <v>113</v>
      </c>
      <c r="AD593" s="14" t="s">
        <v>114</v>
      </c>
    </row>
    <row r="594" customFormat="false" ht="78" hidden="false" customHeight="true" outlineLevel="0" collapsed="false">
      <c r="A594" s="14" t="s">
        <v>7346</v>
      </c>
      <c r="B594" s="14" t="s">
        <v>45</v>
      </c>
      <c r="C594" s="14" t="s">
        <v>7347</v>
      </c>
      <c r="D594" s="14" t="s">
        <v>282</v>
      </c>
      <c r="E594" s="14" t="s">
        <v>7348</v>
      </c>
      <c r="F594" s="15" t="s">
        <v>7349</v>
      </c>
      <c r="G594" s="14" t="s">
        <v>285</v>
      </c>
      <c r="H594" s="14" t="s">
        <v>7350</v>
      </c>
      <c r="I594" s="14" t="s">
        <v>7351</v>
      </c>
      <c r="J594" s="14" t="s">
        <v>536</v>
      </c>
      <c r="K594" s="23" t="s">
        <v>5244</v>
      </c>
      <c r="L594" s="14" t="s">
        <v>7352</v>
      </c>
      <c r="M594" s="14" t="s">
        <v>7353</v>
      </c>
      <c r="N594" s="14" t="s">
        <v>7354</v>
      </c>
      <c r="O594" s="14"/>
      <c r="P594" s="14" t="s">
        <v>7355</v>
      </c>
      <c r="Q594" s="14" t="s">
        <v>7356</v>
      </c>
      <c r="R594" s="14" t="s">
        <v>293</v>
      </c>
      <c r="S594" s="20" t="s">
        <v>324</v>
      </c>
      <c r="T594" s="20" t="s">
        <v>324</v>
      </c>
      <c r="U594" s="14" t="s">
        <v>7357</v>
      </c>
      <c r="V594" s="14" t="s">
        <v>109</v>
      </c>
      <c r="W594" s="18" t="s">
        <v>110</v>
      </c>
      <c r="X594" s="14" t="s">
        <v>7358</v>
      </c>
      <c r="Y594" s="14" t="s">
        <v>1668</v>
      </c>
      <c r="Z594" s="14" t="s">
        <v>107</v>
      </c>
      <c r="AA594" s="14" t="s">
        <v>107</v>
      </c>
      <c r="AB594" s="14" t="s">
        <v>921</v>
      </c>
      <c r="AC594" s="14" t="s">
        <v>113</v>
      </c>
      <c r="AD594" s="14" t="s">
        <v>114</v>
      </c>
    </row>
    <row r="595" customFormat="false" ht="78" hidden="false" customHeight="true" outlineLevel="0" collapsed="false">
      <c r="A595" s="14" t="s">
        <v>7359</v>
      </c>
      <c r="B595" s="14" t="s">
        <v>45</v>
      </c>
      <c r="C595" s="14" t="s">
        <v>7360</v>
      </c>
      <c r="D595" s="14" t="s">
        <v>36</v>
      </c>
      <c r="E595" s="14" t="s">
        <v>7361</v>
      </c>
      <c r="F595" s="15" t="s">
        <v>4566</v>
      </c>
      <c r="G595" s="14" t="s">
        <v>533</v>
      </c>
      <c r="H595" s="14" t="s">
        <v>7362</v>
      </c>
      <c r="I595" s="14" t="s">
        <v>7363</v>
      </c>
      <c r="J595" s="14" t="s">
        <v>56</v>
      </c>
      <c r="K595" s="24" t="s">
        <v>7364</v>
      </c>
      <c r="L595" s="14" t="s">
        <v>7365</v>
      </c>
      <c r="M595" s="14" t="s">
        <v>7366</v>
      </c>
      <c r="N595" s="14" t="s">
        <v>7367</v>
      </c>
      <c r="O595" s="14"/>
      <c r="P595" s="14" t="s">
        <v>7368</v>
      </c>
      <c r="Q595" s="14" t="s">
        <v>7369</v>
      </c>
      <c r="R595" s="14" t="s">
        <v>3966</v>
      </c>
      <c r="S595" s="20" t="s">
        <v>324</v>
      </c>
      <c r="T595" s="17" t="s">
        <v>107</v>
      </c>
      <c r="U595" s="14" t="s">
        <v>7370</v>
      </c>
      <c r="V595" s="14" t="s">
        <v>109</v>
      </c>
      <c r="W595" s="18" t="s">
        <v>110</v>
      </c>
      <c r="X595" s="14" t="s">
        <v>7371</v>
      </c>
      <c r="Y595" s="14" t="s">
        <v>1668</v>
      </c>
      <c r="Z595" s="14" t="s">
        <v>107</v>
      </c>
      <c r="AA595" s="14" t="s">
        <v>107</v>
      </c>
      <c r="AB595" s="14" t="s">
        <v>921</v>
      </c>
      <c r="AC595" s="14" t="s">
        <v>1314</v>
      </c>
      <c r="AD595" s="14" t="s">
        <v>1315</v>
      </c>
    </row>
    <row r="596" customFormat="false" ht="78" hidden="false" customHeight="true" outlineLevel="0" collapsed="false">
      <c r="A596" s="14" t="s">
        <v>7372</v>
      </c>
      <c r="B596" s="14" t="s">
        <v>47</v>
      </c>
      <c r="C596" s="14" t="s">
        <v>7373</v>
      </c>
      <c r="D596" s="14" t="s">
        <v>36</v>
      </c>
      <c r="E596" s="14" t="s">
        <v>4330</v>
      </c>
      <c r="F596" s="15" t="s">
        <v>119</v>
      </c>
      <c r="G596" s="14" t="s">
        <v>240</v>
      </c>
      <c r="H596" s="14" t="s">
        <v>7374</v>
      </c>
      <c r="I596" s="14" t="s">
        <v>7375</v>
      </c>
      <c r="J596" s="14" t="s">
        <v>52</v>
      </c>
      <c r="K596" s="24" t="s">
        <v>7364</v>
      </c>
      <c r="L596" s="14" t="s">
        <v>7376</v>
      </c>
      <c r="M596" s="14" t="s">
        <v>7377</v>
      </c>
      <c r="N596" s="14" t="s">
        <v>7378</v>
      </c>
      <c r="O596" s="14"/>
      <c r="P596" s="14" t="s">
        <v>7379</v>
      </c>
      <c r="Q596" s="14" t="s">
        <v>7380</v>
      </c>
      <c r="R596" s="14" t="s">
        <v>6955</v>
      </c>
      <c r="S596" s="20" t="s">
        <v>324</v>
      </c>
      <c r="T596" s="17" t="s">
        <v>107</v>
      </c>
      <c r="U596" s="14" t="s">
        <v>7381</v>
      </c>
      <c r="V596" s="14" t="s">
        <v>109</v>
      </c>
      <c r="W596" s="18" t="s">
        <v>110</v>
      </c>
      <c r="X596" s="14" t="s">
        <v>7382</v>
      </c>
      <c r="Y596" s="14" t="s">
        <v>7364</v>
      </c>
      <c r="Z596" s="14" t="s">
        <v>107</v>
      </c>
      <c r="AA596" s="14" t="s">
        <v>107</v>
      </c>
      <c r="AB596" s="14" t="s">
        <v>2204</v>
      </c>
      <c r="AC596" s="14" t="s">
        <v>113</v>
      </c>
      <c r="AD596" s="14" t="s">
        <v>114</v>
      </c>
    </row>
    <row r="597" customFormat="false" ht="78" hidden="false" customHeight="true" outlineLevel="0" collapsed="false">
      <c r="A597" s="14" t="s">
        <v>7383</v>
      </c>
      <c r="B597" s="14" t="s">
        <v>47</v>
      </c>
      <c r="C597" s="14" t="s">
        <v>7384</v>
      </c>
      <c r="D597" s="14" t="s">
        <v>36</v>
      </c>
      <c r="E597" s="14" t="s">
        <v>7385</v>
      </c>
      <c r="F597" s="15" t="s">
        <v>6935</v>
      </c>
      <c r="G597" s="14" t="s">
        <v>1304</v>
      </c>
      <c r="H597" s="14" t="s">
        <v>7386</v>
      </c>
      <c r="I597" s="14" t="s">
        <v>7387</v>
      </c>
      <c r="J597" s="14" t="s">
        <v>52</v>
      </c>
      <c r="K597" s="24" t="s">
        <v>7364</v>
      </c>
      <c r="L597" s="14" t="s">
        <v>7388</v>
      </c>
      <c r="M597" s="14" t="s">
        <v>7389</v>
      </c>
      <c r="N597" s="14" t="s">
        <v>7390</v>
      </c>
      <c r="O597" s="14"/>
      <c r="P597" s="14" t="s">
        <v>7391</v>
      </c>
      <c r="Q597" s="14" t="s">
        <v>7392</v>
      </c>
      <c r="R597" s="14" t="s">
        <v>6955</v>
      </c>
      <c r="S597" s="20" t="s">
        <v>324</v>
      </c>
      <c r="T597" s="17" t="s">
        <v>107</v>
      </c>
      <c r="U597" s="14" t="s">
        <v>7393</v>
      </c>
      <c r="V597" s="14" t="s">
        <v>109</v>
      </c>
      <c r="W597" s="18" t="s">
        <v>110</v>
      </c>
      <c r="X597" s="14" t="s">
        <v>7394</v>
      </c>
      <c r="Y597" s="14" t="s">
        <v>7364</v>
      </c>
      <c r="Z597" s="14" t="s">
        <v>107</v>
      </c>
      <c r="AA597" s="14" t="s">
        <v>107</v>
      </c>
      <c r="AB597" s="14" t="s">
        <v>2204</v>
      </c>
      <c r="AC597" s="14" t="s">
        <v>113</v>
      </c>
      <c r="AD597" s="14" t="s">
        <v>114</v>
      </c>
    </row>
    <row r="598" customFormat="false" ht="78" hidden="false" customHeight="true" outlineLevel="0" collapsed="false">
      <c r="A598" s="14" t="s">
        <v>7395</v>
      </c>
      <c r="B598" s="14" t="s">
        <v>43</v>
      </c>
      <c r="C598" s="14" t="s">
        <v>7396</v>
      </c>
      <c r="D598" s="14" t="s">
        <v>36</v>
      </c>
      <c r="E598" s="14" t="s">
        <v>4330</v>
      </c>
      <c r="F598" s="15" t="s">
        <v>119</v>
      </c>
      <c r="G598" s="14" t="s">
        <v>240</v>
      </c>
      <c r="H598" s="14" t="s">
        <v>7397</v>
      </c>
      <c r="I598" s="14" t="s">
        <v>7398</v>
      </c>
      <c r="J598" s="14" t="s">
        <v>1269</v>
      </c>
      <c r="K598" s="24" t="s">
        <v>7364</v>
      </c>
      <c r="L598" s="14" t="s">
        <v>7399</v>
      </c>
      <c r="M598" s="14" t="s">
        <v>7400</v>
      </c>
      <c r="N598" s="14" t="s">
        <v>7401</v>
      </c>
      <c r="O598" s="14"/>
      <c r="P598" s="14" t="s">
        <v>7402</v>
      </c>
      <c r="Q598" s="14" t="s">
        <v>7403</v>
      </c>
      <c r="R598" s="14" t="s">
        <v>248</v>
      </c>
      <c r="S598" s="20" t="s">
        <v>324</v>
      </c>
      <c r="T598" s="20" t="s">
        <v>324</v>
      </c>
      <c r="U598" s="14" t="s">
        <v>7404</v>
      </c>
      <c r="V598" s="14" t="s">
        <v>109</v>
      </c>
      <c r="W598" s="21" t="s">
        <v>429</v>
      </c>
      <c r="X598" s="14" t="s">
        <v>7405</v>
      </c>
      <c r="Y598" s="14" t="s">
        <v>1668</v>
      </c>
      <c r="Z598" s="14" t="s">
        <v>107</v>
      </c>
      <c r="AA598" s="14" t="s">
        <v>107</v>
      </c>
      <c r="AB598" s="14" t="s">
        <v>131</v>
      </c>
      <c r="AC598" s="14" t="s">
        <v>113</v>
      </c>
      <c r="AD598" s="14" t="s">
        <v>114</v>
      </c>
    </row>
    <row r="599" customFormat="false" ht="78" hidden="false" customHeight="true" outlineLevel="0" collapsed="false">
      <c r="A599" s="14" t="s">
        <v>7406</v>
      </c>
      <c r="B599" s="14" t="s">
        <v>45</v>
      </c>
      <c r="C599" s="14" t="s">
        <v>7360</v>
      </c>
      <c r="D599" s="14" t="s">
        <v>1451</v>
      </c>
      <c r="E599" s="14" t="s">
        <v>7407</v>
      </c>
      <c r="F599" s="15" t="s">
        <v>4050</v>
      </c>
      <c r="G599" s="14" t="s">
        <v>533</v>
      </c>
      <c r="H599" s="14" t="s">
        <v>7362</v>
      </c>
      <c r="I599" s="14" t="s">
        <v>7408</v>
      </c>
      <c r="J599" s="14" t="s">
        <v>56</v>
      </c>
      <c r="K599" s="24" t="s">
        <v>7364</v>
      </c>
      <c r="L599" s="14" t="s">
        <v>7409</v>
      </c>
      <c r="M599" s="14" t="s">
        <v>7410</v>
      </c>
      <c r="N599" s="14" t="s">
        <v>7411</v>
      </c>
      <c r="O599" s="14"/>
      <c r="P599" s="14" t="s">
        <v>7412</v>
      </c>
      <c r="Q599" s="14" t="s">
        <v>7413</v>
      </c>
      <c r="R599" s="14" t="s">
        <v>3966</v>
      </c>
      <c r="S599" s="20" t="s">
        <v>324</v>
      </c>
      <c r="T599" s="17" t="s">
        <v>107</v>
      </c>
      <c r="U599" s="14" t="s">
        <v>7414</v>
      </c>
      <c r="V599" s="14" t="s">
        <v>109</v>
      </c>
      <c r="W599" s="18" t="s">
        <v>110</v>
      </c>
      <c r="X599" s="14" t="s">
        <v>7415</v>
      </c>
      <c r="Y599" s="14" t="s">
        <v>1668</v>
      </c>
      <c r="Z599" s="14" t="s">
        <v>107</v>
      </c>
      <c r="AA599" s="14" t="s">
        <v>107</v>
      </c>
      <c r="AB599" s="14" t="s">
        <v>921</v>
      </c>
      <c r="AC599" s="14" t="s">
        <v>1314</v>
      </c>
      <c r="AD599" s="14" t="s">
        <v>1315</v>
      </c>
    </row>
  </sheetData>
  <autoFilter ref="A4:AD599"/>
  <mergeCells count="2">
    <mergeCell ref="A1:AD1"/>
    <mergeCell ref="A2:A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4"/>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2"/>
    <col collapsed="false" customWidth="true" hidden="false" outlineLevel="0" max="3" min="3" style="0" width="9"/>
    <col collapsed="false" customWidth="true" hidden="false" outlineLevel="0" max="4" min="4" style="0" width="24"/>
    <col collapsed="false" customWidth="true" hidden="false" outlineLevel="0" max="5" min="5" style="0" width="28"/>
    <col collapsed="false" customWidth="true" hidden="false" outlineLevel="0" max="6" min="6" style="0" width="66"/>
    <col collapsed="false" customWidth="true" hidden="false" outlineLevel="0" max="7" min="7" style="0" width="74"/>
    <col collapsed="false" customWidth="true" hidden="false" outlineLevel="0" max="8" min="8" style="0" width="40"/>
    <col collapsed="false" customWidth="true" hidden="false" outlineLevel="0" max="9" min="9" style="0" width="52"/>
    <col collapsed="false" customWidth="true" hidden="false" outlineLevel="0" max="10" min="10" style="0" width="26"/>
  </cols>
  <sheetData>
    <row r="1" customFormat="false" ht="24" hidden="false" customHeight="true" outlineLevel="0" collapsed="false">
      <c r="A1" s="1" t="s">
        <v>7416</v>
      </c>
      <c r="B1" s="1"/>
      <c r="C1" s="1"/>
      <c r="D1" s="1"/>
      <c r="E1" s="1"/>
      <c r="F1" s="1"/>
      <c r="G1" s="1"/>
      <c r="H1" s="1"/>
      <c r="I1" s="1"/>
      <c r="J1" s="1"/>
    </row>
    <row r="2" customFormat="false" ht="15.75" hidden="false" customHeight="true" outlineLevel="0" collapsed="false">
      <c r="A2" s="2" t="s">
        <v>1</v>
      </c>
      <c r="B2" s="2"/>
      <c r="C2" s="2"/>
      <c r="D2" s="2"/>
      <c r="E2" s="2"/>
      <c r="F2" s="2"/>
      <c r="G2" s="2"/>
      <c r="H2" s="2"/>
      <c r="I2" s="2"/>
      <c r="J2" s="2"/>
    </row>
    <row r="4" customFormat="false" ht="33.75" hidden="false" customHeight="true" outlineLevel="0" collapsed="false">
      <c r="A4" s="13" t="s">
        <v>7417</v>
      </c>
      <c r="B4" s="13" t="s">
        <v>61</v>
      </c>
      <c r="C4" s="13" t="s">
        <v>71</v>
      </c>
      <c r="D4" s="13" t="s">
        <v>64</v>
      </c>
      <c r="E4" s="13" t="s">
        <v>7418</v>
      </c>
      <c r="F4" s="13" t="s">
        <v>7419</v>
      </c>
      <c r="G4" s="13" t="s">
        <v>7420</v>
      </c>
      <c r="H4" s="13" t="s">
        <v>7421</v>
      </c>
      <c r="I4" s="13" t="s">
        <v>81</v>
      </c>
      <c r="J4" s="13" t="s">
        <v>7422</v>
      </c>
    </row>
    <row r="5" customFormat="false" ht="53.7" hidden="false" customHeight="false" outlineLevel="0" collapsed="false">
      <c r="A5" s="14" t="n">
        <v>1</v>
      </c>
      <c r="B5" s="14" t="s">
        <v>210</v>
      </c>
      <c r="C5" s="14" t="s">
        <v>100</v>
      </c>
      <c r="D5" s="14" t="s">
        <v>30</v>
      </c>
      <c r="E5" s="14" t="s">
        <v>212</v>
      </c>
      <c r="F5" s="20" t="s">
        <v>7423</v>
      </c>
      <c r="G5" s="20" t="s">
        <v>219</v>
      </c>
      <c r="H5" s="20" t="s">
        <v>217</v>
      </c>
      <c r="I5" s="20" t="s">
        <v>221</v>
      </c>
      <c r="J5" s="20" t="s">
        <v>220</v>
      </c>
    </row>
    <row r="6" customFormat="false" ht="53.7" hidden="false" customHeight="false" outlineLevel="0" collapsed="false">
      <c r="A6" s="14" t="n">
        <v>2</v>
      </c>
      <c r="B6" s="14" t="s">
        <v>238</v>
      </c>
      <c r="C6" s="14" t="s">
        <v>100</v>
      </c>
      <c r="D6" s="14" t="s">
        <v>36</v>
      </c>
      <c r="E6" s="14" t="s">
        <v>118</v>
      </c>
      <c r="F6" s="20" t="s">
        <v>242</v>
      </c>
      <c r="G6" s="20" t="s">
        <v>247</v>
      </c>
      <c r="H6" s="20" t="s">
        <v>7424</v>
      </c>
      <c r="I6" s="20" t="s">
        <v>249</v>
      </c>
      <c r="J6" s="20" t="s">
        <v>248</v>
      </c>
    </row>
    <row r="7" customFormat="false" ht="64.15" hidden="false" customHeight="false" outlineLevel="0" collapsed="false">
      <c r="A7" s="14" t="n">
        <v>3</v>
      </c>
      <c r="B7" s="14" t="s">
        <v>266</v>
      </c>
      <c r="C7" s="14" t="s">
        <v>100</v>
      </c>
      <c r="D7" s="14" t="s">
        <v>252</v>
      </c>
      <c r="E7" s="14" t="s">
        <v>268</v>
      </c>
      <c r="F7" s="20" t="s">
        <v>272</v>
      </c>
      <c r="G7" s="20" t="s">
        <v>277</v>
      </c>
      <c r="H7" s="20" t="s">
        <v>7425</v>
      </c>
      <c r="I7" s="20" t="s">
        <v>278</v>
      </c>
      <c r="J7" s="20" t="s">
        <v>263</v>
      </c>
    </row>
    <row r="8" customFormat="false" ht="53.7" hidden="false" customHeight="false" outlineLevel="0" collapsed="false">
      <c r="A8" s="14" t="n">
        <v>4</v>
      </c>
      <c r="B8" s="14" t="s">
        <v>164</v>
      </c>
      <c r="C8" s="14" t="s">
        <v>100</v>
      </c>
      <c r="D8" s="14" t="s">
        <v>30</v>
      </c>
      <c r="E8" s="14" t="s">
        <v>166</v>
      </c>
      <c r="F8" s="20" t="s">
        <v>7426</v>
      </c>
      <c r="G8" s="20" t="s">
        <v>175</v>
      </c>
      <c r="H8" s="20" t="s">
        <v>173</v>
      </c>
      <c r="I8" s="20" t="s">
        <v>177</v>
      </c>
      <c r="J8" s="20" t="s">
        <v>176</v>
      </c>
    </row>
    <row r="9" customFormat="false" ht="53.7" hidden="false" customHeight="false" outlineLevel="0" collapsed="false">
      <c r="A9" s="14" t="n">
        <v>5</v>
      </c>
      <c r="B9" s="14" t="s">
        <v>179</v>
      </c>
      <c r="C9" s="14" t="s">
        <v>100</v>
      </c>
      <c r="D9" s="14" t="s">
        <v>30</v>
      </c>
      <c r="E9" s="14" t="s">
        <v>181</v>
      </c>
      <c r="F9" s="20" t="s">
        <v>7427</v>
      </c>
      <c r="G9" s="20" t="s">
        <v>190</v>
      </c>
      <c r="H9" s="20" t="s">
        <v>188</v>
      </c>
      <c r="I9" s="20" t="s">
        <v>192</v>
      </c>
      <c r="J9" s="20" t="s">
        <v>191</v>
      </c>
    </row>
    <row r="10" customFormat="false" ht="53.7" hidden="false" customHeight="false" outlineLevel="0" collapsed="false">
      <c r="A10" s="14" t="n">
        <v>6</v>
      </c>
      <c r="B10" s="14" t="s">
        <v>223</v>
      </c>
      <c r="C10" s="14" t="s">
        <v>100</v>
      </c>
      <c r="D10" s="14" t="s">
        <v>40</v>
      </c>
      <c r="E10" s="14" t="s">
        <v>225</v>
      </c>
      <c r="F10" s="20" t="s">
        <v>229</v>
      </c>
      <c r="G10" s="20" t="s">
        <v>234</v>
      </c>
      <c r="H10" s="20" t="s">
        <v>7428</v>
      </c>
      <c r="I10" s="20" t="s">
        <v>236</v>
      </c>
      <c r="J10" s="20" t="s">
        <v>235</v>
      </c>
    </row>
    <row r="11" customFormat="false" ht="64.15" hidden="false" customHeight="false" outlineLevel="0" collapsed="false">
      <c r="A11" s="14" t="n">
        <v>7</v>
      </c>
      <c r="B11" s="14" t="s">
        <v>132</v>
      </c>
      <c r="C11" s="14" t="s">
        <v>100</v>
      </c>
      <c r="D11" s="14" t="s">
        <v>32</v>
      </c>
      <c r="E11" s="14" t="s">
        <v>134</v>
      </c>
      <c r="F11" s="20" t="s">
        <v>138</v>
      </c>
      <c r="G11" s="20" t="s">
        <v>143</v>
      </c>
      <c r="H11" s="20" t="s">
        <v>7429</v>
      </c>
      <c r="I11" s="20" t="s">
        <v>145</v>
      </c>
      <c r="J11" s="20" t="s">
        <v>144</v>
      </c>
    </row>
    <row r="12" customFormat="false" ht="64.15" hidden="false" customHeight="false" outlineLevel="0" collapsed="false">
      <c r="A12" s="14" t="n">
        <v>8</v>
      </c>
      <c r="B12" s="14" t="s">
        <v>251</v>
      </c>
      <c r="C12" s="14" t="s">
        <v>100</v>
      </c>
      <c r="D12" s="14" t="s">
        <v>252</v>
      </c>
      <c r="E12" s="14" t="s">
        <v>253</v>
      </c>
      <c r="F12" s="20" t="s">
        <v>257</v>
      </c>
      <c r="G12" s="20" t="s">
        <v>262</v>
      </c>
      <c r="H12" s="20" t="s">
        <v>7430</v>
      </c>
      <c r="I12" s="20" t="s">
        <v>264</v>
      </c>
      <c r="J12" s="20" t="s">
        <v>263</v>
      </c>
    </row>
    <row r="13" customFormat="false" ht="53.7" hidden="false" customHeight="false" outlineLevel="0" collapsed="false">
      <c r="A13" s="14" t="n">
        <v>9</v>
      </c>
      <c r="B13" s="14" t="s">
        <v>280</v>
      </c>
      <c r="C13" s="14" t="s">
        <v>100</v>
      </c>
      <c r="D13" s="14" t="s">
        <v>282</v>
      </c>
      <c r="E13" s="14" t="s">
        <v>283</v>
      </c>
      <c r="F13" s="20" t="s">
        <v>7431</v>
      </c>
      <c r="G13" s="20" t="s">
        <v>292</v>
      </c>
      <c r="H13" s="20" t="s">
        <v>7432</v>
      </c>
      <c r="I13" s="20" t="s">
        <v>294</v>
      </c>
      <c r="J13" s="20" t="s">
        <v>293</v>
      </c>
    </row>
    <row r="14" customFormat="false" ht="64.15" hidden="false" customHeight="false" outlineLevel="0" collapsed="false">
      <c r="A14" s="14" t="n">
        <v>10</v>
      </c>
      <c r="B14" s="14" t="s">
        <v>91</v>
      </c>
      <c r="C14" s="14" t="s">
        <v>100</v>
      </c>
      <c r="D14" s="14" t="s">
        <v>93</v>
      </c>
      <c r="E14" s="14" t="s">
        <v>94</v>
      </c>
      <c r="F14" s="20" t="s">
        <v>98</v>
      </c>
      <c r="G14" s="20" t="s">
        <v>105</v>
      </c>
      <c r="H14" s="20" t="s">
        <v>7433</v>
      </c>
      <c r="I14" s="20" t="s">
        <v>108</v>
      </c>
      <c r="J14" s="20" t="s">
        <v>106</v>
      </c>
    </row>
    <row r="15" customFormat="false" ht="53.7" hidden="false" customHeight="false" outlineLevel="0" collapsed="false">
      <c r="A15" s="14" t="n">
        <v>11</v>
      </c>
      <c r="B15" s="14" t="s">
        <v>195</v>
      </c>
      <c r="C15" s="14" t="s">
        <v>100</v>
      </c>
      <c r="D15" s="14" t="s">
        <v>30</v>
      </c>
      <c r="E15" s="14" t="s">
        <v>197</v>
      </c>
      <c r="F15" s="20" t="s">
        <v>7434</v>
      </c>
      <c r="G15" s="20" t="s">
        <v>207</v>
      </c>
      <c r="H15" s="20" t="s">
        <v>7435</v>
      </c>
      <c r="I15" s="20" t="s">
        <v>208</v>
      </c>
      <c r="J15" s="20" t="s">
        <v>191</v>
      </c>
    </row>
    <row r="16" customFormat="false" ht="43.25" hidden="false" customHeight="false" outlineLevel="0" collapsed="false">
      <c r="A16" s="14" t="n">
        <v>12</v>
      </c>
      <c r="B16" s="14" t="s">
        <v>115</v>
      </c>
      <c r="C16" s="14" t="s">
        <v>100</v>
      </c>
      <c r="D16" s="14" t="s">
        <v>117</v>
      </c>
      <c r="E16" s="14" t="s">
        <v>118</v>
      </c>
      <c r="F16" s="20" t="s">
        <v>122</v>
      </c>
      <c r="G16" s="20" t="s">
        <v>127</v>
      </c>
      <c r="H16" s="20" t="s">
        <v>125</v>
      </c>
      <c r="I16" s="20" t="s">
        <v>129</v>
      </c>
      <c r="J16" s="20" t="s">
        <v>128</v>
      </c>
    </row>
    <row r="17" customFormat="false" ht="53.7" hidden="false" customHeight="false" outlineLevel="0" collapsed="false">
      <c r="A17" s="14" t="n">
        <v>13</v>
      </c>
      <c r="B17" s="14" t="s">
        <v>148</v>
      </c>
      <c r="C17" s="14" t="s">
        <v>100</v>
      </c>
      <c r="D17" s="14" t="s">
        <v>150</v>
      </c>
      <c r="E17" s="14" t="s">
        <v>151</v>
      </c>
      <c r="F17" s="20" t="s">
        <v>7436</v>
      </c>
      <c r="G17" s="20" t="s">
        <v>160</v>
      </c>
      <c r="H17" s="20" t="s">
        <v>158</v>
      </c>
      <c r="I17" s="20" t="s">
        <v>162</v>
      </c>
      <c r="J17" s="20" t="s">
        <v>161</v>
      </c>
    </row>
    <row r="18" customFormat="false" ht="43.25" hidden="false" customHeight="false" outlineLevel="0" collapsed="false">
      <c r="A18" s="14" t="n">
        <v>14</v>
      </c>
      <c r="B18" s="14" t="s">
        <v>1147</v>
      </c>
      <c r="C18" s="14" t="s">
        <v>194</v>
      </c>
      <c r="D18" s="14" t="s">
        <v>1149</v>
      </c>
      <c r="E18" s="14" t="s">
        <v>1150</v>
      </c>
      <c r="F18" s="20" t="s">
        <v>1153</v>
      </c>
      <c r="G18" s="20" t="s">
        <v>1158</v>
      </c>
      <c r="H18" s="20" t="s">
        <v>1156</v>
      </c>
      <c r="I18" s="20" t="s">
        <v>1160</v>
      </c>
      <c r="J18" s="20" t="s">
        <v>1159</v>
      </c>
    </row>
    <row r="19" customFormat="false" ht="32.8" hidden="false" customHeight="false" outlineLevel="0" collapsed="false">
      <c r="A19" s="14" t="n">
        <v>15</v>
      </c>
      <c r="B19" s="14" t="s">
        <v>1277</v>
      </c>
      <c r="C19" s="14" t="s">
        <v>194</v>
      </c>
      <c r="D19" s="14" t="s">
        <v>40</v>
      </c>
      <c r="E19" s="14" t="s">
        <v>1279</v>
      </c>
      <c r="F19" s="20" t="s">
        <v>1281</v>
      </c>
      <c r="G19" s="20" t="s">
        <v>1286</v>
      </c>
      <c r="H19" s="20" t="s">
        <v>1284</v>
      </c>
      <c r="I19" s="20" t="s">
        <v>1287</v>
      </c>
      <c r="J19" s="20" t="s">
        <v>235</v>
      </c>
    </row>
    <row r="20" customFormat="false" ht="43.25" hidden="false" customHeight="false" outlineLevel="0" collapsed="false">
      <c r="A20" s="14" t="n">
        <v>16</v>
      </c>
      <c r="B20" s="14" t="s">
        <v>1537</v>
      </c>
      <c r="C20" s="14" t="s">
        <v>194</v>
      </c>
      <c r="D20" s="14" t="s">
        <v>1539</v>
      </c>
      <c r="E20" s="14" t="s">
        <v>1540</v>
      </c>
      <c r="F20" s="20" t="s">
        <v>1544</v>
      </c>
      <c r="G20" s="20" t="s">
        <v>1549</v>
      </c>
      <c r="H20" s="20" t="s">
        <v>1547</v>
      </c>
      <c r="I20" s="20" t="s">
        <v>1551</v>
      </c>
      <c r="J20" s="20" t="s">
        <v>1550</v>
      </c>
    </row>
    <row r="21" customFormat="false" ht="53.7" hidden="false" customHeight="false" outlineLevel="0" collapsed="false">
      <c r="A21" s="14" t="n">
        <v>17</v>
      </c>
      <c r="B21" s="14" t="s">
        <v>791</v>
      </c>
      <c r="C21" s="14" t="s">
        <v>194</v>
      </c>
      <c r="D21" s="14" t="s">
        <v>32</v>
      </c>
      <c r="E21" s="14" t="s">
        <v>793</v>
      </c>
      <c r="F21" s="20" t="s">
        <v>7437</v>
      </c>
      <c r="G21" s="20" t="s">
        <v>800</v>
      </c>
      <c r="H21" s="20" t="s">
        <v>798</v>
      </c>
      <c r="I21" s="20" t="s">
        <v>801</v>
      </c>
      <c r="J21" s="20" t="s">
        <v>161</v>
      </c>
    </row>
    <row r="22" customFormat="false" ht="43.25" hidden="false" customHeight="false" outlineLevel="0" collapsed="false">
      <c r="A22" s="14" t="n">
        <v>18</v>
      </c>
      <c r="B22" s="14" t="s">
        <v>1512</v>
      </c>
      <c r="C22" s="14" t="s">
        <v>194</v>
      </c>
      <c r="D22" s="14" t="s">
        <v>1451</v>
      </c>
      <c r="E22" s="14" t="s">
        <v>1514</v>
      </c>
      <c r="F22" s="20" t="s">
        <v>1516</v>
      </c>
      <c r="G22" s="20" t="s">
        <v>1521</v>
      </c>
      <c r="H22" s="20" t="s">
        <v>1519</v>
      </c>
      <c r="I22" s="20" t="s">
        <v>1523</v>
      </c>
      <c r="J22" s="20" t="s">
        <v>1522</v>
      </c>
    </row>
    <row r="23" customFormat="false" ht="22.35" hidden="false" customHeight="false" outlineLevel="0" collapsed="false">
      <c r="A23" s="14" t="n">
        <v>19</v>
      </c>
      <c r="B23" s="14" t="s">
        <v>1411</v>
      </c>
      <c r="C23" s="14" t="s">
        <v>194</v>
      </c>
      <c r="D23" s="14" t="s">
        <v>252</v>
      </c>
      <c r="E23" s="14" t="s">
        <v>1389</v>
      </c>
      <c r="F23" s="20" t="s">
        <v>1414</v>
      </c>
      <c r="G23" s="20" t="s">
        <v>1419</v>
      </c>
      <c r="H23" s="20" t="s">
        <v>1417</v>
      </c>
      <c r="I23" s="20" t="s">
        <v>1420</v>
      </c>
      <c r="J23" s="20" t="s">
        <v>263</v>
      </c>
    </row>
    <row r="24" customFormat="false" ht="32.8" hidden="false" customHeight="false" outlineLevel="0" collapsed="false">
      <c r="A24" s="14" t="n">
        <v>20</v>
      </c>
      <c r="B24" s="14" t="s">
        <v>1596</v>
      </c>
      <c r="C24" s="14" t="s">
        <v>194</v>
      </c>
      <c r="D24" s="14" t="s">
        <v>1539</v>
      </c>
      <c r="E24" s="14" t="s">
        <v>1598</v>
      </c>
      <c r="F24" s="20" t="s">
        <v>1602</v>
      </c>
      <c r="G24" s="20" t="s">
        <v>1607</v>
      </c>
      <c r="H24" s="20" t="s">
        <v>1605</v>
      </c>
      <c r="I24" s="20" t="s">
        <v>1608</v>
      </c>
      <c r="J24" s="20" t="s">
        <v>1565</v>
      </c>
    </row>
  </sheetData>
  <autoFilter ref="A4:J24"/>
  <mergeCells count="2">
    <mergeCell ref="A1:J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4"/>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0"/>
    <col collapsed="false" customWidth="true" hidden="false" outlineLevel="0" max="7" min="3" style="0" width="8"/>
    <col collapsed="false" customWidth="true" hidden="false" outlineLevel="0" max="8" min="8" style="0" width="11"/>
    <col collapsed="false" customWidth="true" hidden="false" outlineLevel="0" max="9" min="9" style="0" width="14"/>
    <col collapsed="false" customWidth="true" hidden="false" outlineLevel="0" max="10" min="10" style="0" width="18"/>
  </cols>
  <sheetData>
    <row r="1" customFormat="false" ht="24" hidden="false" customHeight="true" outlineLevel="0" collapsed="false">
      <c r="A1" s="1" t="s">
        <v>7438</v>
      </c>
      <c r="B1" s="1"/>
      <c r="C1" s="1"/>
      <c r="D1" s="1"/>
      <c r="E1" s="1"/>
      <c r="F1" s="1"/>
      <c r="G1" s="1"/>
      <c r="H1" s="1"/>
      <c r="I1" s="1"/>
      <c r="J1" s="1"/>
    </row>
    <row r="2" customFormat="false" ht="15.75" hidden="false" customHeight="true" outlineLevel="0" collapsed="false">
      <c r="A2" s="2" t="s">
        <v>1</v>
      </c>
      <c r="B2" s="2"/>
      <c r="C2" s="2"/>
      <c r="D2" s="2"/>
      <c r="E2" s="2"/>
      <c r="F2" s="2"/>
      <c r="G2" s="2"/>
      <c r="H2" s="2"/>
      <c r="I2" s="2"/>
      <c r="J2" s="2"/>
    </row>
    <row r="4" customFormat="false" ht="15" hidden="false" customHeight="false" outlineLevel="0" collapsed="false">
      <c r="A4" s="13" t="s">
        <v>64</v>
      </c>
      <c r="B4" s="13" t="s">
        <v>7439</v>
      </c>
      <c r="C4" s="13" t="s">
        <v>100</v>
      </c>
      <c r="D4" s="13" t="s">
        <v>194</v>
      </c>
      <c r="E4" s="13" t="s">
        <v>1668</v>
      </c>
      <c r="F4" s="13" t="s">
        <v>5244</v>
      </c>
      <c r="G4" s="13" t="s">
        <v>7364</v>
      </c>
      <c r="H4" s="13" t="s">
        <v>7440</v>
      </c>
      <c r="I4" s="13" t="s">
        <v>79</v>
      </c>
      <c r="J4" s="13" t="s">
        <v>80</v>
      </c>
    </row>
    <row r="5" customFormat="false" ht="15" hidden="false" customHeight="false" outlineLevel="0" collapsed="false">
      <c r="A5" s="25" t="s">
        <v>298</v>
      </c>
      <c r="B5" s="26" t="s">
        <v>7441</v>
      </c>
      <c r="C5" s="27" t="n">
        <f aca="false">COUNTIFS('السجل الجامع'!$D$5:$D$599,$A5,'السجل الجامع'!$K$5:$K$599,"P0")</f>
        <v>0</v>
      </c>
      <c r="D5" s="27" t="n">
        <f aca="false">COUNTIFS('السجل الجامع'!$D$5:$D$599,$A5,'السجل الجامع'!$K$5:$K$599,"P1")</f>
        <v>5</v>
      </c>
      <c r="E5" s="27" t="n">
        <f aca="false">COUNTIFS('السجل الجامع'!$D$5:$D$599,$A5,'السجل الجامع'!$K$5:$K$599,"P2")</f>
        <v>15</v>
      </c>
      <c r="F5" s="27" t="n">
        <f aca="false">COUNTIFS('السجل الجامع'!$D$5:$D$599,$A5,'السجل الجامع'!$K$5:$K$599,"P3")</f>
        <v>15</v>
      </c>
      <c r="G5" s="27" t="n">
        <f aca="false">COUNTIFS('السجل الجامع'!$D$5:$D$599,$A5,'السجل الجامع'!$K$5:$K$599,"P4")</f>
        <v>0</v>
      </c>
      <c r="H5" s="28" t="n">
        <f aca="false">SUM(C5:G5)</f>
        <v>35</v>
      </c>
      <c r="I5" s="26" t="n">
        <f aca="false">COUNTIFS('السجل الجامع'!$D$5:$D$599,$A5,'السجل الجامع'!$S$5:$S$599,"نعم")</f>
        <v>15</v>
      </c>
      <c r="J5" s="26" t="n">
        <f aca="false">COUNTIFS('السجل الجامع'!$D$5:$D$599,$A5,'السجل الجامع'!$T$5:$T$599,"نعم")</f>
        <v>18</v>
      </c>
    </row>
    <row r="6" customFormat="false" ht="15" hidden="false" customHeight="false" outlineLevel="0" collapsed="false">
      <c r="A6" s="25" t="s">
        <v>38</v>
      </c>
      <c r="B6" s="26" t="s">
        <v>7442</v>
      </c>
      <c r="C6" s="27" t="n">
        <f aca="false">COUNTIFS('السجل الجامع'!$D$5:$D$599,$A6,'السجل الجامع'!$K$5:$K$599,"P0")</f>
        <v>0</v>
      </c>
      <c r="D6" s="27" t="n">
        <f aca="false">COUNTIFS('السجل الجامع'!$D$5:$D$599,$A6,'السجل الجامع'!$K$5:$K$599,"P1")</f>
        <v>7</v>
      </c>
      <c r="E6" s="27" t="n">
        <f aca="false">COUNTIFS('السجل الجامع'!$D$5:$D$599,$A6,'السجل الجامع'!$K$5:$K$599,"P2")</f>
        <v>10</v>
      </c>
      <c r="F6" s="27" t="n">
        <f aca="false">COUNTIFS('السجل الجامع'!$D$5:$D$599,$A6,'السجل الجامع'!$K$5:$K$599,"P3")</f>
        <v>9</v>
      </c>
      <c r="G6" s="27" t="n">
        <f aca="false">COUNTIFS('السجل الجامع'!$D$5:$D$599,$A6,'السجل الجامع'!$K$5:$K$599,"P4")</f>
        <v>0</v>
      </c>
      <c r="H6" s="28" t="n">
        <f aca="false">SUM(C6:G6)</f>
        <v>26</v>
      </c>
      <c r="I6" s="26" t="n">
        <f aca="false">COUNTIFS('السجل الجامع'!$D$5:$D$599,$A6,'السجل الجامع'!$S$5:$S$599,"نعم")</f>
        <v>10</v>
      </c>
      <c r="J6" s="26" t="n">
        <f aca="false">COUNTIFS('السجل الجامع'!$D$5:$D$599,$A6,'السجل الجامع'!$T$5:$T$599,"نعم")</f>
        <v>20</v>
      </c>
    </row>
    <row r="7" customFormat="false" ht="15" hidden="false" customHeight="false" outlineLevel="0" collapsed="false">
      <c r="A7" s="25" t="s">
        <v>93</v>
      </c>
      <c r="B7" s="26" t="s">
        <v>7443</v>
      </c>
      <c r="C7" s="27" t="n">
        <f aca="false">COUNTIFS('السجل الجامع'!$D$5:$D$599,$A7,'السجل الجامع'!$K$5:$K$599,"P0")</f>
        <v>1</v>
      </c>
      <c r="D7" s="27" t="n">
        <f aca="false">COUNTIFS('السجل الجامع'!$D$5:$D$599,$A7,'السجل الجامع'!$K$5:$K$599,"P1")</f>
        <v>5</v>
      </c>
      <c r="E7" s="27" t="n">
        <f aca="false">COUNTIFS('السجل الجامع'!$D$5:$D$599,$A7,'السجل الجامع'!$K$5:$K$599,"P2")</f>
        <v>9</v>
      </c>
      <c r="F7" s="27" t="n">
        <f aca="false">COUNTIFS('السجل الجامع'!$D$5:$D$599,$A7,'السجل الجامع'!$K$5:$K$599,"P3")</f>
        <v>8</v>
      </c>
      <c r="G7" s="27" t="n">
        <f aca="false">COUNTIFS('السجل الجامع'!$D$5:$D$599,$A7,'السجل الجامع'!$K$5:$K$599,"P4")</f>
        <v>0</v>
      </c>
      <c r="H7" s="28" t="n">
        <f aca="false">SUM(C7:G7)</f>
        <v>23</v>
      </c>
      <c r="I7" s="26" t="n">
        <f aca="false">COUNTIFS('السجل الجامع'!$D$5:$D$599,$A7,'السجل الجامع'!$S$5:$S$599,"نعم")</f>
        <v>10</v>
      </c>
      <c r="J7" s="26" t="n">
        <f aca="false">COUNTIFS('السجل الجامع'!$D$5:$D$599,$A7,'السجل الجامع'!$T$5:$T$599,"نعم")</f>
        <v>22</v>
      </c>
    </row>
    <row r="8" customFormat="false" ht="15" hidden="false" customHeight="false" outlineLevel="0" collapsed="false">
      <c r="A8" s="25" t="s">
        <v>117</v>
      </c>
      <c r="B8" s="26" t="s">
        <v>7444</v>
      </c>
      <c r="C8" s="27" t="n">
        <f aca="false">COUNTIFS('السجل الجامع'!$D$5:$D$599,$A8,'السجل الجامع'!$K$5:$K$599,"P0")</f>
        <v>1</v>
      </c>
      <c r="D8" s="27" t="n">
        <f aca="false">COUNTIFS('السجل الجامع'!$D$5:$D$599,$A8,'السجل الجامع'!$K$5:$K$599,"P1")</f>
        <v>2</v>
      </c>
      <c r="E8" s="27" t="n">
        <f aca="false">COUNTIFS('السجل الجامع'!$D$5:$D$599,$A8,'السجل الجامع'!$K$5:$K$599,"P2")</f>
        <v>12</v>
      </c>
      <c r="F8" s="27" t="n">
        <f aca="false">COUNTIFS('السجل الجامع'!$D$5:$D$599,$A8,'السجل الجامع'!$K$5:$K$599,"P3")</f>
        <v>13</v>
      </c>
      <c r="G8" s="27" t="n">
        <f aca="false">COUNTIFS('السجل الجامع'!$D$5:$D$599,$A8,'السجل الجامع'!$K$5:$K$599,"P4")</f>
        <v>0</v>
      </c>
      <c r="H8" s="28" t="n">
        <f aca="false">SUM(C8:G8)</f>
        <v>28</v>
      </c>
      <c r="I8" s="26" t="n">
        <f aca="false">COUNTIFS('السجل الجامع'!$D$5:$D$599,$A8,'السجل الجامع'!$S$5:$S$599,"نعم")</f>
        <v>12</v>
      </c>
      <c r="J8" s="26" t="n">
        <f aca="false">COUNTIFS('السجل الجامع'!$D$5:$D$599,$A8,'السجل الجامع'!$T$5:$T$599,"نعم")</f>
        <v>22</v>
      </c>
    </row>
    <row r="9" customFormat="false" ht="15" hidden="false" customHeight="false" outlineLevel="0" collapsed="false">
      <c r="A9" s="25" t="s">
        <v>564</v>
      </c>
      <c r="B9" s="26" t="s">
        <v>7445</v>
      </c>
      <c r="C9" s="27" t="n">
        <f aca="false">COUNTIFS('السجل الجامع'!$D$5:$D$599,$A9,'السجل الجامع'!$K$5:$K$599,"P0")</f>
        <v>0</v>
      </c>
      <c r="D9" s="27" t="n">
        <f aca="false">COUNTIFS('السجل الجامع'!$D$5:$D$599,$A9,'السجل الجامع'!$K$5:$K$599,"P1")</f>
        <v>2</v>
      </c>
      <c r="E9" s="27" t="n">
        <f aca="false">COUNTIFS('السجل الجامع'!$D$5:$D$599,$A9,'السجل الجامع'!$K$5:$K$599,"P2")</f>
        <v>12</v>
      </c>
      <c r="F9" s="27" t="n">
        <f aca="false">COUNTIFS('السجل الجامع'!$D$5:$D$599,$A9,'السجل الجامع'!$K$5:$K$599,"P3")</f>
        <v>10</v>
      </c>
      <c r="G9" s="27" t="n">
        <f aca="false">COUNTIFS('السجل الجامع'!$D$5:$D$599,$A9,'السجل الجامع'!$K$5:$K$599,"P4")</f>
        <v>0</v>
      </c>
      <c r="H9" s="28" t="n">
        <f aca="false">SUM(C9:G9)</f>
        <v>24</v>
      </c>
      <c r="I9" s="26" t="n">
        <f aca="false">COUNTIFS('السجل الجامع'!$D$5:$D$599,$A9,'السجل الجامع'!$S$5:$S$599,"نعم")</f>
        <v>9</v>
      </c>
      <c r="J9" s="26" t="n">
        <f aca="false">COUNTIFS('السجل الجامع'!$D$5:$D$599,$A9,'السجل الجامع'!$T$5:$T$599,"نعم")</f>
        <v>14</v>
      </c>
    </row>
    <row r="10" customFormat="false" ht="15" hidden="false" customHeight="false" outlineLevel="0" collapsed="false">
      <c r="A10" s="25" t="s">
        <v>34</v>
      </c>
      <c r="B10" s="26" t="s">
        <v>7446</v>
      </c>
      <c r="C10" s="27" t="n">
        <f aca="false">COUNTIFS('السجل الجامع'!$D$5:$D$599,$A10,'السجل الجامع'!$K$5:$K$599,"P0")</f>
        <v>0</v>
      </c>
      <c r="D10" s="27" t="n">
        <f aca="false">COUNTIFS('السجل الجامع'!$D$5:$D$599,$A10,'السجل الجامع'!$K$5:$K$599,"P1")</f>
        <v>9</v>
      </c>
      <c r="E10" s="27" t="n">
        <f aca="false">COUNTIFS('السجل الجامع'!$D$5:$D$599,$A10,'السجل الجامع'!$K$5:$K$599,"P2")</f>
        <v>28</v>
      </c>
      <c r="F10" s="27" t="n">
        <f aca="false">COUNTIFS('السجل الجامع'!$D$5:$D$599,$A10,'السجل الجامع'!$K$5:$K$599,"P3")</f>
        <v>4</v>
      </c>
      <c r="G10" s="27" t="n">
        <f aca="false">COUNTIFS('السجل الجامع'!$D$5:$D$599,$A10,'السجل الجامع'!$K$5:$K$599,"P4")</f>
        <v>0</v>
      </c>
      <c r="H10" s="28" t="n">
        <f aca="false">SUM(C10:G10)</f>
        <v>41</v>
      </c>
      <c r="I10" s="26" t="n">
        <f aca="false">COUNTIFS('السجل الجامع'!$D$5:$D$599,$A10,'السجل الجامع'!$S$5:$S$599,"نعم")</f>
        <v>28</v>
      </c>
      <c r="J10" s="26" t="n">
        <f aca="false">COUNTIFS('السجل الجامع'!$D$5:$D$599,$A10,'السجل الجامع'!$T$5:$T$599,"نعم")</f>
        <v>25</v>
      </c>
    </row>
    <row r="11" customFormat="false" ht="15" hidden="false" customHeight="false" outlineLevel="0" collapsed="false">
      <c r="A11" s="25" t="s">
        <v>32</v>
      </c>
      <c r="B11" s="26" t="s">
        <v>7447</v>
      </c>
      <c r="C11" s="27" t="n">
        <f aca="false">COUNTIFS('السجل الجامع'!$D$5:$D$599,$A11,'السجل الجامع'!$K$5:$K$599,"P0")</f>
        <v>1</v>
      </c>
      <c r="D11" s="27" t="n">
        <f aca="false">COUNTIFS('السجل الجامع'!$D$5:$D$599,$A11,'السجل الجامع'!$K$5:$K$599,"P1")</f>
        <v>10</v>
      </c>
      <c r="E11" s="27" t="n">
        <f aca="false">COUNTIFS('السجل الجامع'!$D$5:$D$599,$A11,'السجل الجامع'!$K$5:$K$599,"P2")</f>
        <v>10</v>
      </c>
      <c r="F11" s="27" t="n">
        <f aca="false">COUNTIFS('السجل الجامع'!$D$5:$D$599,$A11,'السجل الجامع'!$K$5:$K$599,"P3")</f>
        <v>6</v>
      </c>
      <c r="G11" s="27" t="n">
        <f aca="false">COUNTIFS('السجل الجامع'!$D$5:$D$599,$A11,'السجل الجامع'!$K$5:$K$599,"P4")</f>
        <v>0</v>
      </c>
      <c r="H11" s="28" t="n">
        <f aca="false">SUM(C11:G11)</f>
        <v>27</v>
      </c>
      <c r="I11" s="26" t="n">
        <f aca="false">COUNTIFS('السجل الجامع'!$D$5:$D$599,$A11,'السجل الجامع'!$S$5:$S$599,"نعم")</f>
        <v>15</v>
      </c>
      <c r="J11" s="26" t="n">
        <f aca="false">COUNTIFS('السجل الجامع'!$D$5:$D$599,$A11,'السجل الجامع'!$T$5:$T$599,"نعم")</f>
        <v>21</v>
      </c>
    </row>
    <row r="12" customFormat="false" ht="15" hidden="false" customHeight="false" outlineLevel="0" collapsed="false">
      <c r="A12" s="25" t="s">
        <v>150</v>
      </c>
      <c r="B12" s="26" t="s">
        <v>7448</v>
      </c>
      <c r="C12" s="27" t="n">
        <f aca="false">COUNTIFS('السجل الجامع'!$D$5:$D$599,$A12,'السجل الجامع'!$K$5:$K$599,"P0")</f>
        <v>1</v>
      </c>
      <c r="D12" s="27" t="n">
        <f aca="false">COUNTIFS('السجل الجامع'!$D$5:$D$599,$A12,'السجل الجامع'!$K$5:$K$599,"P1")</f>
        <v>4</v>
      </c>
      <c r="E12" s="27" t="n">
        <f aca="false">COUNTIFS('السجل الجامع'!$D$5:$D$599,$A12,'السجل الجامع'!$K$5:$K$599,"P2")</f>
        <v>14</v>
      </c>
      <c r="F12" s="27" t="n">
        <f aca="false">COUNTIFS('السجل الجامع'!$D$5:$D$599,$A12,'السجل الجامع'!$K$5:$K$599,"P3")</f>
        <v>8</v>
      </c>
      <c r="G12" s="27" t="n">
        <f aca="false">COUNTIFS('السجل الجامع'!$D$5:$D$599,$A12,'السجل الجامع'!$K$5:$K$599,"P4")</f>
        <v>0</v>
      </c>
      <c r="H12" s="28" t="n">
        <f aca="false">SUM(C12:G12)</f>
        <v>27</v>
      </c>
      <c r="I12" s="26" t="n">
        <f aca="false">COUNTIFS('السجل الجامع'!$D$5:$D$599,$A12,'السجل الجامع'!$S$5:$S$599,"نعم")</f>
        <v>17</v>
      </c>
      <c r="J12" s="26" t="n">
        <f aca="false">COUNTIFS('السجل الجامع'!$D$5:$D$599,$A12,'السجل الجامع'!$T$5:$T$599,"نعم")</f>
        <v>20</v>
      </c>
    </row>
    <row r="13" customFormat="false" ht="15" hidden="false" customHeight="false" outlineLevel="0" collapsed="false">
      <c r="A13" s="25" t="s">
        <v>30</v>
      </c>
      <c r="B13" s="26" t="s">
        <v>43</v>
      </c>
      <c r="C13" s="27" t="n">
        <f aca="false">COUNTIFS('السجل الجامع'!$D$5:$D$599,$A13,'السجل الجامع'!$K$5:$K$599,"P0")</f>
        <v>4</v>
      </c>
      <c r="D13" s="27" t="n">
        <f aca="false">COUNTIFS('السجل الجامع'!$D$5:$D$599,$A13,'السجل الجامع'!$K$5:$K$599,"P1")</f>
        <v>12</v>
      </c>
      <c r="E13" s="27" t="n">
        <f aca="false">COUNTIFS('السجل الجامع'!$D$5:$D$599,$A13,'السجل الجامع'!$K$5:$K$599,"P2")</f>
        <v>36</v>
      </c>
      <c r="F13" s="27" t="n">
        <f aca="false">COUNTIFS('السجل الجامع'!$D$5:$D$599,$A13,'السجل الجامع'!$K$5:$K$599,"P3")</f>
        <v>25</v>
      </c>
      <c r="G13" s="27" t="n">
        <f aca="false">COUNTIFS('السجل الجامع'!$D$5:$D$599,$A13,'السجل الجامع'!$K$5:$K$599,"P4")</f>
        <v>0</v>
      </c>
      <c r="H13" s="28" t="n">
        <f aca="false">SUM(C13:G13)</f>
        <v>77</v>
      </c>
      <c r="I13" s="26" t="n">
        <f aca="false">COUNTIFS('السجل الجامع'!$D$5:$D$599,$A13,'السجل الجامع'!$S$5:$S$599,"نعم")</f>
        <v>48</v>
      </c>
      <c r="J13" s="26" t="n">
        <f aca="false">COUNTIFS('السجل الجامع'!$D$5:$D$599,$A13,'السجل الجامع'!$T$5:$T$599,"نعم")</f>
        <v>49</v>
      </c>
    </row>
    <row r="14" customFormat="false" ht="15" hidden="false" customHeight="false" outlineLevel="0" collapsed="false">
      <c r="A14" s="25" t="s">
        <v>1051</v>
      </c>
      <c r="B14" s="26" t="s">
        <v>7449</v>
      </c>
      <c r="C14" s="27" t="n">
        <f aca="false">COUNTIFS('السجل الجامع'!$D$5:$D$599,$A14,'السجل الجامع'!$K$5:$K$599,"P0")</f>
        <v>0</v>
      </c>
      <c r="D14" s="27" t="n">
        <f aca="false">COUNTIFS('السجل الجامع'!$D$5:$D$599,$A14,'السجل الجامع'!$K$5:$K$599,"P1")</f>
        <v>2</v>
      </c>
      <c r="E14" s="27" t="n">
        <f aca="false">COUNTIFS('السجل الجامع'!$D$5:$D$599,$A14,'السجل الجامع'!$K$5:$K$599,"P2")</f>
        <v>15</v>
      </c>
      <c r="F14" s="27" t="n">
        <f aca="false">COUNTIFS('السجل الجامع'!$D$5:$D$599,$A14,'السجل الجامع'!$K$5:$K$599,"P3")</f>
        <v>14</v>
      </c>
      <c r="G14" s="27" t="n">
        <f aca="false">COUNTIFS('السجل الجامع'!$D$5:$D$599,$A14,'السجل الجامع'!$K$5:$K$599,"P4")</f>
        <v>0</v>
      </c>
      <c r="H14" s="28" t="n">
        <f aca="false">SUM(C14:G14)</f>
        <v>31</v>
      </c>
      <c r="I14" s="26" t="n">
        <f aca="false">COUNTIFS('السجل الجامع'!$D$5:$D$599,$A14,'السجل الجامع'!$S$5:$S$599,"نعم")</f>
        <v>13</v>
      </c>
      <c r="J14" s="26" t="n">
        <f aca="false">COUNTIFS('السجل الجامع'!$D$5:$D$599,$A14,'السجل الجامع'!$T$5:$T$599,"نعم")</f>
        <v>17</v>
      </c>
    </row>
    <row r="15" customFormat="false" ht="15" hidden="false" customHeight="false" outlineLevel="0" collapsed="false">
      <c r="A15" s="25" t="s">
        <v>1083</v>
      </c>
      <c r="B15" s="26" t="s">
        <v>7450</v>
      </c>
      <c r="C15" s="27" t="n">
        <f aca="false">COUNTIFS('السجل الجامع'!$D$5:$D$599,$A15,'السجل الجامع'!$K$5:$K$599,"P0")</f>
        <v>0</v>
      </c>
      <c r="D15" s="27" t="n">
        <f aca="false">COUNTIFS('السجل الجامع'!$D$5:$D$599,$A15,'السجل الجامع'!$K$5:$K$599,"P1")</f>
        <v>5</v>
      </c>
      <c r="E15" s="27" t="n">
        <f aca="false">COUNTIFS('السجل الجامع'!$D$5:$D$599,$A15,'السجل الجامع'!$K$5:$K$599,"P2")</f>
        <v>13</v>
      </c>
      <c r="F15" s="27" t="n">
        <f aca="false">COUNTIFS('السجل الجامع'!$D$5:$D$599,$A15,'السجل الجامع'!$K$5:$K$599,"P3")</f>
        <v>8</v>
      </c>
      <c r="G15" s="27" t="n">
        <f aca="false">COUNTIFS('السجل الجامع'!$D$5:$D$599,$A15,'السجل الجامع'!$K$5:$K$599,"P4")</f>
        <v>0</v>
      </c>
      <c r="H15" s="28" t="n">
        <f aca="false">SUM(C15:G15)</f>
        <v>26</v>
      </c>
      <c r="I15" s="26" t="n">
        <f aca="false">COUNTIFS('السجل الجامع'!$D$5:$D$599,$A15,'السجل الجامع'!$S$5:$S$599,"نعم")</f>
        <v>12</v>
      </c>
      <c r="J15" s="26" t="n">
        <f aca="false">COUNTIFS('السجل الجامع'!$D$5:$D$599,$A15,'السجل الجامع'!$T$5:$T$599,"نعم")</f>
        <v>20</v>
      </c>
    </row>
    <row r="16" customFormat="false" ht="15" hidden="false" customHeight="false" outlineLevel="0" collapsed="false">
      <c r="A16" s="25" t="s">
        <v>1149</v>
      </c>
      <c r="B16" s="26" t="s">
        <v>7451</v>
      </c>
      <c r="C16" s="27" t="n">
        <f aca="false">COUNTIFS('السجل الجامع'!$D$5:$D$599,$A16,'السجل الجامع'!$K$5:$K$599,"P0")</f>
        <v>0</v>
      </c>
      <c r="D16" s="27" t="n">
        <f aca="false">COUNTIFS('السجل الجامع'!$D$5:$D$599,$A16,'السجل الجامع'!$K$5:$K$599,"P1")</f>
        <v>6</v>
      </c>
      <c r="E16" s="27" t="n">
        <f aca="false">COUNTIFS('السجل الجامع'!$D$5:$D$599,$A16,'السجل الجامع'!$K$5:$K$599,"P2")</f>
        <v>12</v>
      </c>
      <c r="F16" s="27" t="n">
        <f aca="false">COUNTIFS('السجل الجامع'!$D$5:$D$599,$A16,'السجل الجامع'!$K$5:$K$599,"P3")</f>
        <v>7</v>
      </c>
      <c r="G16" s="27" t="n">
        <f aca="false">COUNTIFS('السجل الجامع'!$D$5:$D$599,$A16,'السجل الجامع'!$K$5:$K$599,"P4")</f>
        <v>0</v>
      </c>
      <c r="H16" s="28" t="n">
        <f aca="false">SUM(C16:G16)</f>
        <v>25</v>
      </c>
      <c r="I16" s="26" t="n">
        <f aca="false">COUNTIFS('السجل الجامع'!$D$5:$D$599,$A16,'السجل الجامع'!$S$5:$S$599,"نعم")</f>
        <v>16</v>
      </c>
      <c r="J16" s="26" t="n">
        <f aca="false">COUNTIFS('السجل الجامع'!$D$5:$D$599,$A16,'السجل الجامع'!$T$5:$T$599,"نعم")</f>
        <v>19</v>
      </c>
    </row>
    <row r="17" customFormat="false" ht="15" hidden="false" customHeight="false" outlineLevel="0" collapsed="false">
      <c r="A17" s="25" t="s">
        <v>40</v>
      </c>
      <c r="B17" s="26" t="s">
        <v>7452</v>
      </c>
      <c r="C17" s="27" t="n">
        <f aca="false">COUNTIFS('السجل الجامع'!$D$5:$D$599,$A17,'السجل الجامع'!$K$5:$K$599,"P0")</f>
        <v>1</v>
      </c>
      <c r="D17" s="27" t="n">
        <f aca="false">COUNTIFS('السجل الجامع'!$D$5:$D$599,$A17,'السجل الجامع'!$K$5:$K$599,"P1")</f>
        <v>6</v>
      </c>
      <c r="E17" s="27" t="n">
        <f aca="false">COUNTIFS('السجل الجامع'!$D$5:$D$599,$A17,'السجل الجامع'!$K$5:$K$599,"P2")</f>
        <v>25</v>
      </c>
      <c r="F17" s="27" t="n">
        <f aca="false">COUNTIFS('السجل الجامع'!$D$5:$D$599,$A17,'السجل الجامع'!$K$5:$K$599,"P3")</f>
        <v>12</v>
      </c>
      <c r="G17" s="27" t="n">
        <f aca="false">COUNTIFS('السجل الجامع'!$D$5:$D$599,$A17,'السجل الجامع'!$K$5:$K$599,"P4")</f>
        <v>0</v>
      </c>
      <c r="H17" s="28" t="n">
        <f aca="false">SUM(C17:G17)</f>
        <v>44</v>
      </c>
      <c r="I17" s="26" t="n">
        <f aca="false">COUNTIFS('السجل الجامع'!$D$5:$D$599,$A17,'السجل الجامع'!$S$5:$S$599,"نعم")</f>
        <v>18</v>
      </c>
      <c r="J17" s="26" t="n">
        <f aca="false">COUNTIFS('السجل الجامع'!$D$5:$D$599,$A17,'السجل الجامع'!$T$5:$T$599,"نعم")</f>
        <v>34</v>
      </c>
    </row>
    <row r="18" customFormat="false" ht="15" hidden="false" customHeight="false" outlineLevel="0" collapsed="false">
      <c r="A18" s="25" t="s">
        <v>36</v>
      </c>
      <c r="B18" s="26" t="s">
        <v>7453</v>
      </c>
      <c r="C18" s="27" t="n">
        <f aca="false">COUNTIFS('السجل الجامع'!$D$5:$D$599,$A18,'السجل الجامع'!$K$5:$K$599,"P0")</f>
        <v>1</v>
      </c>
      <c r="D18" s="27" t="n">
        <f aca="false">COUNTIFS('السجل الجامع'!$D$5:$D$599,$A18,'السجل الجامع'!$K$5:$K$599,"P1")</f>
        <v>7</v>
      </c>
      <c r="E18" s="27" t="n">
        <f aca="false">COUNTIFS('السجل الجامع'!$D$5:$D$599,$A18,'السجل الجامع'!$K$5:$K$599,"P2")</f>
        <v>21</v>
      </c>
      <c r="F18" s="27" t="n">
        <f aca="false">COUNTIFS('السجل الجامع'!$D$5:$D$599,$A18,'السجل الجامع'!$K$5:$K$599,"P3")</f>
        <v>9</v>
      </c>
      <c r="G18" s="27" t="n">
        <f aca="false">COUNTIFS('السجل الجامع'!$D$5:$D$599,$A18,'السجل الجامع'!$K$5:$K$599,"P4")</f>
        <v>4</v>
      </c>
      <c r="H18" s="28" t="n">
        <f aca="false">SUM(C18:G18)</f>
        <v>42</v>
      </c>
      <c r="I18" s="26" t="n">
        <f aca="false">COUNTIFS('السجل الجامع'!$D$5:$D$599,$A18,'السجل الجامع'!$S$5:$S$599,"نعم")</f>
        <v>21</v>
      </c>
      <c r="J18" s="26" t="n">
        <f aca="false">COUNTIFS('السجل الجامع'!$D$5:$D$599,$A18,'السجل الجامع'!$T$5:$T$599,"نعم")</f>
        <v>31</v>
      </c>
    </row>
    <row r="19" customFormat="false" ht="15" hidden="false" customHeight="false" outlineLevel="0" collapsed="false">
      <c r="A19" s="25" t="s">
        <v>252</v>
      </c>
      <c r="B19" s="26" t="s">
        <v>7454</v>
      </c>
      <c r="C19" s="27" t="n">
        <f aca="false">COUNTIFS('السجل الجامع'!$D$5:$D$599,$A19,'السجل الجامع'!$K$5:$K$599,"P0")</f>
        <v>2</v>
      </c>
      <c r="D19" s="27" t="n">
        <f aca="false">COUNTIFS('السجل الجامع'!$D$5:$D$599,$A19,'السجل الجامع'!$K$5:$K$599,"P1")</f>
        <v>5</v>
      </c>
      <c r="E19" s="27" t="n">
        <f aca="false">COUNTIFS('السجل الجامع'!$D$5:$D$599,$A19,'السجل الجامع'!$K$5:$K$599,"P2")</f>
        <v>20</v>
      </c>
      <c r="F19" s="27" t="n">
        <f aca="false">COUNTIFS('السجل الجامع'!$D$5:$D$599,$A19,'السجل الجامع'!$K$5:$K$599,"P3")</f>
        <v>7</v>
      </c>
      <c r="G19" s="27" t="n">
        <f aca="false">COUNTIFS('السجل الجامع'!$D$5:$D$599,$A19,'السجل الجامع'!$K$5:$K$599,"P4")</f>
        <v>0</v>
      </c>
      <c r="H19" s="28" t="n">
        <f aca="false">SUM(C19:G19)</f>
        <v>34</v>
      </c>
      <c r="I19" s="26" t="n">
        <f aca="false">COUNTIFS('السجل الجامع'!$D$5:$D$599,$A19,'السجل الجامع'!$S$5:$S$599,"نعم")</f>
        <v>17</v>
      </c>
      <c r="J19" s="26" t="n">
        <f aca="false">COUNTIFS('السجل الجامع'!$D$5:$D$599,$A19,'السجل الجامع'!$T$5:$T$599,"نعم")</f>
        <v>23</v>
      </c>
    </row>
    <row r="20" customFormat="false" ht="15" hidden="false" customHeight="false" outlineLevel="0" collapsed="false">
      <c r="A20" s="25" t="s">
        <v>1451</v>
      </c>
      <c r="B20" s="26" t="s">
        <v>7455</v>
      </c>
      <c r="C20" s="27" t="n">
        <f aca="false">COUNTIFS('السجل الجامع'!$D$5:$D$599,$A20,'السجل الجامع'!$K$5:$K$599,"P0")</f>
        <v>0</v>
      </c>
      <c r="D20" s="27" t="n">
        <f aca="false">COUNTIFS('السجل الجامع'!$D$5:$D$599,$A20,'السجل الجامع'!$K$5:$K$599,"P1")</f>
        <v>7</v>
      </c>
      <c r="E20" s="27" t="n">
        <f aca="false">COUNTIFS('السجل الجامع'!$D$5:$D$599,$A20,'السجل الجامع'!$K$5:$K$599,"P2")</f>
        <v>15</v>
      </c>
      <c r="F20" s="27" t="n">
        <f aca="false">COUNTIFS('السجل الجامع'!$D$5:$D$599,$A20,'السجل الجامع'!$K$5:$K$599,"P3")</f>
        <v>8</v>
      </c>
      <c r="G20" s="27" t="n">
        <f aca="false">COUNTIFS('السجل الجامع'!$D$5:$D$599,$A20,'السجل الجامع'!$K$5:$K$599,"P4")</f>
        <v>1</v>
      </c>
      <c r="H20" s="28" t="n">
        <f aca="false">SUM(C20:G20)</f>
        <v>31</v>
      </c>
      <c r="I20" s="26" t="n">
        <f aca="false">COUNTIFS('السجل الجامع'!$D$5:$D$599,$A20,'السجل الجامع'!$S$5:$S$599,"نعم")</f>
        <v>18</v>
      </c>
      <c r="J20" s="26" t="n">
        <f aca="false">COUNTIFS('السجل الجامع'!$D$5:$D$599,$A20,'السجل الجامع'!$T$5:$T$599,"نعم")</f>
        <v>28</v>
      </c>
    </row>
    <row r="21" customFormat="false" ht="15" hidden="false" customHeight="false" outlineLevel="0" collapsed="false">
      <c r="A21" s="25" t="s">
        <v>1539</v>
      </c>
      <c r="B21" s="26" t="s">
        <v>7456</v>
      </c>
      <c r="C21" s="27" t="n">
        <f aca="false">COUNTIFS('السجل الجامع'!$D$5:$D$599,$A21,'السجل الجامع'!$K$5:$K$599,"P0")</f>
        <v>0</v>
      </c>
      <c r="D21" s="27" t="n">
        <f aca="false">COUNTIFS('السجل الجامع'!$D$5:$D$599,$A21,'السجل الجامع'!$K$5:$K$599,"P1")</f>
        <v>5</v>
      </c>
      <c r="E21" s="27" t="n">
        <f aca="false">COUNTIFS('السجل الجامع'!$D$5:$D$599,$A21,'السجل الجامع'!$K$5:$K$599,"P2")</f>
        <v>17</v>
      </c>
      <c r="F21" s="27" t="n">
        <f aca="false">COUNTIFS('السجل الجامع'!$D$5:$D$599,$A21,'السجل الجامع'!$K$5:$K$599,"P3")</f>
        <v>6</v>
      </c>
      <c r="G21" s="27" t="n">
        <f aca="false">COUNTIFS('السجل الجامع'!$D$5:$D$599,$A21,'السجل الجامع'!$K$5:$K$599,"P4")</f>
        <v>0</v>
      </c>
      <c r="H21" s="28" t="n">
        <f aca="false">SUM(C21:G21)</f>
        <v>28</v>
      </c>
      <c r="I21" s="26" t="n">
        <f aca="false">COUNTIFS('السجل الجامع'!$D$5:$D$599,$A21,'السجل الجامع'!$S$5:$S$599,"نعم")</f>
        <v>10</v>
      </c>
      <c r="J21" s="26" t="n">
        <f aca="false">COUNTIFS('السجل الجامع'!$D$5:$D$599,$A21,'السجل الجامع'!$T$5:$T$599,"نعم")</f>
        <v>3</v>
      </c>
    </row>
    <row r="22" customFormat="false" ht="28.35" hidden="false" customHeight="false" outlineLevel="0" collapsed="false">
      <c r="A22" s="25" t="s">
        <v>1612</v>
      </c>
      <c r="B22" s="26" t="s">
        <v>7457</v>
      </c>
      <c r="C22" s="27" t="n">
        <f aca="false">COUNTIFS('السجل الجامع'!$D$5:$D$599,$A22,'السجل الجامع'!$K$5:$K$599,"P0")</f>
        <v>0</v>
      </c>
      <c r="D22" s="27" t="n">
        <f aca="false">COUNTIFS('السجل الجامع'!$D$5:$D$599,$A22,'السجل الجامع'!$K$5:$K$599,"P1")</f>
        <v>3</v>
      </c>
      <c r="E22" s="27" t="n">
        <f aca="false">COUNTIFS('السجل الجامع'!$D$5:$D$599,$A22,'السجل الجامع'!$K$5:$K$599,"P2")</f>
        <v>8</v>
      </c>
      <c r="F22" s="27" t="n">
        <f aca="false">COUNTIFS('السجل الجامع'!$D$5:$D$599,$A22,'السجل الجامع'!$K$5:$K$599,"P3")</f>
        <v>8</v>
      </c>
      <c r="G22" s="27" t="n">
        <f aca="false">COUNTIFS('السجل الجامع'!$D$5:$D$599,$A22,'السجل الجامع'!$K$5:$K$599,"P4")</f>
        <v>0</v>
      </c>
      <c r="H22" s="28" t="n">
        <f aca="false">SUM(C22:G22)</f>
        <v>19</v>
      </c>
      <c r="I22" s="26" t="n">
        <f aca="false">COUNTIFS('السجل الجامع'!$D$5:$D$599,$A22,'السجل الجامع'!$S$5:$S$599,"نعم")</f>
        <v>13</v>
      </c>
      <c r="J22" s="26" t="n">
        <f aca="false">COUNTIFS('السجل الجامع'!$D$5:$D$599,$A22,'السجل الجامع'!$T$5:$T$599,"نعم")</f>
        <v>2</v>
      </c>
    </row>
    <row r="23" customFormat="false" ht="15" hidden="false" customHeight="false" outlineLevel="0" collapsed="false">
      <c r="A23" s="25" t="s">
        <v>282</v>
      </c>
      <c r="B23" s="26" t="s">
        <v>7458</v>
      </c>
      <c r="C23" s="27" t="n">
        <f aca="false">COUNTIFS('السجل الجامع'!$D$5:$D$599,$A23,'السجل الجامع'!$K$5:$K$599,"P0")</f>
        <v>1</v>
      </c>
      <c r="D23" s="27" t="n">
        <f aca="false">COUNTIFS('السجل الجامع'!$D$5:$D$599,$A23,'السجل الجامع'!$K$5:$K$599,"P1")</f>
        <v>1</v>
      </c>
      <c r="E23" s="27" t="n">
        <f aca="false">COUNTIFS('السجل الجامع'!$D$5:$D$599,$A23,'السجل الجامع'!$K$5:$K$599,"P2")</f>
        <v>2</v>
      </c>
      <c r="F23" s="27" t="n">
        <f aca="false">COUNTIFS('السجل الجامع'!$D$5:$D$599,$A23,'السجل الجامع'!$K$5:$K$599,"P3")</f>
        <v>3</v>
      </c>
      <c r="G23" s="27" t="n">
        <f aca="false">COUNTIFS('السجل الجامع'!$D$5:$D$599,$A23,'السجل الجامع'!$K$5:$K$599,"P4")</f>
        <v>0</v>
      </c>
      <c r="H23" s="28" t="n">
        <f aca="false">SUM(C23:G23)</f>
        <v>7</v>
      </c>
      <c r="I23" s="26" t="n">
        <f aca="false">COUNTIFS('السجل الجامع'!$D$5:$D$599,$A23,'السجل الجامع'!$S$5:$S$599,"نعم")</f>
        <v>6</v>
      </c>
      <c r="J23" s="26" t="n">
        <f aca="false">COUNTIFS('السجل الجامع'!$D$5:$D$599,$A23,'السجل الجامع'!$T$5:$T$599,"نعم")</f>
        <v>2</v>
      </c>
    </row>
    <row r="24" customFormat="false" ht="15" hidden="false" customHeight="false" outlineLevel="0" collapsed="false">
      <c r="A24" s="29" t="s">
        <v>7440</v>
      </c>
      <c r="B24" s="30"/>
      <c r="C24" s="31" t="n">
        <f aca="false">SUM(C5:C23)</f>
        <v>13</v>
      </c>
      <c r="D24" s="31" t="n">
        <f aca="false">SUM(D5:D23)</f>
        <v>103</v>
      </c>
      <c r="E24" s="31" t="n">
        <f aca="false">SUM(E5:E23)</f>
        <v>294</v>
      </c>
      <c r="F24" s="31" t="n">
        <f aca="false">SUM(F5:F23)</f>
        <v>180</v>
      </c>
      <c r="G24" s="31" t="n">
        <f aca="false">SUM(G5:G23)</f>
        <v>5</v>
      </c>
      <c r="H24" s="31" t="n">
        <f aca="false">SUM(H5:H23)</f>
        <v>595</v>
      </c>
      <c r="I24" s="31" t="n">
        <f aca="false">SUM(I5:I23)</f>
        <v>308</v>
      </c>
      <c r="J24" s="31" t="n">
        <f aca="false">SUM(J5:J23)</f>
        <v>390</v>
      </c>
    </row>
  </sheetData>
  <mergeCells count="2">
    <mergeCell ref="A1:J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3" min="2" style="0" width="10"/>
    <col collapsed="false" customWidth="true" hidden="false" outlineLevel="0" max="4" min="4" style="0" width="3"/>
    <col collapsed="false" customWidth="true" hidden="false" outlineLevel="0" max="5" min="5" style="0" width="26"/>
    <col collapsed="false" customWidth="true" hidden="false" outlineLevel="0" max="6" min="6" style="0" width="10"/>
  </cols>
  <sheetData>
    <row r="1" customFormat="false" ht="24" hidden="false" customHeight="true" outlineLevel="0" collapsed="false">
      <c r="A1" s="1" t="s">
        <v>7459</v>
      </c>
      <c r="B1" s="1"/>
      <c r="C1" s="1"/>
      <c r="D1" s="1"/>
      <c r="E1" s="1"/>
      <c r="F1" s="1"/>
    </row>
    <row r="2" customFormat="false" ht="15.75" hidden="false" customHeight="true" outlineLevel="0" collapsed="false">
      <c r="A2" s="2" t="s">
        <v>1</v>
      </c>
      <c r="B2" s="2"/>
      <c r="C2" s="2"/>
      <c r="D2" s="2"/>
      <c r="E2" s="2"/>
      <c r="F2" s="2"/>
    </row>
    <row r="4" customFormat="false" ht="15" hidden="false" customHeight="false" outlineLevel="0" collapsed="false">
      <c r="A4" s="13" t="s">
        <v>70</v>
      </c>
      <c r="B4" s="13" t="s">
        <v>7460</v>
      </c>
      <c r="C4" s="13" t="s">
        <v>7461</v>
      </c>
      <c r="D4" s="32"/>
      <c r="E4" s="13" t="s">
        <v>62</v>
      </c>
      <c r="F4" s="13" t="s">
        <v>7460</v>
      </c>
    </row>
    <row r="5" customFormat="false" ht="15" hidden="false" customHeight="false" outlineLevel="0" collapsed="false">
      <c r="A5" s="33" t="s">
        <v>50</v>
      </c>
      <c r="B5" s="26" t="n">
        <f aca="false">COUNTIF('السجل الجامع'!$J$5:$J$599,$A5)</f>
        <v>97</v>
      </c>
      <c r="C5" s="26" t="n">
        <f aca="false">COUNTIFS('السجل الجامع'!$J$5:$J$599,$A5,'السجل الجامع'!$K$5:$K$599,"P0")+COUNTIFS('السجل الجامع'!$J$5:$J$599,$A5,'السجل الجامع'!$K$5:$K$599,"P1")</f>
        <v>45</v>
      </c>
      <c r="E5" s="33" t="s">
        <v>43</v>
      </c>
      <c r="F5" s="26" t="n">
        <f aca="false">COUNTIF('السجل الجامع'!$B$5:$B$599,$E5)</f>
        <v>174</v>
      </c>
    </row>
    <row r="6" customFormat="false" ht="15" hidden="false" customHeight="false" outlineLevel="0" collapsed="false">
      <c r="A6" s="33" t="s">
        <v>51</v>
      </c>
      <c r="B6" s="26" t="n">
        <f aca="false">COUNTIF('السجل الجامع'!$J$5:$J$599,$A6)</f>
        <v>68</v>
      </c>
      <c r="C6" s="26" t="n">
        <f aca="false">COUNTIFS('السجل الجامع'!$J$5:$J$599,$A6,'السجل الجامع'!$K$5:$K$599,"P0")+COUNTIFS('السجل الجامع'!$J$5:$J$599,$A6,'السجل الجامع'!$K$5:$K$599,"P1")</f>
        <v>15</v>
      </c>
      <c r="E6" s="33" t="s">
        <v>44</v>
      </c>
      <c r="F6" s="26" t="n">
        <f aca="false">COUNTIF('السجل الجامع'!$B$5:$B$599,$E6)</f>
        <v>156</v>
      </c>
    </row>
    <row r="7" customFormat="false" ht="15" hidden="false" customHeight="false" outlineLevel="0" collapsed="false">
      <c r="A7" s="33" t="s">
        <v>52</v>
      </c>
      <c r="B7" s="26" t="n">
        <f aca="false">COUNTIF('السجل الجامع'!$J$5:$J$599,$A7)</f>
        <v>68</v>
      </c>
      <c r="C7" s="26" t="n">
        <f aca="false">COUNTIFS('السجل الجامع'!$J$5:$J$599,$A7,'السجل الجامع'!$K$5:$K$599,"P0")+COUNTIFS('السجل الجامع'!$J$5:$J$599,$A7,'السجل الجامع'!$K$5:$K$599,"P1")</f>
        <v>0</v>
      </c>
      <c r="E7" s="33" t="s">
        <v>45</v>
      </c>
      <c r="F7" s="26" t="n">
        <f aca="false">COUNTIF('السجل الجامع'!$B$5:$B$599,$E7)</f>
        <v>131</v>
      </c>
    </row>
    <row r="8" customFormat="false" ht="15" hidden="false" customHeight="false" outlineLevel="0" collapsed="false">
      <c r="A8" s="33" t="s">
        <v>53</v>
      </c>
      <c r="B8" s="26" t="n">
        <f aca="false">COUNTIF('السجل الجامع'!$J$5:$J$599,$A8)</f>
        <v>58</v>
      </c>
      <c r="C8" s="26" t="n">
        <f aca="false">COUNTIFS('السجل الجامع'!$J$5:$J$599,$A8,'السجل الجامع'!$K$5:$K$599,"P0")+COUNTIFS('السجل الجامع'!$J$5:$J$599,$A8,'السجل الجامع'!$K$5:$K$599,"P1")</f>
        <v>6</v>
      </c>
      <c r="E8" s="33" t="s">
        <v>46</v>
      </c>
      <c r="F8" s="26" t="n">
        <f aca="false">COUNTIF('السجل الجامع'!$B$5:$B$599,$E8)</f>
        <v>59</v>
      </c>
    </row>
    <row r="9" customFormat="false" ht="15" hidden="false" customHeight="false" outlineLevel="0" collapsed="false">
      <c r="A9" s="33" t="s">
        <v>54</v>
      </c>
      <c r="B9" s="26" t="n">
        <f aca="false">COUNTIF('السجل الجامع'!$J$5:$J$599,$A9)</f>
        <v>48</v>
      </c>
      <c r="C9" s="26" t="n">
        <f aca="false">COUNTIFS('السجل الجامع'!$J$5:$J$599,$A9,'السجل الجامع'!$K$5:$K$599,"P0")+COUNTIFS('السجل الجامع'!$J$5:$J$599,$A9,'السجل الجامع'!$K$5:$K$599,"P1")</f>
        <v>2</v>
      </c>
      <c r="E9" s="33" t="s">
        <v>47</v>
      </c>
      <c r="F9" s="26" t="n">
        <f aca="false">COUNTIF('السجل الجامع'!$B$5:$B$599,$E9)</f>
        <v>39</v>
      </c>
    </row>
    <row r="10" customFormat="false" ht="15" hidden="false" customHeight="false" outlineLevel="0" collapsed="false">
      <c r="A10" s="33" t="s">
        <v>55</v>
      </c>
      <c r="B10" s="26" t="n">
        <f aca="false">COUNTIF('السجل الجامع'!$J$5:$J$599,$A10)</f>
        <v>40</v>
      </c>
      <c r="C10" s="26" t="n">
        <f aca="false">COUNTIFS('السجل الجامع'!$J$5:$J$599,$A10,'السجل الجامع'!$K$5:$K$599,"P0")+COUNTIFS('السجل الجامع'!$J$5:$J$599,$A10,'السجل الجامع'!$K$5:$K$599,"P1")</f>
        <v>12</v>
      </c>
      <c r="E10" s="33" t="s">
        <v>48</v>
      </c>
      <c r="F10" s="26" t="n">
        <f aca="false">COUNTIF('السجل الجامع'!$B$5:$B$599,$E10)</f>
        <v>36</v>
      </c>
    </row>
    <row r="11" customFormat="false" ht="15" hidden="false" customHeight="false" outlineLevel="0" collapsed="false">
      <c r="A11" s="33" t="s">
        <v>56</v>
      </c>
      <c r="B11" s="26" t="n">
        <f aca="false">COUNTIF('السجل الجامع'!$J$5:$J$599,$A11)</f>
        <v>38</v>
      </c>
      <c r="C11" s="26" t="n">
        <f aca="false">COUNTIFS('السجل الجامع'!$J$5:$J$599,$A11,'السجل الجامع'!$K$5:$K$599,"P0")+COUNTIFS('السجل الجامع'!$J$5:$J$599,$A11,'السجل الجامع'!$K$5:$K$599,"P1")</f>
        <v>1</v>
      </c>
    </row>
    <row r="12" customFormat="false" ht="15" hidden="false" customHeight="false" outlineLevel="0" collapsed="false">
      <c r="A12" s="33" t="s">
        <v>57</v>
      </c>
      <c r="B12" s="26" t="n">
        <f aca="false">COUNTIF('السجل الجامع'!$J$5:$J$599,$A12)</f>
        <v>34</v>
      </c>
      <c r="C12" s="26" t="n">
        <f aca="false">COUNTIFS('السجل الجامع'!$J$5:$J$599,$A12,'السجل الجامع'!$K$5:$K$599,"P0")+COUNTIFS('السجل الجامع'!$J$5:$J$599,$A12,'السجل الجامع'!$K$5:$K$599,"P1")</f>
        <v>8</v>
      </c>
    </row>
    <row r="13" customFormat="false" ht="15" hidden="false" customHeight="false" outlineLevel="0" collapsed="false">
      <c r="A13" s="33" t="s">
        <v>202</v>
      </c>
      <c r="B13" s="26" t="n">
        <f aca="false">COUNTIF('السجل الجامع'!$J$5:$J$599,$A13)</f>
        <v>24</v>
      </c>
      <c r="C13" s="26" t="n">
        <f aca="false">COUNTIFS('السجل الجامع'!$J$5:$J$599,$A13,'السجل الجامع'!$K$5:$K$599,"P0")+COUNTIFS('السجل الجامع'!$J$5:$J$599,$A13,'السجل الجامع'!$K$5:$K$599,"P1")</f>
        <v>4</v>
      </c>
    </row>
    <row r="14" customFormat="false" ht="15" hidden="false" customHeight="false" outlineLevel="0" collapsed="false">
      <c r="A14" s="33" t="s">
        <v>99</v>
      </c>
      <c r="B14" s="26" t="n">
        <f aca="false">COUNTIF('السجل الجامع'!$J$5:$J$599,$A14)</f>
        <v>23</v>
      </c>
      <c r="C14" s="26" t="n">
        <f aca="false">COUNTIFS('السجل الجامع'!$J$5:$J$599,$A14,'السجل الجامع'!$K$5:$K$599,"P0")+COUNTIFS('السجل الجامع'!$J$5:$J$599,$A14,'السجل الجامع'!$K$5:$K$599,"P1")</f>
        <v>4</v>
      </c>
    </row>
    <row r="15" customFormat="false" ht="15" hidden="false" customHeight="false" outlineLevel="0" collapsed="false">
      <c r="A15" s="33" t="s">
        <v>505</v>
      </c>
      <c r="B15" s="26" t="n">
        <f aca="false">COUNTIF('السجل الجامع'!$J$5:$J$599,$A15)</f>
        <v>23</v>
      </c>
      <c r="C15" s="26" t="n">
        <f aca="false">COUNTIFS('السجل الجامع'!$J$5:$J$599,$A15,'السجل الجامع'!$K$5:$K$599,"P0")+COUNTIFS('السجل الجامع'!$J$5:$J$599,$A15,'السجل الجامع'!$K$5:$K$599,"P1")</f>
        <v>6</v>
      </c>
    </row>
    <row r="16" customFormat="false" ht="15" hidden="false" customHeight="false" outlineLevel="0" collapsed="false">
      <c r="A16" s="33" t="s">
        <v>536</v>
      </c>
      <c r="B16" s="26" t="n">
        <f aca="false">COUNTIF('السجل الجامع'!$J$5:$J$599,$A16)</f>
        <v>21</v>
      </c>
      <c r="C16" s="26" t="n">
        <f aca="false">COUNTIFS('السجل الجامع'!$J$5:$J$599,$A16,'السجل الجامع'!$K$5:$K$599,"P0")+COUNTIFS('السجل الجامع'!$J$5:$J$599,$A16,'السجل الجامع'!$K$5:$K$599,"P1")</f>
        <v>2</v>
      </c>
    </row>
    <row r="17" customFormat="false" ht="15" hidden="false" customHeight="false" outlineLevel="0" collapsed="false">
      <c r="A17" s="33" t="s">
        <v>400</v>
      </c>
      <c r="B17" s="26" t="n">
        <f aca="false">COUNTIF('السجل الجامع'!$J$5:$J$599,$A17)</f>
        <v>20</v>
      </c>
      <c r="C17" s="26" t="n">
        <f aca="false">COUNTIFS('السجل الجامع'!$J$5:$J$599,$A17,'السجل الجامع'!$K$5:$K$599,"P0")+COUNTIFS('السجل الجامع'!$J$5:$J$599,$A17,'السجل الجامع'!$K$5:$K$599,"P1")</f>
        <v>5</v>
      </c>
    </row>
    <row r="18" customFormat="false" ht="15" hidden="false" customHeight="false" outlineLevel="0" collapsed="false">
      <c r="A18" s="33" t="s">
        <v>1057</v>
      </c>
      <c r="B18" s="26" t="n">
        <f aca="false">COUNTIF('السجل الجامع'!$J$5:$J$599,$A18)</f>
        <v>14</v>
      </c>
      <c r="C18" s="26" t="n">
        <f aca="false">COUNTIFS('السجل الجامع'!$J$5:$J$599,$A18,'السجل الجامع'!$K$5:$K$599,"P0")+COUNTIFS('السجل الجامع'!$J$5:$J$599,$A18,'السجل الجامع'!$K$5:$K$599,"P1")</f>
        <v>2</v>
      </c>
    </row>
    <row r="19" customFormat="false" ht="15" hidden="false" customHeight="false" outlineLevel="0" collapsed="false">
      <c r="A19" s="33" t="s">
        <v>551</v>
      </c>
      <c r="B19" s="26" t="n">
        <f aca="false">COUNTIF('السجل الجامع'!$J$5:$J$599,$A19)</f>
        <v>10</v>
      </c>
      <c r="C19" s="26" t="n">
        <f aca="false">COUNTIFS('السجل الجامع'!$J$5:$J$599,$A19,'السجل الجامع'!$K$5:$K$599,"P0")+COUNTIFS('السجل الجامع'!$J$5:$J$599,$A19,'السجل الجامع'!$K$5:$K$599,"P1")</f>
        <v>1</v>
      </c>
    </row>
    <row r="20" customFormat="false" ht="15" hidden="false" customHeight="false" outlineLevel="0" collapsed="false">
      <c r="A20" s="33" t="s">
        <v>1269</v>
      </c>
      <c r="B20" s="26" t="n">
        <f aca="false">COUNTIF('السجل الجامع'!$J$5:$J$599,$A20)</f>
        <v>9</v>
      </c>
      <c r="C20" s="26" t="n">
        <f aca="false">COUNTIFS('السجل الجامع'!$J$5:$J$599,$A20,'السجل الجامع'!$K$5:$K$599,"P0")+COUNTIFS('السجل الجامع'!$J$5:$J$599,$A20,'السجل الجامع'!$K$5:$K$599,"P1")</f>
        <v>3</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9"/>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2"/>
    <col collapsed="false" customWidth="true" hidden="false" outlineLevel="0" max="3" min="3" style="0" width="28"/>
    <col collapsed="false" customWidth="true" hidden="false" outlineLevel="0" max="4" min="4" style="0" width="20"/>
    <col collapsed="false" customWidth="true" hidden="false" outlineLevel="0" max="5" min="5" style="0" width="15"/>
    <col collapsed="false" customWidth="true" hidden="false" outlineLevel="0" max="6" min="6" style="0" width="58"/>
    <col collapsed="false" customWidth="true" hidden="false" outlineLevel="0" max="7" min="7" style="0" width="52"/>
    <col collapsed="false" customWidth="true" hidden="false" outlineLevel="0" max="8" min="8" style="0" width="42"/>
    <col collapsed="false" customWidth="true" hidden="false" outlineLevel="0" max="9" min="9" style="0" width="14"/>
  </cols>
  <sheetData>
    <row r="1" customFormat="false" ht="24" hidden="false" customHeight="true" outlineLevel="0" collapsed="false">
      <c r="A1" s="1" t="s">
        <v>7462</v>
      </c>
      <c r="B1" s="1"/>
      <c r="C1" s="1"/>
      <c r="D1" s="1"/>
      <c r="E1" s="1"/>
      <c r="F1" s="1"/>
      <c r="G1" s="1"/>
      <c r="H1" s="1"/>
      <c r="I1" s="1"/>
    </row>
    <row r="2" customFormat="false" ht="15.75" hidden="false" customHeight="true" outlineLevel="0" collapsed="false">
      <c r="A2" s="2" t="s">
        <v>7463</v>
      </c>
      <c r="B2" s="2"/>
      <c r="C2" s="2"/>
      <c r="D2" s="2"/>
      <c r="E2" s="2"/>
      <c r="F2" s="2"/>
      <c r="G2" s="2"/>
      <c r="H2" s="2"/>
      <c r="I2" s="2"/>
    </row>
    <row r="4" customFormat="false" ht="30" hidden="false" customHeight="true" outlineLevel="0" collapsed="false">
      <c r="A4" s="13" t="s">
        <v>61</v>
      </c>
      <c r="B4" s="13" t="s">
        <v>64</v>
      </c>
      <c r="C4" s="13" t="s">
        <v>65</v>
      </c>
      <c r="D4" s="13" t="s">
        <v>70</v>
      </c>
      <c r="E4" s="13" t="s">
        <v>85</v>
      </c>
      <c r="F4" s="13" t="s">
        <v>69</v>
      </c>
      <c r="G4" s="13" t="s">
        <v>84</v>
      </c>
      <c r="H4" s="13" t="s">
        <v>74</v>
      </c>
      <c r="I4" s="13" t="s">
        <v>88</v>
      </c>
    </row>
    <row r="5" customFormat="false" ht="78" hidden="false" customHeight="true" outlineLevel="0" collapsed="false">
      <c r="A5" s="14" t="s">
        <v>7464</v>
      </c>
      <c r="B5" s="14" t="s">
        <v>298</v>
      </c>
      <c r="C5" s="14" t="s">
        <v>313</v>
      </c>
      <c r="D5" s="14" t="s">
        <v>57</v>
      </c>
      <c r="E5" s="14" t="s">
        <v>100</v>
      </c>
      <c r="F5" s="14" t="s">
        <v>7465</v>
      </c>
      <c r="G5" s="14" t="s">
        <v>7466</v>
      </c>
      <c r="H5" s="14" t="s">
        <v>7467</v>
      </c>
      <c r="I5" s="14" t="s">
        <v>147</v>
      </c>
    </row>
    <row r="6" customFormat="false" ht="78" hidden="false" customHeight="true" outlineLevel="0" collapsed="false">
      <c r="A6" s="14" t="s">
        <v>7468</v>
      </c>
      <c r="B6" s="14" t="s">
        <v>298</v>
      </c>
      <c r="C6" s="14" t="s">
        <v>1843</v>
      </c>
      <c r="D6" s="14" t="s">
        <v>50</v>
      </c>
      <c r="E6" s="14" t="s">
        <v>194</v>
      </c>
      <c r="F6" s="14" t="s">
        <v>7469</v>
      </c>
      <c r="G6" s="14" t="s">
        <v>7470</v>
      </c>
      <c r="H6" s="14" t="s">
        <v>7471</v>
      </c>
      <c r="I6" s="14" t="s">
        <v>131</v>
      </c>
    </row>
    <row r="7" customFormat="false" ht="78" hidden="false" customHeight="true" outlineLevel="0" collapsed="false">
      <c r="A7" s="14" t="s">
        <v>7472</v>
      </c>
      <c r="B7" s="14" t="s">
        <v>298</v>
      </c>
      <c r="C7" s="14" t="s">
        <v>1843</v>
      </c>
      <c r="D7" s="14" t="s">
        <v>54</v>
      </c>
      <c r="E7" s="14" t="s">
        <v>1668</v>
      </c>
      <c r="F7" s="14" t="s">
        <v>7473</v>
      </c>
      <c r="G7" s="14" t="s">
        <v>7474</v>
      </c>
      <c r="H7" s="14" t="s">
        <v>7475</v>
      </c>
      <c r="I7" s="14" t="s">
        <v>559</v>
      </c>
    </row>
    <row r="8" customFormat="false" ht="78" hidden="false" customHeight="true" outlineLevel="0" collapsed="false">
      <c r="A8" s="14" t="s">
        <v>7476</v>
      </c>
      <c r="B8" s="14" t="s">
        <v>298</v>
      </c>
      <c r="C8" s="14" t="s">
        <v>7477</v>
      </c>
      <c r="D8" s="14" t="s">
        <v>50</v>
      </c>
      <c r="E8" s="14" t="s">
        <v>1668</v>
      </c>
      <c r="F8" s="14" t="s">
        <v>7478</v>
      </c>
      <c r="G8" s="14" t="s">
        <v>7479</v>
      </c>
      <c r="H8" s="14" t="s">
        <v>7480</v>
      </c>
      <c r="I8" s="14" t="s">
        <v>131</v>
      </c>
    </row>
    <row r="9" customFormat="false" ht="78" hidden="false" customHeight="true" outlineLevel="0" collapsed="false">
      <c r="A9" s="14" t="s">
        <v>7481</v>
      </c>
      <c r="B9" s="14" t="s">
        <v>298</v>
      </c>
      <c r="C9" s="14" t="s">
        <v>7477</v>
      </c>
      <c r="D9" s="14" t="s">
        <v>52</v>
      </c>
      <c r="E9" s="14" t="s">
        <v>1668</v>
      </c>
      <c r="F9" s="14" t="s">
        <v>7482</v>
      </c>
      <c r="G9" s="14" t="s">
        <v>7483</v>
      </c>
      <c r="H9" s="14" t="s">
        <v>7484</v>
      </c>
      <c r="I9" s="14" t="s">
        <v>2204</v>
      </c>
    </row>
    <row r="10" customFormat="false" ht="78" hidden="false" customHeight="true" outlineLevel="0" collapsed="false">
      <c r="A10" s="14" t="s">
        <v>7485</v>
      </c>
      <c r="B10" s="14" t="s">
        <v>298</v>
      </c>
      <c r="C10" s="14" t="s">
        <v>313</v>
      </c>
      <c r="D10" s="14" t="s">
        <v>50</v>
      </c>
      <c r="E10" s="14" t="s">
        <v>1668</v>
      </c>
      <c r="F10" s="14" t="s">
        <v>7486</v>
      </c>
      <c r="G10" s="14" t="s">
        <v>7487</v>
      </c>
      <c r="H10" s="14" t="s">
        <v>7488</v>
      </c>
      <c r="I10" s="14" t="s">
        <v>131</v>
      </c>
    </row>
    <row r="11" customFormat="false" ht="78" hidden="false" customHeight="true" outlineLevel="0" collapsed="false">
      <c r="A11" s="14" t="s">
        <v>7489</v>
      </c>
      <c r="B11" s="14" t="s">
        <v>38</v>
      </c>
      <c r="C11" s="14" t="s">
        <v>7490</v>
      </c>
      <c r="D11" s="14" t="s">
        <v>53</v>
      </c>
      <c r="E11" s="14" t="s">
        <v>1668</v>
      </c>
      <c r="F11" s="14" t="s">
        <v>7491</v>
      </c>
      <c r="G11" s="14" t="s">
        <v>7492</v>
      </c>
      <c r="H11" s="14" t="s">
        <v>7493</v>
      </c>
      <c r="I11" s="14" t="s">
        <v>921</v>
      </c>
    </row>
    <row r="12" customFormat="false" ht="78" hidden="false" customHeight="true" outlineLevel="0" collapsed="false">
      <c r="A12" s="14" t="s">
        <v>7494</v>
      </c>
      <c r="B12" s="14" t="s">
        <v>38</v>
      </c>
      <c r="C12" s="14" t="s">
        <v>433</v>
      </c>
      <c r="D12" s="14" t="s">
        <v>57</v>
      </c>
      <c r="E12" s="14" t="s">
        <v>100</v>
      </c>
      <c r="F12" s="14" t="s">
        <v>7495</v>
      </c>
      <c r="G12" s="14" t="s">
        <v>7496</v>
      </c>
      <c r="H12" s="14" t="s">
        <v>7497</v>
      </c>
      <c r="I12" s="14" t="s">
        <v>147</v>
      </c>
    </row>
    <row r="13" customFormat="false" ht="78" hidden="false" customHeight="true" outlineLevel="0" collapsed="false">
      <c r="A13" s="14" t="s">
        <v>7498</v>
      </c>
      <c r="B13" s="14" t="s">
        <v>93</v>
      </c>
      <c r="C13" s="14" t="s">
        <v>7499</v>
      </c>
      <c r="D13" s="14" t="s">
        <v>50</v>
      </c>
      <c r="E13" s="14" t="s">
        <v>1668</v>
      </c>
      <c r="F13" s="14" t="s">
        <v>7500</v>
      </c>
      <c r="G13" s="14" t="s">
        <v>7501</v>
      </c>
      <c r="H13" s="14" t="s">
        <v>7502</v>
      </c>
      <c r="I13" s="14" t="s">
        <v>131</v>
      </c>
    </row>
    <row r="14" customFormat="false" ht="78" hidden="false" customHeight="true" outlineLevel="0" collapsed="false">
      <c r="A14" s="14" t="s">
        <v>7503</v>
      </c>
      <c r="B14" s="14" t="s">
        <v>93</v>
      </c>
      <c r="C14" s="14" t="s">
        <v>461</v>
      </c>
      <c r="D14" s="14" t="s">
        <v>54</v>
      </c>
      <c r="E14" s="14" t="s">
        <v>1668</v>
      </c>
      <c r="F14" s="14" t="s">
        <v>7504</v>
      </c>
      <c r="G14" s="14" t="s">
        <v>7505</v>
      </c>
      <c r="H14" s="14" t="s">
        <v>7506</v>
      </c>
      <c r="I14" s="14" t="s">
        <v>131</v>
      </c>
    </row>
    <row r="15" customFormat="false" ht="78" hidden="false" customHeight="true" outlineLevel="0" collapsed="false">
      <c r="A15" s="14" t="s">
        <v>7507</v>
      </c>
      <c r="B15" s="14" t="s">
        <v>93</v>
      </c>
      <c r="C15" s="14" t="s">
        <v>473</v>
      </c>
      <c r="D15" s="14" t="s">
        <v>57</v>
      </c>
      <c r="E15" s="14" t="s">
        <v>100</v>
      </c>
      <c r="F15" s="14" t="s">
        <v>7508</v>
      </c>
      <c r="G15" s="14" t="s">
        <v>7509</v>
      </c>
      <c r="H15" s="14" t="s">
        <v>7510</v>
      </c>
      <c r="I15" s="14" t="s">
        <v>112</v>
      </c>
    </row>
    <row r="16" customFormat="false" ht="78" hidden="false" customHeight="true" outlineLevel="0" collapsed="false">
      <c r="A16" s="14" t="s">
        <v>7511</v>
      </c>
      <c r="B16" s="14" t="s">
        <v>93</v>
      </c>
      <c r="C16" s="14" t="s">
        <v>7512</v>
      </c>
      <c r="D16" s="14" t="s">
        <v>202</v>
      </c>
      <c r="E16" s="14" t="s">
        <v>1668</v>
      </c>
      <c r="F16" s="14" t="s">
        <v>7513</v>
      </c>
      <c r="G16" s="14" t="s">
        <v>7514</v>
      </c>
      <c r="H16" s="14" t="s">
        <v>7515</v>
      </c>
      <c r="I16" s="14" t="s">
        <v>921</v>
      </c>
    </row>
    <row r="17" customFormat="false" ht="78" hidden="false" customHeight="true" outlineLevel="0" collapsed="false">
      <c r="A17" s="14" t="s">
        <v>7516</v>
      </c>
      <c r="B17" s="14" t="s">
        <v>93</v>
      </c>
      <c r="C17" s="14" t="s">
        <v>7517</v>
      </c>
      <c r="D17" s="14" t="s">
        <v>505</v>
      </c>
      <c r="E17" s="14" t="s">
        <v>1668</v>
      </c>
      <c r="F17" s="14" t="s">
        <v>7518</v>
      </c>
      <c r="G17" s="14" t="s">
        <v>7519</v>
      </c>
      <c r="H17" s="14" t="s">
        <v>7520</v>
      </c>
      <c r="I17" s="14" t="s">
        <v>921</v>
      </c>
    </row>
    <row r="18" customFormat="false" ht="78" hidden="false" customHeight="true" outlineLevel="0" collapsed="false">
      <c r="A18" s="14" t="s">
        <v>7521</v>
      </c>
      <c r="B18" s="14" t="s">
        <v>93</v>
      </c>
      <c r="C18" s="14" t="s">
        <v>7522</v>
      </c>
      <c r="D18" s="14" t="s">
        <v>54</v>
      </c>
      <c r="E18" s="14" t="s">
        <v>5244</v>
      </c>
      <c r="F18" s="14" t="s">
        <v>7523</v>
      </c>
      <c r="G18" s="14" t="s">
        <v>7524</v>
      </c>
      <c r="H18" s="14" t="s">
        <v>7525</v>
      </c>
      <c r="I18" s="14" t="s">
        <v>112</v>
      </c>
    </row>
    <row r="19" customFormat="false" ht="78" hidden="false" customHeight="true" outlineLevel="0" collapsed="false">
      <c r="A19" s="14" t="s">
        <v>7526</v>
      </c>
      <c r="B19" s="14" t="s">
        <v>117</v>
      </c>
      <c r="C19" s="14" t="s">
        <v>7527</v>
      </c>
      <c r="D19" s="14" t="s">
        <v>57</v>
      </c>
      <c r="E19" s="14" t="s">
        <v>1668</v>
      </c>
      <c r="F19" s="14" t="s">
        <v>7528</v>
      </c>
      <c r="G19" s="14" t="s">
        <v>7529</v>
      </c>
      <c r="H19" s="14" t="s">
        <v>7530</v>
      </c>
      <c r="I19" s="14" t="s">
        <v>112</v>
      </c>
    </row>
    <row r="20" customFormat="false" ht="78" hidden="false" customHeight="true" outlineLevel="0" collapsed="false">
      <c r="A20" s="14" t="s">
        <v>7531</v>
      </c>
      <c r="B20" s="14" t="s">
        <v>117</v>
      </c>
      <c r="C20" s="14" t="s">
        <v>7532</v>
      </c>
      <c r="D20" s="14" t="s">
        <v>50</v>
      </c>
      <c r="E20" s="14" t="s">
        <v>194</v>
      </c>
      <c r="F20" s="14" t="s">
        <v>7533</v>
      </c>
      <c r="G20" s="14" t="s">
        <v>7534</v>
      </c>
      <c r="H20" s="14" t="s">
        <v>7535</v>
      </c>
      <c r="I20" s="14" t="s">
        <v>131</v>
      </c>
    </row>
    <row r="21" customFormat="false" ht="78" hidden="false" customHeight="true" outlineLevel="0" collapsed="false">
      <c r="A21" s="14" t="s">
        <v>7536</v>
      </c>
      <c r="B21" s="14" t="s">
        <v>38</v>
      </c>
      <c r="C21" s="14" t="s">
        <v>7537</v>
      </c>
      <c r="D21" s="14" t="s">
        <v>52</v>
      </c>
      <c r="E21" s="14" t="s">
        <v>5244</v>
      </c>
      <c r="F21" s="14" t="s">
        <v>7538</v>
      </c>
      <c r="G21" s="14" t="s">
        <v>7539</v>
      </c>
      <c r="H21" s="14" t="s">
        <v>7540</v>
      </c>
      <c r="I21" s="14" t="s">
        <v>921</v>
      </c>
    </row>
    <row r="22" customFormat="false" ht="78" hidden="false" customHeight="true" outlineLevel="0" collapsed="false">
      <c r="A22" s="14" t="s">
        <v>7541</v>
      </c>
      <c r="B22" s="14" t="s">
        <v>38</v>
      </c>
      <c r="C22" s="14" t="s">
        <v>7542</v>
      </c>
      <c r="D22" s="14" t="s">
        <v>99</v>
      </c>
      <c r="E22" s="14" t="s">
        <v>194</v>
      </c>
      <c r="F22" s="14" t="s">
        <v>7543</v>
      </c>
      <c r="G22" s="14" t="s">
        <v>7544</v>
      </c>
      <c r="H22" s="14" t="s">
        <v>7545</v>
      </c>
      <c r="I22" s="14" t="s">
        <v>112</v>
      </c>
    </row>
    <row r="23" customFormat="false" ht="78" hidden="false" customHeight="true" outlineLevel="0" collapsed="false">
      <c r="A23" s="14" t="s">
        <v>7546</v>
      </c>
      <c r="B23" s="14" t="s">
        <v>38</v>
      </c>
      <c r="C23" s="14" t="s">
        <v>395</v>
      </c>
      <c r="D23" s="14" t="s">
        <v>551</v>
      </c>
      <c r="E23" s="14" t="s">
        <v>5244</v>
      </c>
      <c r="F23" s="14" t="s">
        <v>7547</v>
      </c>
      <c r="G23" s="14" t="s">
        <v>7548</v>
      </c>
      <c r="H23" s="14" t="s">
        <v>7549</v>
      </c>
      <c r="I23" s="14" t="s">
        <v>559</v>
      </c>
    </row>
    <row r="24" customFormat="false" ht="78" hidden="false" customHeight="true" outlineLevel="0" collapsed="false">
      <c r="A24" s="14" t="s">
        <v>7550</v>
      </c>
      <c r="B24" s="14" t="s">
        <v>93</v>
      </c>
      <c r="C24" s="14" t="s">
        <v>7551</v>
      </c>
      <c r="D24" s="14" t="s">
        <v>51</v>
      </c>
      <c r="E24" s="14" t="s">
        <v>194</v>
      </c>
      <c r="F24" s="14" t="s">
        <v>7552</v>
      </c>
      <c r="G24" s="14" t="s">
        <v>7553</v>
      </c>
      <c r="H24" s="14" t="s">
        <v>7554</v>
      </c>
      <c r="I24" s="14" t="s">
        <v>147</v>
      </c>
    </row>
    <row r="25" customFormat="false" ht="78" hidden="false" customHeight="true" outlineLevel="0" collapsed="false">
      <c r="A25" s="14" t="s">
        <v>7555</v>
      </c>
      <c r="B25" s="14" t="s">
        <v>93</v>
      </c>
      <c r="C25" s="14" t="s">
        <v>7556</v>
      </c>
      <c r="D25" s="14" t="s">
        <v>202</v>
      </c>
      <c r="E25" s="14" t="s">
        <v>1668</v>
      </c>
      <c r="F25" s="14" t="s">
        <v>7557</v>
      </c>
      <c r="G25" s="14" t="s">
        <v>7558</v>
      </c>
      <c r="H25" s="14" t="s">
        <v>7559</v>
      </c>
      <c r="I25" s="14" t="s">
        <v>112</v>
      </c>
    </row>
    <row r="26" customFormat="false" ht="78" hidden="false" customHeight="true" outlineLevel="0" collapsed="false">
      <c r="A26" s="14" t="s">
        <v>7560</v>
      </c>
      <c r="B26" s="14" t="s">
        <v>93</v>
      </c>
      <c r="C26" s="14" t="s">
        <v>7561</v>
      </c>
      <c r="D26" s="14" t="s">
        <v>50</v>
      </c>
      <c r="E26" s="14" t="s">
        <v>1668</v>
      </c>
      <c r="F26" s="14" t="s">
        <v>7562</v>
      </c>
      <c r="G26" s="14" t="s">
        <v>7563</v>
      </c>
      <c r="H26" s="14" t="s">
        <v>7564</v>
      </c>
      <c r="I26" s="14" t="s">
        <v>131</v>
      </c>
    </row>
    <row r="27" customFormat="false" ht="78" hidden="false" customHeight="true" outlineLevel="0" collapsed="false">
      <c r="A27" s="14" t="s">
        <v>7565</v>
      </c>
      <c r="B27" s="14" t="s">
        <v>93</v>
      </c>
      <c r="C27" s="14" t="s">
        <v>473</v>
      </c>
      <c r="D27" s="14" t="s">
        <v>52</v>
      </c>
      <c r="E27" s="14" t="s">
        <v>1668</v>
      </c>
      <c r="F27" s="14" t="s">
        <v>7566</v>
      </c>
      <c r="G27" s="14" t="s">
        <v>7567</v>
      </c>
      <c r="H27" s="14" t="s">
        <v>7568</v>
      </c>
      <c r="I27" s="14" t="s">
        <v>921</v>
      </c>
    </row>
    <row r="28" customFormat="false" ht="78" hidden="false" customHeight="true" outlineLevel="0" collapsed="false">
      <c r="A28" s="14" t="s">
        <v>7569</v>
      </c>
      <c r="B28" s="14" t="s">
        <v>117</v>
      </c>
      <c r="C28" s="14" t="s">
        <v>7570</v>
      </c>
      <c r="D28" s="14" t="s">
        <v>57</v>
      </c>
      <c r="E28" s="14" t="s">
        <v>1668</v>
      </c>
      <c r="F28" s="14" t="s">
        <v>7571</v>
      </c>
      <c r="G28" s="14" t="s">
        <v>7572</v>
      </c>
      <c r="H28" s="14" t="s">
        <v>7573</v>
      </c>
      <c r="I28" s="14" t="s">
        <v>112</v>
      </c>
    </row>
    <row r="29" customFormat="false" ht="78" hidden="false" customHeight="true" outlineLevel="0" collapsed="false">
      <c r="A29" s="14" t="s">
        <v>7574</v>
      </c>
      <c r="B29" s="14" t="s">
        <v>117</v>
      </c>
      <c r="C29" s="14" t="s">
        <v>7575</v>
      </c>
      <c r="D29" s="14" t="s">
        <v>50</v>
      </c>
      <c r="E29" s="14" t="s">
        <v>1668</v>
      </c>
      <c r="F29" s="14" t="s">
        <v>7576</v>
      </c>
      <c r="G29" s="14" t="s">
        <v>7577</v>
      </c>
      <c r="H29" s="14" t="s">
        <v>7578</v>
      </c>
      <c r="I29" s="14" t="s">
        <v>921</v>
      </c>
    </row>
    <row r="30" customFormat="false" ht="78" hidden="false" customHeight="true" outlineLevel="0" collapsed="false">
      <c r="A30" s="14" t="s">
        <v>7579</v>
      </c>
      <c r="B30" s="14" t="s">
        <v>564</v>
      </c>
      <c r="C30" s="14" t="s">
        <v>7580</v>
      </c>
      <c r="D30" s="14" t="s">
        <v>53</v>
      </c>
      <c r="E30" s="14" t="s">
        <v>1668</v>
      </c>
      <c r="F30" s="14" t="s">
        <v>7581</v>
      </c>
      <c r="G30" s="14" t="s">
        <v>7582</v>
      </c>
      <c r="H30" s="14" t="s">
        <v>7583</v>
      </c>
      <c r="I30" s="14" t="s">
        <v>112</v>
      </c>
    </row>
    <row r="31" customFormat="false" ht="78" hidden="false" customHeight="true" outlineLevel="0" collapsed="false">
      <c r="A31" s="14" t="s">
        <v>7584</v>
      </c>
      <c r="B31" s="14" t="s">
        <v>564</v>
      </c>
      <c r="C31" s="14" t="s">
        <v>7585</v>
      </c>
      <c r="D31" s="14" t="s">
        <v>50</v>
      </c>
      <c r="E31" s="14" t="s">
        <v>194</v>
      </c>
      <c r="F31" s="14" t="s">
        <v>7586</v>
      </c>
      <c r="G31" s="14" t="s">
        <v>7587</v>
      </c>
      <c r="H31" s="14" t="s">
        <v>7588</v>
      </c>
      <c r="I31" s="14" t="s">
        <v>131</v>
      </c>
    </row>
    <row r="32" customFormat="false" ht="78" hidden="false" customHeight="true" outlineLevel="0" collapsed="false">
      <c r="A32" s="14" t="s">
        <v>7589</v>
      </c>
      <c r="B32" s="14" t="s">
        <v>564</v>
      </c>
      <c r="C32" s="14" t="s">
        <v>2269</v>
      </c>
      <c r="D32" s="14" t="s">
        <v>50</v>
      </c>
      <c r="E32" s="14" t="s">
        <v>194</v>
      </c>
      <c r="F32" s="14" t="s">
        <v>7590</v>
      </c>
      <c r="G32" s="14" t="s">
        <v>7591</v>
      </c>
      <c r="H32" s="14" t="s">
        <v>7592</v>
      </c>
      <c r="I32" s="14" t="s">
        <v>131</v>
      </c>
    </row>
    <row r="33" customFormat="false" ht="78" hidden="false" customHeight="true" outlineLevel="0" collapsed="false">
      <c r="A33" s="14" t="s">
        <v>7593</v>
      </c>
      <c r="B33" s="14" t="s">
        <v>564</v>
      </c>
      <c r="C33" s="14" t="s">
        <v>5769</v>
      </c>
      <c r="D33" s="14" t="s">
        <v>57</v>
      </c>
      <c r="E33" s="14" t="s">
        <v>194</v>
      </c>
      <c r="F33" s="14" t="s">
        <v>7594</v>
      </c>
      <c r="G33" s="14" t="s">
        <v>7595</v>
      </c>
      <c r="H33" s="14" t="s">
        <v>7596</v>
      </c>
      <c r="I33" s="14" t="s">
        <v>147</v>
      </c>
    </row>
    <row r="34" customFormat="false" ht="78" hidden="false" customHeight="true" outlineLevel="0" collapsed="false">
      <c r="A34" s="14" t="s">
        <v>7597</v>
      </c>
      <c r="B34" s="14" t="s">
        <v>564</v>
      </c>
      <c r="C34" s="14" t="s">
        <v>2255</v>
      </c>
      <c r="D34" s="14" t="s">
        <v>50</v>
      </c>
      <c r="E34" s="14" t="s">
        <v>100</v>
      </c>
      <c r="F34" s="14" t="s">
        <v>7598</v>
      </c>
      <c r="G34" s="14" t="s">
        <v>7599</v>
      </c>
      <c r="H34" s="14" t="s">
        <v>7600</v>
      </c>
      <c r="I34" s="14" t="s">
        <v>131</v>
      </c>
    </row>
    <row r="35" customFormat="false" ht="78" hidden="false" customHeight="true" outlineLevel="0" collapsed="false">
      <c r="A35" s="14" t="s">
        <v>7601</v>
      </c>
      <c r="B35" s="14" t="s">
        <v>564</v>
      </c>
      <c r="C35" s="14" t="s">
        <v>7602</v>
      </c>
      <c r="D35" s="14" t="s">
        <v>50</v>
      </c>
      <c r="E35" s="14" t="s">
        <v>194</v>
      </c>
      <c r="F35" s="14" t="s">
        <v>7603</v>
      </c>
      <c r="G35" s="14" t="s">
        <v>7604</v>
      </c>
      <c r="H35" s="14" t="s">
        <v>7605</v>
      </c>
      <c r="I35" s="14" t="s">
        <v>131</v>
      </c>
    </row>
    <row r="36" customFormat="false" ht="78" hidden="false" customHeight="true" outlineLevel="0" collapsed="false">
      <c r="A36" s="14" t="s">
        <v>7606</v>
      </c>
      <c r="B36" s="14" t="s">
        <v>564</v>
      </c>
      <c r="C36" s="14" t="s">
        <v>7607</v>
      </c>
      <c r="D36" s="14" t="s">
        <v>56</v>
      </c>
      <c r="E36" s="14" t="s">
        <v>1668</v>
      </c>
      <c r="F36" s="14" t="s">
        <v>7608</v>
      </c>
      <c r="G36" s="14" t="s">
        <v>7609</v>
      </c>
      <c r="H36" s="14" t="s">
        <v>7610</v>
      </c>
      <c r="I36" s="14" t="s">
        <v>921</v>
      </c>
    </row>
    <row r="37" customFormat="false" ht="78" hidden="false" customHeight="true" outlineLevel="0" collapsed="false">
      <c r="A37" s="14" t="s">
        <v>7611</v>
      </c>
      <c r="B37" s="14" t="s">
        <v>564</v>
      </c>
      <c r="C37" s="14" t="s">
        <v>1855</v>
      </c>
      <c r="D37" s="14" t="s">
        <v>53</v>
      </c>
      <c r="E37" s="14" t="s">
        <v>5244</v>
      </c>
      <c r="F37" s="14" t="s">
        <v>7612</v>
      </c>
      <c r="G37" s="14" t="s">
        <v>7613</v>
      </c>
      <c r="H37" s="14" t="s">
        <v>7614</v>
      </c>
      <c r="I37" s="14" t="s">
        <v>112</v>
      </c>
    </row>
    <row r="38" customFormat="false" ht="78" hidden="false" customHeight="true" outlineLevel="0" collapsed="false">
      <c r="A38" s="14" t="s">
        <v>7615</v>
      </c>
      <c r="B38" s="14" t="s">
        <v>564</v>
      </c>
      <c r="C38" s="14" t="s">
        <v>7616</v>
      </c>
      <c r="D38" s="14" t="s">
        <v>57</v>
      </c>
      <c r="E38" s="14" t="s">
        <v>194</v>
      </c>
      <c r="F38" s="14" t="s">
        <v>7617</v>
      </c>
      <c r="G38" s="14" t="s">
        <v>7618</v>
      </c>
      <c r="H38" s="14" t="s">
        <v>7619</v>
      </c>
      <c r="I38" s="14" t="s">
        <v>147</v>
      </c>
    </row>
    <row r="39" customFormat="false" ht="78" hidden="false" customHeight="true" outlineLevel="0" collapsed="false">
      <c r="A39" s="14" t="s">
        <v>7620</v>
      </c>
      <c r="B39" s="14" t="s">
        <v>34</v>
      </c>
      <c r="C39" s="14" t="s">
        <v>6090</v>
      </c>
      <c r="D39" s="14" t="s">
        <v>51</v>
      </c>
      <c r="E39" s="14" t="s">
        <v>100</v>
      </c>
      <c r="F39" s="14" t="s">
        <v>7621</v>
      </c>
      <c r="G39" s="14" t="s">
        <v>7622</v>
      </c>
      <c r="H39" s="14" t="s">
        <v>7623</v>
      </c>
      <c r="I39" s="14" t="s">
        <v>147</v>
      </c>
    </row>
    <row r="40" customFormat="false" ht="78" hidden="false" customHeight="true" outlineLevel="0" collapsed="false">
      <c r="A40" s="14" t="s">
        <v>7624</v>
      </c>
      <c r="B40" s="14" t="s">
        <v>34</v>
      </c>
      <c r="C40" s="14" t="s">
        <v>635</v>
      </c>
      <c r="D40" s="14" t="s">
        <v>50</v>
      </c>
      <c r="E40" s="14" t="s">
        <v>194</v>
      </c>
      <c r="F40" s="14" t="s">
        <v>7625</v>
      </c>
      <c r="G40" s="14" t="s">
        <v>7626</v>
      </c>
      <c r="H40" s="14" t="s">
        <v>7627</v>
      </c>
      <c r="I40" s="14" t="s">
        <v>131</v>
      </c>
    </row>
    <row r="41" customFormat="false" ht="78" hidden="false" customHeight="true" outlineLevel="0" collapsed="false">
      <c r="A41" s="14" t="s">
        <v>7628</v>
      </c>
      <c r="B41" s="14" t="s">
        <v>34</v>
      </c>
      <c r="C41" s="14" t="s">
        <v>7629</v>
      </c>
      <c r="D41" s="14" t="s">
        <v>57</v>
      </c>
      <c r="E41" s="14" t="s">
        <v>1668</v>
      </c>
      <c r="F41" s="14" t="s">
        <v>7630</v>
      </c>
      <c r="G41" s="14" t="s">
        <v>7631</v>
      </c>
      <c r="H41" s="14" t="s">
        <v>7632</v>
      </c>
      <c r="I41" s="14" t="s">
        <v>147</v>
      </c>
    </row>
    <row r="42" customFormat="false" ht="78" hidden="false" customHeight="true" outlineLevel="0" collapsed="false">
      <c r="A42" s="14" t="s">
        <v>7633</v>
      </c>
      <c r="B42" s="14" t="s">
        <v>34</v>
      </c>
      <c r="C42" s="14" t="s">
        <v>7607</v>
      </c>
      <c r="D42" s="14" t="s">
        <v>99</v>
      </c>
      <c r="E42" s="14" t="s">
        <v>100</v>
      </c>
      <c r="F42" s="14" t="s">
        <v>7634</v>
      </c>
      <c r="G42" s="14" t="s">
        <v>7635</v>
      </c>
      <c r="H42" s="14" t="s">
        <v>7636</v>
      </c>
      <c r="I42" s="14" t="s">
        <v>112</v>
      </c>
    </row>
    <row r="43" customFormat="false" ht="78" hidden="false" customHeight="true" outlineLevel="0" collapsed="false">
      <c r="A43" s="14" t="s">
        <v>7637</v>
      </c>
      <c r="B43" s="14" t="s">
        <v>34</v>
      </c>
      <c r="C43" s="14" t="s">
        <v>7638</v>
      </c>
      <c r="D43" s="14" t="s">
        <v>57</v>
      </c>
      <c r="E43" s="14" t="s">
        <v>194</v>
      </c>
      <c r="F43" s="14" t="s">
        <v>7639</v>
      </c>
      <c r="G43" s="14" t="s">
        <v>7640</v>
      </c>
      <c r="H43" s="14" t="s">
        <v>7641</v>
      </c>
      <c r="I43" s="14" t="s">
        <v>112</v>
      </c>
    </row>
    <row r="44" customFormat="false" ht="78" hidden="false" customHeight="true" outlineLevel="0" collapsed="false">
      <c r="A44" s="14" t="s">
        <v>7642</v>
      </c>
      <c r="B44" s="14" t="s">
        <v>32</v>
      </c>
      <c r="C44" s="14" t="s">
        <v>7643</v>
      </c>
      <c r="D44" s="14" t="s">
        <v>50</v>
      </c>
      <c r="E44" s="14" t="s">
        <v>100</v>
      </c>
      <c r="F44" s="14" t="s">
        <v>7644</v>
      </c>
      <c r="G44" s="14" t="s">
        <v>7645</v>
      </c>
      <c r="H44" s="14" t="s">
        <v>7646</v>
      </c>
      <c r="I44" s="14" t="s">
        <v>131</v>
      </c>
    </row>
    <row r="45" customFormat="false" ht="78" hidden="false" customHeight="true" outlineLevel="0" collapsed="false">
      <c r="A45" s="14" t="s">
        <v>7647</v>
      </c>
      <c r="B45" s="14" t="s">
        <v>32</v>
      </c>
      <c r="C45" s="14" t="s">
        <v>2643</v>
      </c>
      <c r="D45" s="14" t="s">
        <v>53</v>
      </c>
      <c r="E45" s="14" t="s">
        <v>194</v>
      </c>
      <c r="F45" s="14" t="s">
        <v>7648</v>
      </c>
      <c r="G45" s="14" t="s">
        <v>7649</v>
      </c>
      <c r="H45" s="14" t="s">
        <v>7650</v>
      </c>
      <c r="I45" s="14" t="s">
        <v>131</v>
      </c>
    </row>
    <row r="46" customFormat="false" ht="78" hidden="false" customHeight="true" outlineLevel="0" collapsed="false">
      <c r="A46" s="14" t="s">
        <v>7651</v>
      </c>
      <c r="B46" s="14" t="s">
        <v>150</v>
      </c>
      <c r="C46" s="14" t="s">
        <v>7652</v>
      </c>
      <c r="D46" s="14" t="s">
        <v>50</v>
      </c>
      <c r="E46" s="14" t="s">
        <v>100</v>
      </c>
      <c r="F46" s="14" t="s">
        <v>7653</v>
      </c>
      <c r="G46" s="14" t="s">
        <v>7654</v>
      </c>
      <c r="H46" s="14" t="s">
        <v>7655</v>
      </c>
      <c r="I46" s="14" t="s">
        <v>131</v>
      </c>
    </row>
    <row r="47" customFormat="false" ht="78" hidden="false" customHeight="true" outlineLevel="0" collapsed="false">
      <c r="A47" s="14" t="s">
        <v>7656</v>
      </c>
      <c r="B47" s="14" t="s">
        <v>150</v>
      </c>
      <c r="C47" s="14" t="s">
        <v>7657</v>
      </c>
      <c r="D47" s="14" t="s">
        <v>52</v>
      </c>
      <c r="E47" s="14" t="s">
        <v>5244</v>
      </c>
      <c r="F47" s="14" t="s">
        <v>7658</v>
      </c>
      <c r="G47" s="14" t="s">
        <v>7659</v>
      </c>
      <c r="H47" s="14" t="s">
        <v>7660</v>
      </c>
      <c r="I47" s="14" t="s">
        <v>921</v>
      </c>
    </row>
    <row r="48" customFormat="false" ht="78" hidden="false" customHeight="true" outlineLevel="0" collapsed="false">
      <c r="A48" s="14" t="s">
        <v>7661</v>
      </c>
      <c r="B48" s="14" t="s">
        <v>150</v>
      </c>
      <c r="C48" s="14" t="s">
        <v>7662</v>
      </c>
      <c r="D48" s="14" t="s">
        <v>50</v>
      </c>
      <c r="E48" s="14" t="s">
        <v>1668</v>
      </c>
      <c r="F48" s="14" t="s">
        <v>7663</v>
      </c>
      <c r="G48" s="14" t="s">
        <v>7664</v>
      </c>
      <c r="H48" s="14" t="s">
        <v>7665</v>
      </c>
      <c r="I48" s="14" t="s">
        <v>131</v>
      </c>
    </row>
    <row r="49" customFormat="false" ht="78" hidden="false" customHeight="true" outlineLevel="0" collapsed="false">
      <c r="A49" s="14" t="s">
        <v>7666</v>
      </c>
      <c r="B49" s="14" t="s">
        <v>150</v>
      </c>
      <c r="C49" s="14" t="s">
        <v>7667</v>
      </c>
      <c r="D49" s="14" t="s">
        <v>50</v>
      </c>
      <c r="E49" s="14" t="s">
        <v>1668</v>
      </c>
      <c r="F49" s="14" t="s">
        <v>7668</v>
      </c>
      <c r="G49" s="14" t="s">
        <v>7669</v>
      </c>
      <c r="H49" s="14" t="s">
        <v>7670</v>
      </c>
      <c r="I49" s="14" t="s">
        <v>131</v>
      </c>
    </row>
    <row r="50" customFormat="false" ht="78" hidden="false" customHeight="true" outlineLevel="0" collapsed="false">
      <c r="A50" s="14" t="s">
        <v>7671</v>
      </c>
      <c r="B50" s="14" t="s">
        <v>30</v>
      </c>
      <c r="C50" s="14" t="s">
        <v>895</v>
      </c>
      <c r="D50" s="14" t="s">
        <v>99</v>
      </c>
      <c r="E50" s="14" t="s">
        <v>100</v>
      </c>
      <c r="F50" s="14" t="s">
        <v>7672</v>
      </c>
      <c r="G50" s="14" t="s">
        <v>7673</v>
      </c>
      <c r="H50" s="14" t="s">
        <v>7674</v>
      </c>
      <c r="I50" s="14" t="s">
        <v>112</v>
      </c>
    </row>
    <row r="51" customFormat="false" ht="78" hidden="false" customHeight="true" outlineLevel="0" collapsed="false">
      <c r="A51" s="14" t="s">
        <v>7675</v>
      </c>
      <c r="B51" s="14" t="s">
        <v>30</v>
      </c>
      <c r="C51" s="14" t="s">
        <v>998</v>
      </c>
      <c r="D51" s="14" t="s">
        <v>51</v>
      </c>
      <c r="E51" s="14" t="s">
        <v>100</v>
      </c>
      <c r="F51" s="14" t="s">
        <v>7676</v>
      </c>
      <c r="G51" s="14" t="s">
        <v>7677</v>
      </c>
      <c r="H51" s="14" t="s">
        <v>7678</v>
      </c>
      <c r="I51" s="14" t="s">
        <v>131</v>
      </c>
    </row>
    <row r="52" customFormat="false" ht="78" hidden="false" customHeight="true" outlineLevel="0" collapsed="false">
      <c r="A52" s="14" t="s">
        <v>7679</v>
      </c>
      <c r="B52" s="14" t="s">
        <v>30</v>
      </c>
      <c r="C52" s="14" t="s">
        <v>7680</v>
      </c>
      <c r="D52" s="14" t="s">
        <v>53</v>
      </c>
      <c r="E52" s="14" t="s">
        <v>1668</v>
      </c>
      <c r="F52" s="14" t="s">
        <v>7681</v>
      </c>
      <c r="G52" s="14" t="s">
        <v>7682</v>
      </c>
      <c r="H52" s="14" t="s">
        <v>7683</v>
      </c>
      <c r="I52" s="14" t="s">
        <v>921</v>
      </c>
    </row>
    <row r="53" customFormat="false" ht="78" hidden="false" customHeight="true" outlineLevel="0" collapsed="false">
      <c r="A53" s="14" t="s">
        <v>7684</v>
      </c>
      <c r="B53" s="14" t="s">
        <v>30</v>
      </c>
      <c r="C53" s="14" t="s">
        <v>7685</v>
      </c>
      <c r="D53" s="14" t="s">
        <v>202</v>
      </c>
      <c r="E53" s="14" t="s">
        <v>194</v>
      </c>
      <c r="F53" s="14" t="s">
        <v>7686</v>
      </c>
      <c r="G53" s="14" t="s">
        <v>7687</v>
      </c>
      <c r="H53" s="14" t="s">
        <v>7688</v>
      </c>
      <c r="I53" s="14" t="s">
        <v>921</v>
      </c>
    </row>
    <row r="54" customFormat="false" ht="78" hidden="false" customHeight="true" outlineLevel="0" collapsed="false">
      <c r="A54" s="14" t="s">
        <v>7689</v>
      </c>
      <c r="B54" s="14" t="s">
        <v>30</v>
      </c>
      <c r="C54" s="14" t="s">
        <v>7690</v>
      </c>
      <c r="D54" s="14" t="s">
        <v>202</v>
      </c>
      <c r="E54" s="14" t="s">
        <v>194</v>
      </c>
      <c r="F54" s="14" t="s">
        <v>7691</v>
      </c>
      <c r="G54" s="14" t="s">
        <v>7692</v>
      </c>
      <c r="H54" s="14" t="s">
        <v>7693</v>
      </c>
      <c r="I54" s="14" t="s">
        <v>921</v>
      </c>
    </row>
    <row r="55" customFormat="false" ht="78" hidden="false" customHeight="true" outlineLevel="0" collapsed="false">
      <c r="A55" s="14" t="s">
        <v>7694</v>
      </c>
      <c r="B55" s="14" t="s">
        <v>30</v>
      </c>
      <c r="C55" s="14" t="s">
        <v>7695</v>
      </c>
      <c r="D55" s="14" t="s">
        <v>50</v>
      </c>
      <c r="E55" s="14" t="s">
        <v>100</v>
      </c>
      <c r="F55" s="14" t="s">
        <v>7696</v>
      </c>
      <c r="G55" s="14" t="s">
        <v>7697</v>
      </c>
      <c r="H55" s="14" t="s">
        <v>7698</v>
      </c>
      <c r="I55" s="14" t="s">
        <v>131</v>
      </c>
    </row>
    <row r="56" customFormat="false" ht="78" hidden="false" customHeight="true" outlineLevel="0" collapsed="false">
      <c r="A56" s="14" t="s">
        <v>7699</v>
      </c>
      <c r="B56" s="14" t="s">
        <v>30</v>
      </c>
      <c r="C56" s="14" t="s">
        <v>7700</v>
      </c>
      <c r="D56" s="14" t="s">
        <v>53</v>
      </c>
      <c r="E56" s="14" t="s">
        <v>194</v>
      </c>
      <c r="F56" s="14" t="s">
        <v>7701</v>
      </c>
      <c r="G56" s="14" t="s">
        <v>7702</v>
      </c>
      <c r="H56" s="14" t="s">
        <v>7703</v>
      </c>
      <c r="I56" s="14" t="s">
        <v>921</v>
      </c>
    </row>
    <row r="57" customFormat="false" ht="78" hidden="false" customHeight="true" outlineLevel="0" collapsed="false">
      <c r="A57" s="14" t="s">
        <v>7704</v>
      </c>
      <c r="B57" s="14" t="s">
        <v>30</v>
      </c>
      <c r="C57" s="14" t="s">
        <v>7705</v>
      </c>
      <c r="D57" s="14" t="s">
        <v>51</v>
      </c>
      <c r="E57" s="14" t="s">
        <v>194</v>
      </c>
      <c r="F57" s="14" t="s">
        <v>7706</v>
      </c>
      <c r="G57" s="14" t="s">
        <v>7707</v>
      </c>
      <c r="H57" s="14" t="s">
        <v>7708</v>
      </c>
      <c r="I57" s="14" t="s">
        <v>131</v>
      </c>
    </row>
    <row r="58" customFormat="false" ht="78" hidden="false" customHeight="true" outlineLevel="0" collapsed="false">
      <c r="A58" s="14" t="s">
        <v>7709</v>
      </c>
      <c r="B58" s="14" t="s">
        <v>30</v>
      </c>
      <c r="C58" s="14" t="s">
        <v>7710</v>
      </c>
      <c r="D58" s="14" t="s">
        <v>54</v>
      </c>
      <c r="E58" s="14" t="s">
        <v>194</v>
      </c>
      <c r="F58" s="14" t="s">
        <v>7711</v>
      </c>
      <c r="G58" s="14" t="s">
        <v>7712</v>
      </c>
      <c r="H58" s="14" t="s">
        <v>7713</v>
      </c>
      <c r="I58" s="14" t="s">
        <v>559</v>
      </c>
    </row>
    <row r="59" customFormat="false" ht="78" hidden="false" customHeight="true" outlineLevel="0" collapsed="false">
      <c r="A59" s="14" t="s">
        <v>7714</v>
      </c>
      <c r="B59" s="14" t="s">
        <v>30</v>
      </c>
      <c r="C59" s="14" t="s">
        <v>7715</v>
      </c>
      <c r="D59" s="14" t="s">
        <v>52</v>
      </c>
      <c r="E59" s="14" t="s">
        <v>1668</v>
      </c>
      <c r="F59" s="14" t="s">
        <v>7716</v>
      </c>
      <c r="G59" s="14" t="s">
        <v>7717</v>
      </c>
      <c r="H59" s="14" t="s">
        <v>7718</v>
      </c>
      <c r="I59" s="14" t="s">
        <v>921</v>
      </c>
    </row>
    <row r="60" customFormat="false" ht="78" hidden="false" customHeight="true" outlineLevel="0" collapsed="false">
      <c r="A60" s="14" t="s">
        <v>7719</v>
      </c>
      <c r="B60" s="14" t="s">
        <v>30</v>
      </c>
      <c r="C60" s="14" t="s">
        <v>7720</v>
      </c>
      <c r="D60" s="14" t="s">
        <v>54</v>
      </c>
      <c r="E60" s="14" t="s">
        <v>194</v>
      </c>
      <c r="F60" s="14" t="s">
        <v>7721</v>
      </c>
      <c r="G60" s="14" t="s">
        <v>7722</v>
      </c>
      <c r="H60" s="14" t="s">
        <v>7723</v>
      </c>
      <c r="I60" s="14" t="s">
        <v>559</v>
      </c>
    </row>
    <row r="61" customFormat="false" ht="78" hidden="false" customHeight="true" outlineLevel="0" collapsed="false">
      <c r="A61" s="14" t="s">
        <v>7724</v>
      </c>
      <c r="B61" s="14" t="s">
        <v>1051</v>
      </c>
      <c r="C61" s="14" t="s">
        <v>1068</v>
      </c>
      <c r="D61" s="14" t="s">
        <v>57</v>
      </c>
      <c r="E61" s="14" t="s">
        <v>100</v>
      </c>
      <c r="F61" s="14" t="s">
        <v>7725</v>
      </c>
      <c r="G61" s="14" t="s">
        <v>7726</v>
      </c>
      <c r="H61" s="14" t="s">
        <v>7727</v>
      </c>
      <c r="I61" s="14" t="s">
        <v>112</v>
      </c>
    </row>
    <row r="62" customFormat="false" ht="78" hidden="false" customHeight="true" outlineLevel="0" collapsed="false">
      <c r="A62" s="14" t="s">
        <v>7728</v>
      </c>
      <c r="B62" s="14" t="s">
        <v>1051</v>
      </c>
      <c r="C62" s="14" t="s">
        <v>7729</v>
      </c>
      <c r="D62" s="14" t="s">
        <v>55</v>
      </c>
      <c r="E62" s="14" t="s">
        <v>100</v>
      </c>
      <c r="F62" s="14" t="s">
        <v>7730</v>
      </c>
      <c r="G62" s="14" t="s">
        <v>7731</v>
      </c>
      <c r="H62" s="14" t="s">
        <v>7732</v>
      </c>
      <c r="I62" s="14" t="s">
        <v>112</v>
      </c>
    </row>
    <row r="63" customFormat="false" ht="78" hidden="false" customHeight="true" outlineLevel="0" collapsed="false">
      <c r="A63" s="14" t="s">
        <v>7733</v>
      </c>
      <c r="B63" s="14" t="s">
        <v>1051</v>
      </c>
      <c r="C63" s="14" t="s">
        <v>7734</v>
      </c>
      <c r="D63" s="14" t="s">
        <v>1057</v>
      </c>
      <c r="E63" s="14" t="s">
        <v>194</v>
      </c>
      <c r="F63" s="14" t="s">
        <v>7735</v>
      </c>
      <c r="G63" s="14" t="s">
        <v>7736</v>
      </c>
      <c r="H63" s="14" t="s">
        <v>7737</v>
      </c>
      <c r="I63" s="14" t="s">
        <v>112</v>
      </c>
    </row>
    <row r="64" customFormat="false" ht="78" hidden="false" customHeight="true" outlineLevel="0" collapsed="false">
      <c r="A64" s="14" t="s">
        <v>7738</v>
      </c>
      <c r="B64" s="14" t="s">
        <v>1051</v>
      </c>
      <c r="C64" s="14" t="s">
        <v>7739</v>
      </c>
      <c r="D64" s="14" t="s">
        <v>53</v>
      </c>
      <c r="E64" s="14" t="s">
        <v>194</v>
      </c>
      <c r="F64" s="14" t="s">
        <v>6474</v>
      </c>
      <c r="G64" s="14" t="s">
        <v>7740</v>
      </c>
      <c r="H64" s="14" t="s">
        <v>7741</v>
      </c>
      <c r="I64" s="14" t="s">
        <v>921</v>
      </c>
    </row>
    <row r="65" customFormat="false" ht="78" hidden="false" customHeight="true" outlineLevel="0" collapsed="false">
      <c r="A65" s="14" t="s">
        <v>7742</v>
      </c>
      <c r="B65" s="14" t="s">
        <v>1051</v>
      </c>
      <c r="C65" s="14" t="s">
        <v>7743</v>
      </c>
      <c r="D65" s="14" t="s">
        <v>53</v>
      </c>
      <c r="E65" s="14" t="s">
        <v>5244</v>
      </c>
      <c r="F65" s="14" t="s">
        <v>7744</v>
      </c>
      <c r="G65" s="14" t="s">
        <v>7745</v>
      </c>
      <c r="H65" s="14" t="s">
        <v>7746</v>
      </c>
      <c r="I65" s="14" t="s">
        <v>921</v>
      </c>
    </row>
    <row r="66" customFormat="false" ht="78" hidden="false" customHeight="true" outlineLevel="0" collapsed="false">
      <c r="A66" s="14" t="s">
        <v>7747</v>
      </c>
      <c r="B66" s="14" t="s">
        <v>1051</v>
      </c>
      <c r="C66" s="14" t="s">
        <v>7748</v>
      </c>
      <c r="D66" s="14" t="s">
        <v>505</v>
      </c>
      <c r="E66" s="14" t="s">
        <v>194</v>
      </c>
      <c r="F66" s="14" t="s">
        <v>7749</v>
      </c>
      <c r="G66" s="14" t="s">
        <v>7750</v>
      </c>
      <c r="H66" s="14" t="s">
        <v>7751</v>
      </c>
      <c r="I66" s="14" t="s">
        <v>131</v>
      </c>
    </row>
    <row r="67" customFormat="false" ht="78" hidden="false" customHeight="true" outlineLevel="0" collapsed="false">
      <c r="A67" s="14" t="s">
        <v>7752</v>
      </c>
      <c r="B67" s="14" t="s">
        <v>1051</v>
      </c>
      <c r="C67" s="14" t="s">
        <v>7748</v>
      </c>
      <c r="D67" s="14" t="s">
        <v>52</v>
      </c>
      <c r="E67" s="14" t="s">
        <v>5244</v>
      </c>
      <c r="F67" s="14" t="s">
        <v>7753</v>
      </c>
      <c r="G67" s="14" t="s">
        <v>7754</v>
      </c>
      <c r="H67" s="14" t="s">
        <v>7755</v>
      </c>
      <c r="I67" s="14" t="s">
        <v>2204</v>
      </c>
    </row>
    <row r="68" customFormat="false" ht="78" hidden="false" customHeight="true" outlineLevel="0" collapsed="false">
      <c r="A68" s="14" t="s">
        <v>7756</v>
      </c>
      <c r="B68" s="14" t="s">
        <v>1083</v>
      </c>
      <c r="C68" s="14" t="s">
        <v>7757</v>
      </c>
      <c r="D68" s="14" t="s">
        <v>57</v>
      </c>
      <c r="E68" s="14" t="s">
        <v>194</v>
      </c>
      <c r="F68" s="14" t="s">
        <v>7758</v>
      </c>
      <c r="G68" s="14" t="s">
        <v>7759</v>
      </c>
      <c r="H68" s="14" t="s">
        <v>7760</v>
      </c>
      <c r="I68" s="14" t="s">
        <v>147</v>
      </c>
    </row>
    <row r="69" customFormat="false" ht="78" hidden="false" customHeight="true" outlineLevel="0" collapsed="false">
      <c r="A69" s="14" t="s">
        <v>7761</v>
      </c>
      <c r="B69" s="14" t="s">
        <v>1083</v>
      </c>
      <c r="C69" s="14" t="s">
        <v>7762</v>
      </c>
      <c r="D69" s="14" t="s">
        <v>50</v>
      </c>
      <c r="E69" s="14" t="s">
        <v>1668</v>
      </c>
      <c r="F69" s="14" t="s">
        <v>7763</v>
      </c>
      <c r="G69" s="14" t="s">
        <v>7764</v>
      </c>
      <c r="H69" s="14" t="s">
        <v>7765</v>
      </c>
      <c r="I69" s="14" t="s">
        <v>131</v>
      </c>
    </row>
    <row r="70" customFormat="false" ht="78" hidden="false" customHeight="true" outlineLevel="0" collapsed="false">
      <c r="A70" s="14" t="s">
        <v>7766</v>
      </c>
      <c r="B70" s="14" t="s">
        <v>1083</v>
      </c>
      <c r="C70" s="14" t="s">
        <v>7767</v>
      </c>
      <c r="D70" s="14" t="s">
        <v>57</v>
      </c>
      <c r="E70" s="14" t="s">
        <v>194</v>
      </c>
      <c r="F70" s="14" t="s">
        <v>7768</v>
      </c>
      <c r="G70" s="14" t="s">
        <v>7769</v>
      </c>
      <c r="H70" s="14" t="s">
        <v>7770</v>
      </c>
      <c r="I70" s="14" t="s">
        <v>112</v>
      </c>
    </row>
    <row r="71" customFormat="false" ht="78" hidden="false" customHeight="true" outlineLevel="0" collapsed="false">
      <c r="A71" s="14" t="s">
        <v>7771</v>
      </c>
      <c r="B71" s="14" t="s">
        <v>1083</v>
      </c>
      <c r="C71" s="14" t="s">
        <v>7772</v>
      </c>
      <c r="D71" s="14" t="s">
        <v>202</v>
      </c>
      <c r="E71" s="14" t="s">
        <v>1668</v>
      </c>
      <c r="F71" s="14" t="s">
        <v>7773</v>
      </c>
      <c r="G71" s="14" t="s">
        <v>7774</v>
      </c>
      <c r="H71" s="14" t="s">
        <v>7775</v>
      </c>
      <c r="I71" s="14" t="s">
        <v>921</v>
      </c>
    </row>
    <row r="72" customFormat="false" ht="78" hidden="false" customHeight="true" outlineLevel="0" collapsed="false">
      <c r="A72" s="14" t="s">
        <v>7776</v>
      </c>
      <c r="B72" s="14" t="s">
        <v>1149</v>
      </c>
      <c r="C72" s="14" t="s">
        <v>7777</v>
      </c>
      <c r="D72" s="14" t="s">
        <v>57</v>
      </c>
      <c r="E72" s="14" t="s">
        <v>194</v>
      </c>
      <c r="F72" s="14" t="s">
        <v>7778</v>
      </c>
      <c r="G72" s="14" t="s">
        <v>7779</v>
      </c>
      <c r="H72" s="14" t="s">
        <v>7780</v>
      </c>
      <c r="I72" s="14" t="s">
        <v>147</v>
      </c>
    </row>
    <row r="73" customFormat="false" ht="78" hidden="false" customHeight="true" outlineLevel="0" collapsed="false">
      <c r="A73" s="14" t="s">
        <v>7781</v>
      </c>
      <c r="B73" s="14" t="s">
        <v>1149</v>
      </c>
      <c r="C73" s="14" t="s">
        <v>7782</v>
      </c>
      <c r="D73" s="14" t="s">
        <v>202</v>
      </c>
      <c r="E73" s="14" t="s">
        <v>194</v>
      </c>
      <c r="F73" s="14" t="s">
        <v>7783</v>
      </c>
      <c r="G73" s="14" t="s">
        <v>7784</v>
      </c>
      <c r="H73" s="14" t="s">
        <v>7785</v>
      </c>
      <c r="I73" s="14" t="s">
        <v>112</v>
      </c>
    </row>
    <row r="74" customFormat="false" ht="78" hidden="false" customHeight="true" outlineLevel="0" collapsed="false">
      <c r="A74" s="14" t="s">
        <v>7786</v>
      </c>
      <c r="B74" s="14" t="s">
        <v>1149</v>
      </c>
      <c r="C74" s="14" t="s">
        <v>7787</v>
      </c>
      <c r="D74" s="14" t="s">
        <v>53</v>
      </c>
      <c r="E74" s="14" t="s">
        <v>194</v>
      </c>
      <c r="F74" s="14" t="s">
        <v>7788</v>
      </c>
      <c r="G74" s="14" t="s">
        <v>7789</v>
      </c>
      <c r="H74" s="14" t="s">
        <v>7790</v>
      </c>
      <c r="I74" s="14" t="s">
        <v>921</v>
      </c>
    </row>
    <row r="75" customFormat="false" ht="78" hidden="false" customHeight="true" outlineLevel="0" collapsed="false">
      <c r="A75" s="14" t="s">
        <v>7791</v>
      </c>
      <c r="B75" s="14" t="s">
        <v>1149</v>
      </c>
      <c r="C75" s="14" t="s">
        <v>7792</v>
      </c>
      <c r="D75" s="14" t="s">
        <v>202</v>
      </c>
      <c r="E75" s="14" t="s">
        <v>1668</v>
      </c>
      <c r="F75" s="14" t="s">
        <v>7793</v>
      </c>
      <c r="G75" s="14" t="s">
        <v>7794</v>
      </c>
      <c r="H75" s="14" t="s">
        <v>7795</v>
      </c>
      <c r="I75" s="14" t="s">
        <v>921</v>
      </c>
    </row>
    <row r="76" customFormat="false" ht="78" hidden="false" customHeight="true" outlineLevel="0" collapsed="false">
      <c r="A76" s="14" t="s">
        <v>7796</v>
      </c>
      <c r="B76" s="14" t="s">
        <v>1149</v>
      </c>
      <c r="C76" s="14" t="s">
        <v>7797</v>
      </c>
      <c r="D76" s="14" t="s">
        <v>55</v>
      </c>
      <c r="E76" s="14" t="s">
        <v>1668</v>
      </c>
      <c r="F76" s="14" t="s">
        <v>7798</v>
      </c>
      <c r="G76" s="14" t="s">
        <v>7799</v>
      </c>
      <c r="H76" s="14" t="s">
        <v>7800</v>
      </c>
      <c r="I76" s="14" t="s">
        <v>131</v>
      </c>
    </row>
    <row r="77" customFormat="false" ht="78" hidden="false" customHeight="true" outlineLevel="0" collapsed="false">
      <c r="A77" s="14" t="s">
        <v>7801</v>
      </c>
      <c r="B77" s="14" t="s">
        <v>40</v>
      </c>
      <c r="C77" s="14" t="s">
        <v>225</v>
      </c>
      <c r="D77" s="14" t="s">
        <v>50</v>
      </c>
      <c r="E77" s="14" t="s">
        <v>194</v>
      </c>
      <c r="F77" s="14" t="s">
        <v>7802</v>
      </c>
      <c r="G77" s="14" t="s">
        <v>7803</v>
      </c>
      <c r="H77" s="14" t="s">
        <v>7804</v>
      </c>
      <c r="I77" s="14" t="s">
        <v>112</v>
      </c>
    </row>
    <row r="78" customFormat="false" ht="78" hidden="false" customHeight="true" outlineLevel="0" collapsed="false">
      <c r="A78" s="14" t="s">
        <v>7805</v>
      </c>
      <c r="B78" s="14" t="s">
        <v>40</v>
      </c>
      <c r="C78" s="14" t="s">
        <v>7806</v>
      </c>
      <c r="D78" s="14" t="s">
        <v>51</v>
      </c>
      <c r="E78" s="14" t="s">
        <v>1668</v>
      </c>
      <c r="F78" s="14" t="s">
        <v>7807</v>
      </c>
      <c r="G78" s="14" t="s">
        <v>7808</v>
      </c>
      <c r="H78" s="14" t="s">
        <v>7809</v>
      </c>
      <c r="I78" s="14" t="s">
        <v>147</v>
      </c>
    </row>
    <row r="79" customFormat="false" ht="78" hidden="false" customHeight="true" outlineLevel="0" collapsed="false">
      <c r="A79" s="14" t="s">
        <v>7810</v>
      </c>
      <c r="B79" s="14" t="s">
        <v>36</v>
      </c>
      <c r="C79" s="14" t="s">
        <v>1340</v>
      </c>
      <c r="D79" s="14" t="s">
        <v>57</v>
      </c>
      <c r="E79" s="14" t="s">
        <v>1668</v>
      </c>
      <c r="F79" s="14" t="s">
        <v>7811</v>
      </c>
      <c r="G79" s="14" t="s">
        <v>7812</v>
      </c>
      <c r="H79" s="14" t="s">
        <v>7813</v>
      </c>
      <c r="I79" s="14" t="s">
        <v>112</v>
      </c>
    </row>
    <row r="80" customFormat="false" ht="78" hidden="false" customHeight="true" outlineLevel="0" collapsed="false">
      <c r="A80" s="14" t="s">
        <v>7814</v>
      </c>
      <c r="B80" s="14" t="s">
        <v>36</v>
      </c>
      <c r="C80" s="14" t="s">
        <v>7815</v>
      </c>
      <c r="D80" s="14" t="s">
        <v>551</v>
      </c>
      <c r="E80" s="14" t="s">
        <v>1668</v>
      </c>
      <c r="F80" s="14" t="s">
        <v>7816</v>
      </c>
      <c r="G80" s="14" t="s">
        <v>7817</v>
      </c>
      <c r="H80" s="14" t="s">
        <v>7818</v>
      </c>
      <c r="I80" s="14" t="s">
        <v>559</v>
      </c>
    </row>
    <row r="81" customFormat="false" ht="78" hidden="false" customHeight="true" outlineLevel="0" collapsed="false">
      <c r="A81" s="14" t="s">
        <v>7819</v>
      </c>
      <c r="B81" s="14" t="s">
        <v>252</v>
      </c>
      <c r="C81" s="14" t="s">
        <v>7820</v>
      </c>
      <c r="D81" s="14" t="s">
        <v>202</v>
      </c>
      <c r="E81" s="14" t="s">
        <v>194</v>
      </c>
      <c r="F81" s="14" t="s">
        <v>7821</v>
      </c>
      <c r="G81" s="14" t="s">
        <v>7822</v>
      </c>
      <c r="H81" s="14" t="s">
        <v>7823</v>
      </c>
      <c r="I81" s="14" t="s">
        <v>147</v>
      </c>
    </row>
    <row r="82" customFormat="false" ht="78" hidden="false" customHeight="true" outlineLevel="0" collapsed="false">
      <c r="A82" s="14" t="s">
        <v>7824</v>
      </c>
      <c r="B82" s="14" t="s">
        <v>252</v>
      </c>
      <c r="C82" s="14" t="s">
        <v>7825</v>
      </c>
      <c r="D82" s="14" t="s">
        <v>57</v>
      </c>
      <c r="E82" s="14" t="s">
        <v>194</v>
      </c>
      <c r="F82" s="14" t="s">
        <v>7826</v>
      </c>
      <c r="G82" s="14" t="s">
        <v>7827</v>
      </c>
      <c r="H82" s="14" t="s">
        <v>7828</v>
      </c>
      <c r="I82" s="14" t="s">
        <v>112</v>
      </c>
    </row>
    <row r="83" customFormat="false" ht="78" hidden="false" customHeight="true" outlineLevel="0" collapsed="false">
      <c r="A83" s="14" t="s">
        <v>7829</v>
      </c>
      <c r="B83" s="14" t="s">
        <v>1451</v>
      </c>
      <c r="C83" s="14" t="s">
        <v>7830</v>
      </c>
      <c r="D83" s="14" t="s">
        <v>202</v>
      </c>
      <c r="E83" s="14" t="s">
        <v>194</v>
      </c>
      <c r="F83" s="14" t="s">
        <v>7831</v>
      </c>
      <c r="G83" s="14" t="s">
        <v>7832</v>
      </c>
      <c r="H83" s="14" t="s">
        <v>7833</v>
      </c>
      <c r="I83" s="14" t="s">
        <v>147</v>
      </c>
    </row>
    <row r="84" customFormat="false" ht="78" hidden="false" customHeight="true" outlineLevel="0" collapsed="false">
      <c r="A84" s="14" t="s">
        <v>7834</v>
      </c>
      <c r="B84" s="14" t="s">
        <v>1451</v>
      </c>
      <c r="C84" s="14" t="s">
        <v>7835</v>
      </c>
      <c r="D84" s="14" t="s">
        <v>51</v>
      </c>
      <c r="E84" s="14" t="s">
        <v>1668</v>
      </c>
      <c r="F84" s="14" t="s">
        <v>7836</v>
      </c>
      <c r="G84" s="14" t="s">
        <v>7837</v>
      </c>
      <c r="H84" s="14" t="s">
        <v>7838</v>
      </c>
      <c r="I84" s="14" t="s">
        <v>147</v>
      </c>
    </row>
    <row r="85" customFormat="false" ht="78" hidden="false" customHeight="true" outlineLevel="0" collapsed="false">
      <c r="A85" s="14" t="s">
        <v>7839</v>
      </c>
      <c r="B85" s="14" t="s">
        <v>1612</v>
      </c>
      <c r="C85" s="14" t="s">
        <v>1612</v>
      </c>
      <c r="D85" s="14" t="s">
        <v>50</v>
      </c>
      <c r="E85" s="14" t="s">
        <v>1668</v>
      </c>
      <c r="F85" s="14" t="s">
        <v>7840</v>
      </c>
      <c r="G85" s="14" t="s">
        <v>7841</v>
      </c>
      <c r="H85" s="14" t="s">
        <v>7842</v>
      </c>
      <c r="I85" s="14" t="s">
        <v>131</v>
      </c>
    </row>
    <row r="86" customFormat="false" ht="78" hidden="false" customHeight="true" outlineLevel="0" collapsed="false">
      <c r="A86" s="14" t="s">
        <v>7843</v>
      </c>
      <c r="B86" s="14" t="s">
        <v>282</v>
      </c>
      <c r="C86" s="14" t="s">
        <v>7844</v>
      </c>
      <c r="D86" s="14" t="s">
        <v>50</v>
      </c>
      <c r="E86" s="14" t="s">
        <v>100</v>
      </c>
      <c r="F86" s="14" t="s">
        <v>7845</v>
      </c>
      <c r="G86" s="14" t="s">
        <v>7846</v>
      </c>
      <c r="H86" s="14" t="s">
        <v>7847</v>
      </c>
      <c r="I86" s="14" t="s">
        <v>131</v>
      </c>
    </row>
    <row r="87" customFormat="false" ht="78" hidden="false" customHeight="true" outlineLevel="0" collapsed="false">
      <c r="A87" s="14" t="s">
        <v>7848</v>
      </c>
      <c r="B87" s="14" t="s">
        <v>282</v>
      </c>
      <c r="C87" s="14" t="s">
        <v>7849</v>
      </c>
      <c r="D87" s="14" t="s">
        <v>56</v>
      </c>
      <c r="E87" s="14" t="s">
        <v>100</v>
      </c>
      <c r="F87" s="14" t="s">
        <v>7850</v>
      </c>
      <c r="G87" s="14" t="s">
        <v>7851</v>
      </c>
      <c r="H87" s="14" t="s">
        <v>7852</v>
      </c>
      <c r="I87" s="14" t="s">
        <v>921</v>
      </c>
    </row>
    <row r="88" customFormat="false" ht="78" hidden="false" customHeight="true" outlineLevel="0" collapsed="false">
      <c r="A88" s="14" t="s">
        <v>7853</v>
      </c>
      <c r="B88" s="14" t="s">
        <v>282</v>
      </c>
      <c r="C88" s="14" t="s">
        <v>7854</v>
      </c>
      <c r="D88" s="14" t="s">
        <v>54</v>
      </c>
      <c r="E88" s="14" t="s">
        <v>194</v>
      </c>
      <c r="F88" s="14" t="s">
        <v>7855</v>
      </c>
      <c r="G88" s="14" t="s">
        <v>7856</v>
      </c>
      <c r="H88" s="14" t="s">
        <v>7857</v>
      </c>
      <c r="I88" s="14" t="s">
        <v>131</v>
      </c>
    </row>
    <row r="89" customFormat="false" ht="78" hidden="false" customHeight="true" outlineLevel="0" collapsed="false">
      <c r="A89" s="14" t="s">
        <v>7858</v>
      </c>
      <c r="B89" s="14" t="s">
        <v>30</v>
      </c>
      <c r="C89" s="14" t="s">
        <v>7859</v>
      </c>
      <c r="D89" s="14" t="s">
        <v>52</v>
      </c>
      <c r="E89" s="14" t="s">
        <v>1668</v>
      </c>
      <c r="F89" s="14" t="s">
        <v>7860</v>
      </c>
      <c r="G89" s="14" t="s">
        <v>7861</v>
      </c>
      <c r="H89" s="14" t="s">
        <v>7862</v>
      </c>
      <c r="I89" s="14" t="s">
        <v>2204</v>
      </c>
    </row>
    <row r="90" customFormat="false" ht="78" hidden="false" customHeight="true" outlineLevel="0" collapsed="false">
      <c r="A90" s="14" t="s">
        <v>7863</v>
      </c>
      <c r="B90" s="14" t="s">
        <v>150</v>
      </c>
      <c r="C90" s="14" t="s">
        <v>7864</v>
      </c>
      <c r="D90" s="14" t="s">
        <v>51</v>
      </c>
      <c r="E90" s="14" t="s">
        <v>194</v>
      </c>
      <c r="F90" s="14" t="s">
        <v>7865</v>
      </c>
      <c r="G90" s="14" t="s">
        <v>7866</v>
      </c>
      <c r="H90" s="14" t="s">
        <v>7867</v>
      </c>
      <c r="I90" s="14" t="s">
        <v>559</v>
      </c>
    </row>
    <row r="91" customFormat="false" ht="78" hidden="false" customHeight="true" outlineLevel="0" collapsed="false">
      <c r="A91" s="14" t="s">
        <v>7868</v>
      </c>
      <c r="B91" s="14" t="s">
        <v>30</v>
      </c>
      <c r="C91" s="14" t="s">
        <v>7869</v>
      </c>
      <c r="D91" s="14" t="s">
        <v>54</v>
      </c>
      <c r="E91" s="14" t="s">
        <v>100</v>
      </c>
      <c r="F91" s="14" t="s">
        <v>7870</v>
      </c>
      <c r="G91" s="14" t="s">
        <v>7871</v>
      </c>
      <c r="H91" s="14" t="s">
        <v>7872</v>
      </c>
      <c r="I91" s="14" t="s">
        <v>559</v>
      </c>
    </row>
    <row r="92" customFormat="false" ht="78" hidden="false" customHeight="true" outlineLevel="0" collapsed="false">
      <c r="A92" s="14" t="s">
        <v>7873</v>
      </c>
      <c r="B92" s="14" t="s">
        <v>30</v>
      </c>
      <c r="C92" s="14" t="s">
        <v>7874</v>
      </c>
      <c r="D92" s="14" t="s">
        <v>54</v>
      </c>
      <c r="E92" s="14" t="s">
        <v>100</v>
      </c>
      <c r="F92" s="14" t="s">
        <v>7875</v>
      </c>
      <c r="G92" s="14" t="s">
        <v>7876</v>
      </c>
      <c r="H92" s="14" t="s">
        <v>7877</v>
      </c>
      <c r="I92" s="14" t="s">
        <v>559</v>
      </c>
    </row>
    <row r="93" customFormat="false" ht="78" hidden="false" customHeight="true" outlineLevel="0" collapsed="false">
      <c r="A93" s="14" t="s">
        <v>7878</v>
      </c>
      <c r="B93" s="14" t="s">
        <v>30</v>
      </c>
      <c r="C93" s="14" t="s">
        <v>7879</v>
      </c>
      <c r="D93" s="14" t="s">
        <v>54</v>
      </c>
      <c r="E93" s="14" t="s">
        <v>100</v>
      </c>
      <c r="F93" s="14" t="s">
        <v>7880</v>
      </c>
      <c r="G93" s="14" t="s">
        <v>7881</v>
      </c>
      <c r="H93" s="14" t="s">
        <v>7882</v>
      </c>
      <c r="I93" s="14" t="s">
        <v>559</v>
      </c>
    </row>
    <row r="94" customFormat="false" ht="78" hidden="false" customHeight="true" outlineLevel="0" collapsed="false">
      <c r="A94" s="14" t="s">
        <v>7883</v>
      </c>
      <c r="B94" s="14" t="s">
        <v>30</v>
      </c>
      <c r="C94" s="14" t="s">
        <v>7884</v>
      </c>
      <c r="D94" s="14" t="s">
        <v>57</v>
      </c>
      <c r="E94" s="14" t="s">
        <v>194</v>
      </c>
      <c r="F94" s="14" t="s">
        <v>7885</v>
      </c>
      <c r="G94" s="14" t="s">
        <v>7886</v>
      </c>
      <c r="H94" s="14" t="s">
        <v>7887</v>
      </c>
      <c r="I94" s="14" t="s">
        <v>112</v>
      </c>
    </row>
    <row r="95" customFormat="false" ht="78" hidden="false" customHeight="true" outlineLevel="0" collapsed="false">
      <c r="A95" s="14" t="s">
        <v>7888</v>
      </c>
      <c r="B95" s="14" t="s">
        <v>34</v>
      </c>
      <c r="C95" s="14" t="s">
        <v>7889</v>
      </c>
      <c r="D95" s="14" t="s">
        <v>50</v>
      </c>
      <c r="E95" s="14" t="s">
        <v>194</v>
      </c>
      <c r="F95" s="14" t="s">
        <v>7890</v>
      </c>
      <c r="G95" s="14" t="s">
        <v>7891</v>
      </c>
      <c r="H95" s="14" t="s">
        <v>7892</v>
      </c>
      <c r="I95" s="14" t="s">
        <v>131</v>
      </c>
    </row>
    <row r="96" customFormat="false" ht="78" hidden="false" customHeight="true" outlineLevel="0" collapsed="false">
      <c r="A96" s="14" t="s">
        <v>7893</v>
      </c>
      <c r="B96" s="14" t="s">
        <v>30</v>
      </c>
      <c r="C96" s="14" t="s">
        <v>7894</v>
      </c>
      <c r="D96" s="14" t="s">
        <v>52</v>
      </c>
      <c r="E96" s="14" t="s">
        <v>5244</v>
      </c>
      <c r="F96" s="14" t="s">
        <v>7895</v>
      </c>
      <c r="G96" s="14" t="s">
        <v>7896</v>
      </c>
      <c r="H96" s="14" t="s">
        <v>7897</v>
      </c>
      <c r="I96" s="14" t="s">
        <v>921</v>
      </c>
    </row>
    <row r="97" customFormat="false" ht="78" hidden="false" customHeight="true" outlineLevel="0" collapsed="false">
      <c r="A97" s="14" t="s">
        <v>7898</v>
      </c>
      <c r="B97" s="14" t="s">
        <v>1539</v>
      </c>
      <c r="C97" s="14" t="s">
        <v>7899</v>
      </c>
      <c r="D97" s="14" t="s">
        <v>52</v>
      </c>
      <c r="E97" s="14" t="s">
        <v>1668</v>
      </c>
      <c r="F97" s="14" t="s">
        <v>7900</v>
      </c>
      <c r="G97" s="14" t="s">
        <v>7901</v>
      </c>
      <c r="H97" s="14" t="s">
        <v>7902</v>
      </c>
      <c r="I97" s="14" t="s">
        <v>147</v>
      </c>
    </row>
    <row r="98" customFormat="false" ht="78" hidden="false" customHeight="true" outlineLevel="0" collapsed="false">
      <c r="A98" s="14" t="s">
        <v>7903</v>
      </c>
      <c r="B98" s="14" t="s">
        <v>1539</v>
      </c>
      <c r="C98" s="14" t="s">
        <v>7904</v>
      </c>
      <c r="D98" s="14" t="s">
        <v>53</v>
      </c>
      <c r="E98" s="14" t="s">
        <v>1668</v>
      </c>
      <c r="F98" s="14" t="s">
        <v>7905</v>
      </c>
      <c r="G98" s="14" t="s">
        <v>7906</v>
      </c>
      <c r="H98" s="14" t="s">
        <v>7907</v>
      </c>
      <c r="I98" s="14" t="s">
        <v>921</v>
      </c>
    </row>
    <row r="99" customFormat="false" ht="78" hidden="false" customHeight="true" outlineLevel="0" collapsed="false">
      <c r="A99" s="14" t="s">
        <v>7908</v>
      </c>
      <c r="B99" s="14" t="s">
        <v>1612</v>
      </c>
      <c r="C99" s="14" t="s">
        <v>7909</v>
      </c>
      <c r="D99" s="14" t="s">
        <v>50</v>
      </c>
      <c r="E99" s="14" t="s">
        <v>1668</v>
      </c>
      <c r="F99" s="14" t="s">
        <v>7910</v>
      </c>
      <c r="G99" s="14" t="s">
        <v>7911</v>
      </c>
      <c r="H99" s="14" t="s">
        <v>7912</v>
      </c>
      <c r="I99" s="14" t="s">
        <v>131</v>
      </c>
    </row>
  </sheetData>
  <autoFilter ref="A4:I99"/>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50"/>
  </cols>
  <sheetData>
    <row r="1" customFormat="false" ht="24" hidden="false" customHeight="true" outlineLevel="0" collapsed="false">
      <c r="A1" s="1" t="s">
        <v>7913</v>
      </c>
      <c r="B1" s="1"/>
    </row>
    <row r="2" customFormat="false" ht="15.75" hidden="false" customHeight="true" outlineLevel="0" collapsed="false">
      <c r="A2" s="2" t="s">
        <v>1</v>
      </c>
      <c r="B2" s="2"/>
    </row>
    <row r="4" customFormat="false" ht="51.75" hidden="false" customHeight="true" outlineLevel="0" collapsed="false">
      <c r="A4" s="34" t="s">
        <v>7914</v>
      </c>
      <c r="B4" s="25" t="s">
        <v>7915</v>
      </c>
    </row>
    <row r="5" customFormat="false" ht="51.75" hidden="false" customHeight="true" outlineLevel="0" collapsed="false">
      <c r="A5" s="34" t="s">
        <v>7916</v>
      </c>
      <c r="B5" s="25" t="s">
        <v>7917</v>
      </c>
    </row>
    <row r="6" customFormat="false" ht="51.75" hidden="false" customHeight="true" outlineLevel="0" collapsed="false">
      <c r="A6" s="34" t="s">
        <v>83</v>
      </c>
      <c r="B6" s="25" t="s">
        <v>7918</v>
      </c>
    </row>
    <row r="7" customFormat="false" ht="51.75" hidden="false" customHeight="true" outlineLevel="0" collapsed="false">
      <c r="A7" s="34" t="s">
        <v>86</v>
      </c>
      <c r="B7" s="25" t="s">
        <v>7919</v>
      </c>
    </row>
    <row r="8" customFormat="false" ht="51.75" hidden="false" customHeight="true" outlineLevel="0" collapsed="false">
      <c r="A8" s="34" t="s">
        <v>7920</v>
      </c>
      <c r="B8" s="25" t="s">
        <v>7921</v>
      </c>
    </row>
    <row r="9" customFormat="false" ht="51.75" hidden="false" customHeight="true" outlineLevel="0" collapsed="false">
      <c r="A9" s="34" t="s">
        <v>7922</v>
      </c>
      <c r="B9" s="25" t="s">
        <v>7923</v>
      </c>
    </row>
    <row r="10" customFormat="false" ht="51.75" hidden="false" customHeight="true" outlineLevel="0" collapsed="false">
      <c r="A10" s="34" t="s">
        <v>7924</v>
      </c>
      <c r="B10" s="25" t="s">
        <v>7925</v>
      </c>
    </row>
  </sheetData>
  <mergeCells count="2">
    <mergeCell ref="A1:B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2026-08-09T18:36:20Z</dcterms:created>
  <dc:creator>openpyxl</dc:creator>
  <dc:description/>
  <dc:language>en-US</dc:language>
  <cp:lastModifiedBy/>
  <dcterms:modified xsi:type="dcterms:W3CDTF">2026-08-09T18:36:22Z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