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فهرس والتعليمات" sheetId="1" state="visible" r:id="rId3"/>
    <sheet name="الفحص اليومي قبل التشغيل" sheetId="2" state="visible" r:id="rId4"/>
    <sheet name="التفتيش الدوري الشهري" sheetId="3" state="visible" r:id="rId5"/>
    <sheet name="فحص الاستلام الفني" sheetId="4" state="visible" r:id="rId6"/>
    <sheet name="فحص ما قبل الشراء" sheetId="5" state="visible" r:id="rId7"/>
    <sheet name="فحص ما قبل التعاقد مع مورّد" sheetId="6" state="visible" r:id="rId8"/>
    <sheet name="الفحص التشخيصي للأداء" sheetId="7" state="visible" r:id="rId9"/>
    <sheet name="تفتيش خاص · زيارة موقع" sheetId="8" state="visible" r:id="rId10"/>
    <sheet name="فحص ما بعد الحادث" sheetId="9" state="visible" r:id="rId11"/>
    <sheet name="فحص ما قبل العمرة" sheetId="10" state="visible" r:id="rId12"/>
    <sheet name="فحص ما قبل الاستبدال والتخلص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<sst xmlns="http://schemas.openxmlformats.org/spreadsheetml/2006/main" count="1494" uniqueCount="491">
  <si>
    <t xml:space="preserve">مجموعة إكيوبيشن  ·  قسم الصيانة — استمارات التفتيش الفني للمعدات</t>
  </si>
  <si>
    <t xml:space="preserve">حزمة استمارات تُنفّذها الصيانة عند طلب الأسطول أو عند التفتيش الدوري · النموذج: equipation.maintenance.inspection (EQUIP-OPE-S08)</t>
  </si>
  <si>
    <t xml:space="preserve">الاستمارات في هذا الملف</t>
  </si>
  <si>
    <t xml:space="preserve">#</t>
  </si>
  <si>
    <t xml:space="preserve">الاستمارة</t>
  </si>
  <si>
    <t xml:space="preserve">رمز الاستمارة</t>
  </si>
  <si>
    <t xml:space="preserve">الاستخدام</t>
  </si>
  <si>
    <t xml:space="preserve">inspection_type</t>
  </si>
  <si>
    <t xml:space="preserve">الفحص اليومي قبل التشغيل</t>
  </si>
  <si>
    <t xml:space="preserve">EQUIP-MNT-DLY</t>
  </si>
  <si>
    <t xml:space="preserve">يومي قبل تشغيل المعدة — خط الدفاع الأول (المشغّل/الزيّات)</t>
  </si>
  <si>
    <t xml:space="preserve">دوري (فحص يومي) · daily.care.log</t>
  </si>
  <si>
    <t xml:space="preserve">التفتيش الدوري الشهري</t>
  </si>
  <si>
    <t xml:space="preserve">EQUIP-MNT-PRD</t>
  </si>
  <si>
    <t xml:space="preserve">فحص شامل شهري/مجدول لكل منظومات المعدة</t>
  </si>
  <si>
    <t xml:space="preserve">دوري (شهري/مجدول)</t>
  </si>
  <si>
    <t xml:space="preserve">فحص الاستلام الفني</t>
  </si>
  <si>
    <t xml:space="preserve">EQUIP-MNT-RCV</t>
  </si>
  <si>
    <t xml:space="preserve">عند استلام أصلٍ جديد بإحالة من الأسطول (S03)</t>
  </si>
  <si>
    <t xml:space="preserve">استلام معدة</t>
  </si>
  <si>
    <t xml:space="preserve">فحص ما قبل الشراء</t>
  </si>
  <si>
    <t xml:space="preserve">EQUIP-MNT-PUR</t>
  </si>
  <si>
    <t xml:space="preserve">تقييم أصلٍ واحدٍ قبل قرار شرائه</t>
  </si>
  <si>
    <t xml:space="preserve">قبل شراء</t>
  </si>
  <si>
    <t xml:space="preserve">فحص ما قبل التعاقد مع مورّد</t>
  </si>
  <si>
    <t xml:space="preserve">EQUIP-MNT-SUP</t>
  </si>
  <si>
    <t xml:space="preserve">تقييم مورّد آلياتٍ وعيّنة أسطوله قبل التعاقد</t>
  </si>
  <si>
    <t xml:space="preserve">قبل تعاقد مع مورد</t>
  </si>
  <si>
    <t xml:space="preserve">الفحص التشخيصي للأداء</t>
  </si>
  <si>
    <t xml:space="preserve">EQUIP-MNT-PERF</t>
  </si>
  <si>
    <t xml:space="preserve">عند كثرة الأعطال أو الشك في الأداء</t>
  </si>
  <si>
    <t xml:space="preserve">كثرة أعطال / شك في الأداء</t>
  </si>
  <si>
    <t xml:space="preserve">تفتيش خاص / زيارة موقع</t>
  </si>
  <si>
    <t xml:space="preserve">EQUIP-MNT-SPC</t>
  </si>
  <si>
    <t xml:space="preserve">غير مجدول: زيارة مفاجئة/شكوى موقع/قرار إدارة/متابعة معدة حرجة</t>
  </si>
  <si>
    <t xml:space="preserve">خاص / زيارة موقع</t>
  </si>
  <si>
    <t xml:space="preserve">فحص ما بعد الحادث</t>
  </si>
  <si>
    <t xml:space="preserve">EQUIP-MNT-ACC</t>
  </si>
  <si>
    <t xml:space="preserve">توثيق الأضرار بعد حادثٍ قبل قرار الإصلاح</t>
  </si>
  <si>
    <t xml:space="preserve">بعد حادث</t>
  </si>
  <si>
    <t xml:space="preserve">فحص ما قبل العمرة</t>
  </si>
  <si>
    <t xml:space="preserve">EQUIP-MNT-OVH</t>
  </si>
  <si>
    <t xml:space="preserve">تقييم المكوّنات الكبرى قبل الإصلاح الجذري</t>
  </si>
  <si>
    <t xml:space="preserve">قبل إصلاح جذري (عمرة)</t>
  </si>
  <si>
    <t xml:space="preserve">فحص ما قبل الاستبدال/التخلص</t>
  </si>
  <si>
    <t xml:space="preserve">EQUIP-MNT-DSP</t>
  </si>
  <si>
    <t xml:space="preserve">تقييمٌ فنيٌّ واقتصادي قبل البيع/الإرجاع/الشطب</t>
  </si>
  <si>
    <t xml:space="preserve">قبل استبدال/تخلص</t>
  </si>
  <si>
    <t xml:space="preserve">طريقة الاستخدام</t>
  </si>
  <si>
    <t xml:space="preserve">•  يفتح الأسطول طلب تفتيشٍ أو يحلّ موعد التفتيش الشهري، فينفّذ فنّي الصيانة الاستمارة المناسبة ويعتمدها مدير الصيانة.</t>
  </si>
  <si>
    <t xml:space="preserve">•  لكل بند: «ينطبق على» يحدّد نوع المعدة المعنيّ (حفّار/قلّاب/دريل/لودر/عام) — تجاهل ما لا ينطبق. ثم اختر طريقة الفحص ودوّن القياس وحدّد الحالة واكتب الملاحظة والتوصية.</t>
  </si>
  <si>
    <t xml:space="preserve">•  رموز الحالة العامة: سليم · ملاحظة · حرج · لا ينطبق. وتختلف في بعض الاستمارات: ما بعد الحادث (سليم/ضرر طفيف/متوسط/بالغ/يحتاج استبدال)، وما قبل العمرة (صالح/تآكل ضمن الحد/يحتاج عمرة/يحتاج استبدال).</t>
  </si>
  <si>
    <t xml:space="preserve">•  تُحسب الدرجة تلقائيًّا بحسب مخطّط حالات كل استمارة (نسبة السليم/الصالح من البنود المنطبقة).</t>
  </si>
  <si>
    <t xml:space="preserve">•  كل بندٍ حرج (أو ضرر بالغ/يحتاج استبدال) يُسجَّل في جدول «الإجراءات التصحيحية»: الإجراء المطلوب، المسؤول، تاريخ التنفيذ، رقم البلاغ/الأمر، وهل يمنع التشغيل — ويُنشئ بلاغ صيانة (breakdown.report).</t>
  </si>
  <si>
    <t xml:space="preserve">•  الجاهزية الفنية المعتمدة (معتمدة فنيًّا) شرطٌ لعودة المعدة للخدمة؛ والحقول العلوية تُعبّأ من بيانات المعدة في الأسطول.</t>
  </si>
  <si>
    <t xml:space="preserve">•  تنتهي كل استمارة بقرارٍ تنفيذي صريح: «قرار التشغيل النهائي» (يسمح/يسمح مع متابعة/يسمح حتى موعد محدد/يمنع/يحتاج اعتماد استثنائي)، و«درجة الخطورة» (منخفض/متوسط/مرتفع/حرج) لتغذية التنبيهات والتصعيد، و«الجهة المسؤولة عن المعالجة» (صيانة/تشغيل/مورد/أسطول/مشتريات) لربطها بإدارة البلاغات.</t>
  </si>
  <si>
    <t xml:space="preserve">ربط حقول الاستمارة بنموذج Odoo (للمبرمجين)</t>
  </si>
  <si>
    <t xml:space="preserve">الحقل في الاستمارة</t>
  </si>
  <si>
    <t xml:space="preserve">الحقل في النموذج</t>
  </si>
  <si>
    <t xml:space="preserve">بيانات المعدة العلوية</t>
  </si>
  <si>
    <t xml:space="preserve">equipment_id · model_id · site_id · request_date · inspector_id · requesting_dept · inspection_type</t>
  </si>
  <si>
    <t xml:space="preserve">صفوف الفحص</t>
  </si>
  <si>
    <t xml:space="preserve">checklist_line_ids: component · applies_to · check_method · measured_value · condition · description · recommendation</t>
  </si>
  <si>
    <t xml:space="preserve">الإجراءات التصحيحية</t>
  </si>
  <si>
    <t xml:space="preserve">corrective_line_ids: component · blocks_operation · action · responsible · target_date · breakdown_id/order_ref</t>
  </si>
  <si>
    <t xml:space="preserve">الخلاصة</t>
  </si>
  <si>
    <t xml:space="preserve">score · overall_result · recommendation · tech_readiness_state</t>
  </si>
  <si>
    <t xml:space="preserve">القرار التنفيذي</t>
  </si>
  <si>
    <t xml:space="preserve">operation_decision · risk_level · assigned_to_dept</t>
  </si>
  <si>
    <t xml:space="preserve">الاعتماد</t>
  </si>
  <si>
    <t xml:space="preserve">approval_state · approved_by (مدير الصيانة)</t>
  </si>
  <si>
    <t xml:space="preserve">مجموعة إكيوبيشن  ·  قسم الصيانة</t>
  </si>
  <si>
    <t xml:space="preserve">رمز الاستمارة: EQUIP-MNT-DLY   ·   النموذج: equipation.maintenance.inspection   ·   مرجع: EQUIP-OPE-S08 / S03</t>
  </si>
  <si>
    <t xml:space="preserve">فحص خط الدفاع الأول قبل بدء التشغيل — ينفّذه المشغّل ويتحقّق منه الزيّات. الملاحظة البسيطة تُعالَج ضمن العناية اليومية؛ وما يحتاج تدخلًا فنيًّا يُنشئ بلاغ صيانة.</t>
  </si>
  <si>
    <t xml:space="preserve">بيانات التفتيش</t>
  </si>
  <si>
    <t xml:space="preserve">كود المعدة</t>
  </si>
  <si>
    <t xml:space="preserve">equipment_id</t>
  </si>
  <si>
    <t xml:space="preserve">التاريخ</t>
  </si>
  <si>
    <t xml:space="preserve">يوم العمل</t>
  </si>
  <si>
    <t xml:space="preserve">الموديل / النوع</t>
  </si>
  <si>
    <t xml:space="preserve">model_id</t>
  </si>
  <si>
    <t xml:space="preserve">المشغّل</t>
  </si>
  <si>
    <t xml:space="preserve">operator_id</t>
  </si>
  <si>
    <t xml:space="preserve">المشروع / الموقع</t>
  </si>
  <si>
    <t xml:space="preserve">site_id</t>
  </si>
  <si>
    <t xml:space="preserve">الزيّات</t>
  </si>
  <si>
    <t xml:space="preserve">lubricator_id</t>
  </si>
  <si>
    <t xml:space="preserve">قراءة العدّاد</t>
  </si>
  <si>
    <t xml:space="preserve">ساعة/كم</t>
  </si>
  <si>
    <t xml:space="preserve">الوردية</t>
  </si>
  <si>
    <t xml:space="preserve">صباحية/مسائية</t>
  </si>
  <si>
    <t xml:space="preserve">رموز الحالة:  سليم = مطابق ولا يحتاج إجراء  ·  ملاحظة = يعمل مع متابعة  ·  حرج = خلل يمنع/يهدّد التشغيل ويستوجب بلاغًا  ·  لا ينطبق = غير موجود بالمعدة.   عمود «ينطبق على» يحدّد نوع المعدة المعنيّ بالبند (حفّار/قلّاب/دريل/لودر/عام).   طريقة الفحص: نظري · بالأجهزة · تشغيل واختبار · يدوي.</t>
  </si>
  <si>
    <t xml:space="preserve">م</t>
  </si>
  <si>
    <t xml:space="preserve">البند</t>
  </si>
  <si>
    <t xml:space="preserve">ينطبق على</t>
  </si>
  <si>
    <t xml:space="preserve">طريقة الفحص</t>
  </si>
  <si>
    <t xml:space="preserve">القيمة المقاسة / الحد المرجعي</t>
  </si>
  <si>
    <t xml:space="preserve">الحالة</t>
  </si>
  <si>
    <t xml:space="preserve">الملاحظة</t>
  </si>
  <si>
    <t xml:space="preserve">التوصية</t>
  </si>
  <si>
    <t xml:space="preserve">الزيوت والسوائل</t>
  </si>
  <si>
    <t xml:space="preserve">مستوى زيت المحرّك</t>
  </si>
  <si>
    <t xml:space="preserve">عام</t>
  </si>
  <si>
    <t xml:space="preserve">فحص نظري · ضمن العلامتين</t>
  </si>
  <si>
    <t xml:space="preserve">مستوى الزيت الهيدروليكي</t>
  </si>
  <si>
    <t xml:space="preserve">ضمن الحد</t>
  </si>
  <si>
    <t xml:space="preserve">مستوى زيت الجيربوكس</t>
  </si>
  <si>
    <t xml:space="preserve">مستوى زيوت الدفرنس</t>
  </si>
  <si>
    <t xml:space="preserve">مستوى سائل التبريد</t>
  </si>
  <si>
    <t xml:space="preserve">مستوى الوقود</t>
  </si>
  <si>
    <t xml:space="preserve">كافٍ للوردية</t>
  </si>
  <si>
    <t xml:space="preserve">التسريبات الظاهرة</t>
  </si>
  <si>
    <t xml:space="preserve">تسريب زيت/وقود/تبريد/هيدروليك</t>
  </si>
  <si>
    <t xml:space="preserve">لا تسريب</t>
  </si>
  <si>
    <t xml:space="preserve">الحركة</t>
  </si>
  <si>
    <t xml:space="preserve">حالة الإطارات أو الجنزير</t>
  </si>
  <si>
    <t xml:space="preserve">سليمة</t>
  </si>
  <si>
    <t xml:space="preserve">الكهرباء</t>
  </si>
  <si>
    <t xml:space="preserve">سلامة البطاريات</t>
  </si>
  <si>
    <t xml:space="preserve">مثبّتة وأقطاب نظيفة</t>
  </si>
  <si>
    <t xml:space="preserve">الأنوار وأجهزة التنبيه</t>
  </si>
  <si>
    <t xml:space="preserve">تعمل</t>
  </si>
  <si>
    <t xml:space="preserve">الخراطيم والوصلات</t>
  </si>
  <si>
    <t xml:space="preserve">سلامة الخراطيم والوصلات</t>
  </si>
  <si>
    <t xml:space="preserve">لا احتكاك/تسريب</t>
  </si>
  <si>
    <t xml:space="preserve">السلامة والنظافة</t>
  </si>
  <si>
    <t xml:space="preserve">سلامة معدات الإطفاء</t>
  </si>
  <si>
    <t xml:space="preserve">موجودة وصالحة</t>
  </si>
  <si>
    <t xml:space="preserve">النظافة العامة للمعدة</t>
  </si>
  <si>
    <t xml:space="preserve">نظيفة</t>
  </si>
  <si>
    <t xml:space="preserve">الخلاصة والاعتماد</t>
  </si>
  <si>
    <t xml:space="preserve">البنود السليمة</t>
  </si>
  <si>
    <t xml:space="preserve">الملاحظات</t>
  </si>
  <si>
    <t xml:space="preserve">البنود الحرجة</t>
  </si>
  <si>
    <t xml:space="preserve">درجة الحالة %</t>
  </si>
  <si>
    <t xml:space="preserve">النتيجة العامة</t>
  </si>
  <si>
    <t xml:space="preserve">التوصية الفنية</t>
  </si>
  <si>
    <t xml:space="preserve">الجاهزية الفنية</t>
  </si>
  <si>
    <t xml:space="preserve">درجة الخطورة</t>
  </si>
  <si>
    <t xml:space="preserve">قرار التشغيل النهائي</t>
  </si>
  <si>
    <t xml:space="preserve">الجهة المسؤولة عن المعالجة</t>
  </si>
  <si>
    <t xml:space="preserve">عدد البنود الحرجة المفتوحة</t>
  </si>
  <si>
    <t xml:space="preserve">تاريخ التفتيش</t>
  </si>
  <si>
    <t xml:space="preserve">تاريخ الاعتماد</t>
  </si>
  <si>
    <t xml:space="preserve">الفاحص:  ........................     التوقيع:  ............</t>
  </si>
  <si>
    <t xml:space="preserve">اعتماد مدير الصيانة:  ........................     التوقيع:  ............</t>
  </si>
  <si>
    <t xml:space="preserve">رمز الاستمارة: EQUIP-MNT-PRD   ·   النموذج: equipation.maintenance.inspection   ·   مرجع: EQUIP-OPE-S08 / S03</t>
  </si>
  <si>
    <t xml:space="preserve">تفتيشٌ شاملٌ لكل منظومات المعدة، يُنفَّذ شهريًّا أو عند حلول الاستحقاق المجدول. نتيجته المعتمدة تُحدّث الحالة الفنية والاعتمادية، وكل بندٍ حرج يفتح بلاغًا.</t>
  </si>
  <si>
    <t xml:space="preserve">equipment_id — كود الأصل من الأسطول</t>
  </si>
  <si>
    <t xml:space="preserve">نوع التفتيش</t>
  </si>
  <si>
    <t xml:space="preserve">دوري (شهري/مجدول) — inspection_type</t>
  </si>
  <si>
    <t xml:space="preserve">model_id — النوع والماركة</t>
  </si>
  <si>
    <t xml:space="preserve">request_date / scheduled_date</t>
  </si>
  <si>
    <t xml:space="preserve">رقم الهيكل / اللوحة</t>
  </si>
  <si>
    <t xml:space="preserve">الرقم التسلسلي للمعدة</t>
  </si>
  <si>
    <t xml:space="preserve">ساعة تشغيل / كيلومتر</t>
  </si>
  <si>
    <t xml:space="preserve">site_id — موقع المعدة</t>
  </si>
  <si>
    <t xml:space="preserve">الجهة الطالبة</t>
  </si>
  <si>
    <t xml:space="preserve">requesting_dept — الأسطول / الصيانة</t>
  </si>
  <si>
    <t xml:space="preserve">المفتّش الرئيسي</t>
  </si>
  <si>
    <t xml:space="preserve">inspector_id — فني/مهندس الصيانة</t>
  </si>
  <si>
    <t xml:space="preserve">المحرّك ومنظومة التبريد</t>
  </si>
  <si>
    <t xml:space="preserve">مستوى زيت المحرّك ونظافته</t>
  </si>
  <si>
    <t xml:space="preserve">قياس بالعصا · ضمن العلامتين</t>
  </si>
  <si>
    <t xml:space="preserve">تسريبات زيت من المحرّك</t>
  </si>
  <si>
    <t xml:space="preserve">الردياتير: النظافة وعدم الانسداد</t>
  </si>
  <si>
    <t xml:space="preserve">تنظيف دون هواء مضغوط مباشر</t>
  </si>
  <si>
    <t xml:space="preserve">سيور المروحة/الدينمو وشدّها</t>
  </si>
  <si>
    <t xml:space="preserve">شدّ سليم · لا تشقّق</t>
  </si>
  <si>
    <t xml:space="preserve">فلتر الهواء ونظافته</t>
  </si>
  <si>
    <t xml:space="preserve">لا يُنفخ بالهواء المضغوط</t>
  </si>
  <si>
    <t xml:space="preserve">فلاتر الزيت والوقود</t>
  </si>
  <si>
    <t xml:space="preserve">ضمن فترة الاستبدال</t>
  </si>
  <si>
    <t xml:space="preserve">صوت المحرّك واهتزازه</t>
  </si>
  <si>
    <t xml:space="preserve">تشغيل واختبار</t>
  </si>
  <si>
    <t xml:space="preserve">لون عادم المحرّك (الدخان)</t>
  </si>
  <si>
    <t xml:space="preserve">عديم/طبيعي</t>
  </si>
  <si>
    <t xml:space="preserve">حرارة المحرّك أثناء التشغيل</t>
  </si>
  <si>
    <t xml:space="preserve">ضمن النطاق °C</t>
  </si>
  <si>
    <t xml:space="preserve">منظومة الوقود</t>
  </si>
  <si>
    <t xml:space="preserve">مستوى الوقود وجودته</t>
  </si>
  <si>
    <t xml:space="preserve">—</t>
  </si>
  <si>
    <t xml:space="preserve">تسريبات الوقود</t>
  </si>
  <si>
    <t xml:space="preserve">مضخة الوقود والطلمبات</t>
  </si>
  <si>
    <t xml:space="preserve">فاصل الماء/فلتر الوقود</t>
  </si>
  <si>
    <t xml:space="preserve">تصريف الماء</t>
  </si>
  <si>
    <t xml:space="preserve">المنظومة الهيدروليكية</t>
  </si>
  <si>
    <t xml:space="preserve">تسريبات الزيت الهيدروليكي</t>
  </si>
  <si>
    <t xml:space="preserve">ضغط النظام الهيدروليكي</t>
  </si>
  <si>
    <t xml:space="preserve">قياس بالأجهزة · bar</t>
  </si>
  <si>
    <t xml:space="preserve">الخراطيم والوصلات وعدم التآكل</t>
  </si>
  <si>
    <t xml:space="preserve">لا احتكاك/تشقّق</t>
  </si>
  <si>
    <t xml:space="preserve">السلندرات (المكابس) وعدم التسريب</t>
  </si>
  <si>
    <t xml:space="preserve">لا نزّ زيت</t>
  </si>
  <si>
    <t xml:space="preserve">المضخة الهيدروليكية وصوتها</t>
  </si>
  <si>
    <t xml:space="preserve">موزّع التحكّم والصمامات</t>
  </si>
  <si>
    <t xml:space="preserve">استجابة سليمة</t>
  </si>
  <si>
    <t xml:space="preserve">ناقل الحركة (الجيربوكس) والمحاور</t>
  </si>
  <si>
    <t xml:space="preserve">تسريبات الجيربوكس</t>
  </si>
  <si>
    <t xml:space="preserve">صوت ناقل الحركة والتعشيق</t>
  </si>
  <si>
    <t xml:space="preserve">مستوى زيت الدفرنس/المحاور</t>
  </si>
  <si>
    <t xml:space="preserve">تسريبات وصوت المحاور</t>
  </si>
  <si>
    <t xml:space="preserve">لا تسريب · لا صوت غير طبيعي</t>
  </si>
  <si>
    <t xml:space="preserve">منظومة الفرامل</t>
  </si>
  <si>
    <t xml:space="preserve">الفرامل الرئيسية وكفاءتها</t>
  </si>
  <si>
    <t xml:space="preserve">فرامل الانتظار (اليد)</t>
  </si>
  <si>
    <t xml:space="preserve">تثبيت كامل</t>
  </si>
  <si>
    <t xml:space="preserve">مستوى زيت الفرامل</t>
  </si>
  <si>
    <t xml:space="preserve">تسريبات نظام الفرامل</t>
  </si>
  <si>
    <t xml:space="preserve">سماكة الأقمشة/التيل</t>
  </si>
  <si>
    <t xml:space="preserve">قياس · ضمن الحد mm</t>
  </si>
  <si>
    <t xml:space="preserve">منظومة الحركة السفلية والإطارات</t>
  </si>
  <si>
    <t xml:space="preserve">الجنزير/السرفات والبكر (للزاحفة)</t>
  </si>
  <si>
    <t xml:space="preserve">حفّار · دريل</t>
  </si>
  <si>
    <t xml:space="preserve">قياس التآكل · شدّ الجنزير</t>
  </si>
  <si>
    <t xml:space="preserve">الإطارات: التآكل والتشقّق</t>
  </si>
  <si>
    <t xml:space="preserve">قلّاب · لودر</t>
  </si>
  <si>
    <t xml:space="preserve">قياس عمق المداس mm</t>
  </si>
  <si>
    <t xml:space="preserve">ضغط الإطارات</t>
  </si>
  <si>
    <t xml:space="preserve">قياس · psi</t>
  </si>
  <si>
    <t xml:space="preserve">الرنوف والصواميل وإحكامها</t>
  </si>
  <si>
    <t xml:space="preserve">ربط سليم</t>
  </si>
  <si>
    <t xml:space="preserve">البكر الحاملة والمسنّنات</t>
  </si>
  <si>
    <t xml:space="preserve">لا تآكل مفرط</t>
  </si>
  <si>
    <t xml:space="preserve">المنظومة الكهربائية</t>
  </si>
  <si>
    <t xml:space="preserve">البطاريات: الجهد والأقطاب</t>
  </si>
  <si>
    <t xml:space="preserve">قياس · V</t>
  </si>
  <si>
    <t xml:space="preserve">الأنوار (أمامية/خلفية/جانبية)</t>
  </si>
  <si>
    <t xml:space="preserve">تعمل كاملةً</t>
  </si>
  <si>
    <t xml:space="preserve">أجهزة التنبيه والتنبيه الخلفي</t>
  </si>
  <si>
    <t xml:space="preserve">لوحة العدّادات والتحذيرات</t>
  </si>
  <si>
    <t xml:space="preserve">قراءات سليمة</t>
  </si>
  <si>
    <t xml:space="preserve">الستارتر (المارش) والدينمو</t>
  </si>
  <si>
    <t xml:space="preserve">الكوابل والتوصيلات والحسّاسات</t>
  </si>
  <si>
    <t xml:space="preserve">لا تآكل/قطع</t>
  </si>
  <si>
    <t xml:space="preserve">الهيكل والكبينة والملحقات</t>
  </si>
  <si>
    <t xml:space="preserve">الشاسيه (الهيكل) واللحامات والشروخ</t>
  </si>
  <si>
    <t xml:space="preserve">فحص نظري · لا شروخ</t>
  </si>
  <si>
    <t xml:space="preserve">الصدأ والتآكل العام</t>
  </si>
  <si>
    <t xml:space="preserve">ضمن المقبول</t>
  </si>
  <si>
    <t xml:space="preserve">الذراع/البوم والدبر</t>
  </si>
  <si>
    <t xml:space="preserve">حفّار</t>
  </si>
  <si>
    <t xml:space="preserve">لا شروخ/التواء</t>
  </si>
  <si>
    <t xml:space="preserve">الباكت/البوكيت والأسنان</t>
  </si>
  <si>
    <t xml:space="preserve">حفّار · لودر</t>
  </si>
  <si>
    <t xml:space="preserve">تآكل ضمن الحد</t>
  </si>
  <si>
    <t xml:space="preserve">القلّاب/الصندوق وأسطوانات الرفع</t>
  </si>
  <si>
    <t xml:space="preserve">قلّاب</t>
  </si>
  <si>
    <t xml:space="preserve">لا شروخ · رفع سليم</t>
  </si>
  <si>
    <t xml:space="preserve">عمود/برج الحفر ومنظومة الدقّ</t>
  </si>
  <si>
    <t xml:space="preserve">دريل</t>
  </si>
  <si>
    <t xml:space="preserve">لا اهتزاز غير طبيعي</t>
  </si>
  <si>
    <t xml:space="preserve">الكبينة وزجاجها وأبوابها</t>
  </si>
  <si>
    <t xml:space="preserve">المقعد وأحزمة الأمان</t>
  </si>
  <si>
    <t xml:space="preserve">سليمة وآمنة</t>
  </si>
  <si>
    <t xml:space="preserve">منظومة السلامة</t>
  </si>
  <si>
    <t xml:space="preserve">طفّاية الحريق وصلاحيتها</t>
  </si>
  <si>
    <t xml:space="preserve">سارية الصلاحية</t>
  </si>
  <si>
    <t xml:space="preserve">حزام الأمان</t>
  </si>
  <si>
    <t xml:space="preserve">سليم</t>
  </si>
  <si>
    <t xml:space="preserve">المرايا والرؤية الخلفية</t>
  </si>
  <si>
    <t xml:space="preserve">مكتملة</t>
  </si>
  <si>
    <t xml:space="preserve">الأنوار التحذيرية الدوّارة</t>
  </si>
  <si>
    <t xml:space="preserve">مطرقة الكسر ومخارج الطوارئ</t>
  </si>
  <si>
    <t xml:space="preserve">موجودة</t>
  </si>
  <si>
    <t xml:space="preserve">لوحات التحذير والملصقات</t>
  </si>
  <si>
    <t xml:space="preserve">واضحة</t>
  </si>
  <si>
    <t xml:space="preserve">التسريبات والنظافة العامة</t>
  </si>
  <si>
    <t xml:space="preserve">تسريبات عامة أسفل المعدة</t>
  </si>
  <si>
    <t xml:space="preserve">فحص نظري · لا برك زيت</t>
  </si>
  <si>
    <t xml:space="preserve">اكتمال الأغطية والحمايات</t>
  </si>
  <si>
    <t xml:space="preserve">الإجراءات التصحيحية للبنود الحرجة (يُفتح لكل بندٍ حرج)</t>
  </si>
  <si>
    <t xml:space="preserve">البند / المكوّن الحرج</t>
  </si>
  <si>
    <t xml:space="preserve">يمنع التشغيل؟</t>
  </si>
  <si>
    <t xml:space="preserve">الإجراء التصحيحي المطلوب</t>
  </si>
  <si>
    <t xml:space="preserve">المسؤول</t>
  </si>
  <si>
    <t xml:space="preserve">تاريخ التنفيذ المستهدف</t>
  </si>
  <si>
    <t xml:space="preserve">رقم البلاغ / أمر الصيانة</t>
  </si>
  <si>
    <t xml:space="preserve">رمز الاستمارة: EQUIP-MNT-RCV   ·   النموذج: equipation.maintenance.inspection   ·   مرجع: EQUIP-OPE-S08 / S03</t>
  </si>
  <si>
    <t xml:space="preserve">فحص الاستلام الفني للأصل الجديد بإحالةٍ آلية من استمارة إدخال الأصل (الأسطول S03). لا تنتقل المعدة إلى التجهيز ثم التشغيل قبل اعتماد جاهزيتها الفنية هنا.</t>
  </si>
  <si>
    <t xml:space="preserve">استلام معدة — inspection_type</t>
  </si>
  <si>
    <t xml:space="preserve">اكتمال المستندات والتجهيزات</t>
  </si>
  <si>
    <t xml:space="preserve">مطابقة بيانات المعدة للمستندات</t>
  </si>
  <si>
    <t xml:space="preserve">مطابق</t>
  </si>
  <si>
    <t xml:space="preserve">اكتمال تجهيزات الحماية والسلامة</t>
  </si>
  <si>
    <t xml:space="preserve">مركّبة</t>
  </si>
  <si>
    <t xml:space="preserve">العدّاد الافتتاحي مُثبَّت وموثّق</t>
  </si>
  <si>
    <t xml:space="preserve">قراءة افتتاحية</t>
  </si>
  <si>
    <t xml:space="preserve">اكتمال العدّة والملحقات المستلمة</t>
  </si>
  <si>
    <t xml:space="preserve">حسب المحضر</t>
  </si>
  <si>
    <t xml:space="preserve">رمز الاستمارة: EQUIP-MNT-PUR   ·   النموذج: equipation.maintenance.inspection   ·   مرجع: EQUIP-OPE-S08 / S03</t>
  </si>
  <si>
    <t xml:space="preserve">تقييمٌ فنّي لأصلٍ واحدٍ معروضٍ للبيع قبل قرار الشراء، بمطابقة المواصفات للموديل المرجعي. يخرج بتوصيةٍ فنية دون إنشاء كرت معدة في الأسطول.</t>
  </si>
  <si>
    <t xml:space="preserve">المعدة المعروضة</t>
  </si>
  <si>
    <t xml:space="preserve">external_equipment — وصف</t>
  </si>
  <si>
    <t xml:space="preserve">قبل شراء — inspection_type</t>
  </si>
  <si>
    <t xml:space="preserve">model_id المرجعي</t>
  </si>
  <si>
    <t xml:space="preserve">المالك/البائع</t>
  </si>
  <si>
    <t xml:space="preserve">partner_id</t>
  </si>
  <si>
    <t xml:space="preserve">الموقع</t>
  </si>
  <si>
    <t xml:space="preserve">مكان المعاينة</t>
  </si>
  <si>
    <t xml:space="preserve">مطابقة المواصفات والجدوى</t>
  </si>
  <si>
    <t xml:space="preserve">مطابقة المواصفات للموديل المرجعي</t>
  </si>
  <si>
    <t xml:space="preserve">model_id — مطابق</t>
  </si>
  <si>
    <t xml:space="preserve">ساعات التشغيل/العمر الفعلي</t>
  </si>
  <si>
    <t xml:space="preserve">سجل الصيانة والأعطال السابق (إن توفّر)</t>
  </si>
  <si>
    <t xml:space="preserve">مراجعة</t>
  </si>
  <si>
    <t xml:space="preserve">التقدير العام لحالة المعدة</t>
  </si>
  <si>
    <t xml:space="preserve">ممتاز/جيد/متوسط/ضعيف</t>
  </si>
  <si>
    <t xml:space="preserve">توصية الشراء</t>
  </si>
  <si>
    <t xml:space="preserve">قبول/قبول بتحفّظ/رفض</t>
  </si>
  <si>
    <t xml:space="preserve">رمز الاستمارة: EQUIP-MNT-SUP   ·   النموذج: equipation.maintenance.inspection   ·   مرجع: EQUIP-OPE-S08 / S03</t>
  </si>
  <si>
    <t xml:space="preserve">تقييمُ مورّد آلياتٍ وعيّنةٍ من أسطوله وقدرته الفنية والتزامه قبل التعاقد (إيجار/توريد/تشغيل) — يختلف عن شراء أصلٍ واحد إذ يقيّم المورّد كاملًا لا معدةً بعينها.</t>
  </si>
  <si>
    <t xml:space="preserve">اسم المورّد</t>
  </si>
  <si>
    <t xml:space="preserve">قبل تعاقد مع مورد — inspection_type</t>
  </si>
  <si>
    <t xml:space="preserve">نوع التعاقد</t>
  </si>
  <si>
    <t xml:space="preserve">إيجار/توريد/تشغيل</t>
  </si>
  <si>
    <t xml:space="preserve">تاريخ التقييم</t>
  </si>
  <si>
    <t xml:space="preserve">request_date</t>
  </si>
  <si>
    <t xml:space="preserve">أنواع الآليات</t>
  </si>
  <si>
    <t xml:space="preserve">حفّار/قلّاب/دريل/لودر...</t>
  </si>
  <si>
    <t xml:space="preserve">عدد العيّنة المعاينة</t>
  </si>
  <si>
    <t xml:space="preserve">عدد المعدات</t>
  </si>
  <si>
    <t xml:space="preserve">الموقع/المنطقة</t>
  </si>
  <si>
    <t xml:space="preserve">نطاق العمل</t>
  </si>
  <si>
    <t xml:space="preserve">الأسطول / المشتريات</t>
  </si>
  <si>
    <t xml:space="preserve">inspector_id</t>
  </si>
  <si>
    <t xml:space="preserve">بيانات المورّد والتعاقد</t>
  </si>
  <si>
    <t xml:space="preserve">اسم المورّد وسجلّه</t>
  </si>
  <si>
    <t xml:space="preserve">partner_id — السجل والسمعة</t>
  </si>
  <si>
    <t xml:space="preserve">نوع التعاقد (إيجار/توريد/تشغيل)</t>
  </si>
  <si>
    <t xml:space="preserve">نوع العلاقة</t>
  </si>
  <si>
    <t xml:space="preserve">أنواع الآليات المعروضة وأعدادها</t>
  </si>
  <si>
    <t xml:space="preserve">قائمة الأنواع</t>
  </si>
  <si>
    <t xml:space="preserve">مدّة التعاقد ونطاق الخدمة</t>
  </si>
  <si>
    <t xml:space="preserve">المدّة والنطاق</t>
  </si>
  <si>
    <t xml:space="preserve">تقييم عيّنة من أسطول المورّد</t>
  </si>
  <si>
    <t xml:space="preserve">الحالة العامة لعيّنة المعدات</t>
  </si>
  <si>
    <t xml:space="preserve">معاينة عيّنة ميدانية</t>
  </si>
  <si>
    <t xml:space="preserve">أعمار المعدات وساعات تشغيلها</t>
  </si>
  <si>
    <t xml:space="preserve">متوسط العمر/الساعات</t>
  </si>
  <si>
    <t xml:space="preserve">مستوى الصيانة والنظافة للأسطول</t>
  </si>
  <si>
    <t xml:space="preserve">انطباع فني</t>
  </si>
  <si>
    <t xml:space="preserve">توافق المواصفات مع متطلّبات المشروع</t>
  </si>
  <si>
    <t xml:space="preserve">مطابق/غير مطابق</t>
  </si>
  <si>
    <t xml:space="preserve">جاهزية المعدات للتشغيل الفوري</t>
  </si>
  <si>
    <t xml:space="preserve">نسبة الجاهزية</t>
  </si>
  <si>
    <t xml:space="preserve">القدرة الفنية والالتزام</t>
  </si>
  <si>
    <t xml:space="preserve">ورشة المورّد وقدرته على الصيانة</t>
  </si>
  <si>
    <t xml:space="preserve">موجودة/خارجية</t>
  </si>
  <si>
    <t xml:space="preserve">توفّر قطع الغيار والمستهلكات</t>
  </si>
  <si>
    <t xml:space="preserve">متوفّرة/محدودة</t>
  </si>
  <si>
    <t xml:space="preserve">زمن الاستجابة للأعطال والبدائل</t>
  </si>
  <si>
    <t xml:space="preserve">ساعات/أيام</t>
  </si>
  <si>
    <t xml:space="preserve">توفير مشغّلين مؤهّلين (إن لزم)</t>
  </si>
  <si>
    <t xml:space="preserve">نعم/لا — مؤهّلون</t>
  </si>
  <si>
    <t xml:space="preserve">الالتزام بالسلامة والمعايير الفنية</t>
  </si>
  <si>
    <t xml:space="preserve">ملتزم/غير ملتزم</t>
  </si>
  <si>
    <t xml:space="preserve">الجدوى والتوصية</t>
  </si>
  <si>
    <t xml:space="preserve">تنافسية الأسعار مقابل السوق</t>
  </si>
  <si>
    <t xml:space="preserve">تنافسي/مرتفع</t>
  </si>
  <si>
    <t xml:space="preserve">الملاءمة الفنية الإجمالية للمورّد</t>
  </si>
  <si>
    <t xml:space="preserve">عالية/متوسطة/منخفضة</t>
  </si>
  <si>
    <t xml:space="preserve">التوصية: التعاقد / التعاقد بشروط / الرفض</t>
  </si>
  <si>
    <t xml:space="preserve">توصية</t>
  </si>
  <si>
    <t xml:space="preserve">رمز الاستمارة: EQUIP-MNT-PERF   ·   النموذج: equipation.maintenance.inspection   ·   مرجع: EQUIP-OPE-S08 / S03</t>
  </si>
  <si>
    <t xml:space="preserve">فحصٌ موجَّه عند كثرة الأعطال أو الشك في الأداء: يحلّل الأعراض ويقيس المنظومة المشتبهة ويحدّد السبب الجذري كأداة قرار (إصلاح/عمرة/استبدال/تدريب).</t>
  </si>
  <si>
    <t xml:space="preserve">كثرة أعطال / شك في الأداء — inspection_type</t>
  </si>
  <si>
    <t xml:space="preserve">توصيف الشكوى</t>
  </si>
  <si>
    <t xml:space="preserve">وصف العطل/الشكوى المتكرّرة</t>
  </si>
  <si>
    <t xml:space="preserve">نص</t>
  </si>
  <si>
    <t xml:space="preserve">تكرار الحدوث وظروفه</t>
  </si>
  <si>
    <t xml:space="preserve">عدد المرات/الظرف</t>
  </si>
  <si>
    <t xml:space="preserve">المنظومة المشتبهة</t>
  </si>
  <si>
    <t xml:space="preserve">محرّك/هيدروليك/كهرباء/...</t>
  </si>
  <si>
    <t xml:space="preserve">الفحص التشخيصي للمنظومة المشتبهة</t>
  </si>
  <si>
    <t xml:space="preserve">القراءات والقياسات بالأجهزة</t>
  </si>
  <si>
    <t xml:space="preserve">قياس بالأجهزة</t>
  </si>
  <si>
    <t xml:space="preserve">اختبار التشغيل تحت الحمل</t>
  </si>
  <si>
    <t xml:space="preserve">فحص المكوّنات ذات الصلة</t>
  </si>
  <si>
    <t xml:space="preserve">فحص يدوي/نظري</t>
  </si>
  <si>
    <t xml:space="preserve">مقارنة بالأداء المرجعي للموديل</t>
  </si>
  <si>
    <t xml:space="preserve">انحراف عن المرجعي</t>
  </si>
  <si>
    <t xml:space="preserve">تحليل السبب الجذري</t>
  </si>
  <si>
    <t xml:space="preserve">السبب الجذري المرجّح</t>
  </si>
  <si>
    <t xml:space="preserve">تشغيل/صيانة/جودة قطع/مورد/عمر/سوء استخدام</t>
  </si>
  <si>
    <t xml:space="preserve">هل السبب متكرّر؟</t>
  </si>
  <si>
    <t xml:space="preserve">نعم/لا</t>
  </si>
  <si>
    <t xml:space="preserve">القرار: إصلاح/عمرة/استبدال/تدريب مشغّل</t>
  </si>
  <si>
    <t xml:space="preserve">تفتيش خاص · زيارة موقع</t>
  </si>
  <si>
    <t xml:space="preserve">رمز الاستمارة: EQUIP-MNT-SPC   ·   النموذج: equipation.maintenance.inspection   ·   مرجع: EQUIP-OPE-S08 / S03</t>
  </si>
  <si>
    <t xml:space="preserve">تفتيشٌ غير مجدول لحالةٍ طارئة: زيارة مفاجئة، أو شكوى موقع، أو قرار إدارة، أو متابعة معدة حرجة. يوثّق السبب ويعاين المنظومات الرئيسية ويخرج بتوصية متابعة أو بلاغ.</t>
  </si>
  <si>
    <t xml:space="preserve">خاص / زيارة موقع — inspection_type</t>
  </si>
  <si>
    <t xml:space="preserve">تاريخ الزيارة</t>
  </si>
  <si>
    <t xml:space="preserve">visit_date</t>
  </si>
  <si>
    <t xml:space="preserve">الأسطول/الإدارة/الموقع</t>
  </si>
  <si>
    <t xml:space="preserve">فريق الزيارة</t>
  </si>
  <si>
    <t xml:space="preserve">inspector_id + team_ids</t>
  </si>
  <si>
    <t xml:space="preserve">سبب الزيارة والتفتيش</t>
  </si>
  <si>
    <t xml:space="preserve">سبب الزيارة</t>
  </si>
  <si>
    <t xml:space="preserve">زيارة مفاجئة / شكوى موقع / قرار إدارة / متابعة معدة حرجة</t>
  </si>
  <si>
    <t xml:space="preserve">الجهة الطالبة وتفاصيل الطلب</t>
  </si>
  <si>
    <t xml:space="preserve">وصف الشكوى/الملاحظة (إن وُجدت)</t>
  </si>
  <si>
    <t xml:space="preserve">المعاينة الميدانية للمنظومات الرئيسية</t>
  </si>
  <si>
    <t xml:space="preserve">فحص نظري/سماعي</t>
  </si>
  <si>
    <t xml:space="preserve">المنظومة الهيدروليكية والتسريبات</t>
  </si>
  <si>
    <t xml:space="preserve">نظري</t>
  </si>
  <si>
    <t xml:space="preserve">ناقل الحركة والمحاور</t>
  </si>
  <si>
    <t xml:space="preserve">نظري/سماعي</t>
  </si>
  <si>
    <t xml:space="preserve">الحركة السفلية/الإطارات</t>
  </si>
  <si>
    <t xml:space="preserve">المنظومة الكهربائية والإنارة</t>
  </si>
  <si>
    <t xml:space="preserve">الملاحظات والمتابعة</t>
  </si>
  <si>
    <t xml:space="preserve">المؤشّرات المبكرة المكتشفة</t>
  </si>
  <si>
    <t xml:space="preserve">أصوات/اهتزاز/تسريب/حرارة</t>
  </si>
  <si>
    <t xml:space="preserve">التزام المشغّل بالعناية اليومية</t>
  </si>
  <si>
    <t xml:space="preserve">معالجة الشكوى وتوصية المتابعة</t>
  </si>
  <si>
    <t xml:space="preserve">نص/توصية</t>
  </si>
  <si>
    <t xml:space="preserve">رمز الاستمارة: EQUIP-MNT-ACC   ·   النموذج: equipation.maintenance.inspection   ·   مرجع: EQUIP-OPE-S08 / S03</t>
  </si>
  <si>
    <t xml:space="preserve">توثيقُ الأضرار بعد حادثٍ حسب كل منظومة، بدرجة الضرر والصور والتكلفة التقديرية — قبل قرار الإصلاح أو الاستبدال.</t>
  </si>
  <si>
    <t xml:space="preserve">بعد حادث — inspection_type</t>
  </si>
  <si>
    <t xml:space="preserve">رموز الحالة:  سليم · ضرر طفيف · ضرر متوسط · ضرر بالغ · يحتاج استبدال.   عمود «ينطبق على» يحدّد نوع المعدة المعنيّ.   تُوثَّق الأضرار بنودًا وصورًا قبل أمر الإصلاح؛ والضرر البالغ/الاستبدال يُسجَّل في الإجراءات التصحيحية ويُنشئ بلاغًا.</t>
  </si>
  <si>
    <t xml:space="preserve">تقييم الأضرار حسب المنظومة</t>
  </si>
  <si>
    <t xml:space="preserve">نوع الضرر</t>
  </si>
  <si>
    <t xml:space="preserve">الهيكل والشاسيه</t>
  </si>
  <si>
    <t xml:space="preserve">شروخ/التواء</t>
  </si>
  <si>
    <t xml:space="preserve">الكبينة والزجاج</t>
  </si>
  <si>
    <t xml:space="preserve">الذراع/البوم/الباكت</t>
  </si>
  <si>
    <t xml:space="preserve">القلّاب/الصندوق</t>
  </si>
  <si>
    <t xml:space="preserve">توثيق الواقعة</t>
  </si>
  <si>
    <t xml:space="preserve">تاريخ ومكان الحادث</t>
  </si>
  <si>
    <t xml:space="preserve">وصف الواقعة وملابساتها</t>
  </si>
  <si>
    <t xml:space="preserve">الصور والمرفقات (photo_ids)</t>
  </si>
  <si>
    <t xml:space="preserve">عدد الصور</t>
  </si>
  <si>
    <t xml:space="preserve">قابلية الإصلاح / التكلفة التقديرية</t>
  </si>
  <si>
    <t xml:space="preserve">تقدير</t>
  </si>
  <si>
    <t xml:space="preserve">ضرر طفيف</t>
  </si>
  <si>
    <t xml:space="preserve">ضرر متوسط</t>
  </si>
  <si>
    <t xml:space="preserve">ضرر بالغ</t>
  </si>
  <si>
    <t xml:space="preserve">تحتاج استبدال</t>
  </si>
  <si>
    <t xml:space="preserve">نسبة الأجزاء السليمة %</t>
  </si>
  <si>
    <t xml:space="preserve">رمز الاستمارة: EQUIP-MNT-OVH   ·   النموذج: equipation.maintenance.inspection   ·   مرجع: EQUIP-OPE-S08 / S03</t>
  </si>
  <si>
    <t xml:space="preserve">تقييمُ المكوّنات الكبرى قبل الإصلاح الجذري (العمرة): التآكل والكفاءة لكل مكوّن، ونطاق العمرة المقترح، والجدوى مقابل استبدال المعدة.</t>
  </si>
  <si>
    <t xml:space="preserve">قبل إصلاح جذري (عمرة) — inspection_type</t>
  </si>
  <si>
    <t xml:space="preserve">رموز القرار:  صالح · تآكل ضمن الحد · يحتاج عمرة · يحتاج استبدال.   عمود «ينطبق على» يحدّد نوع المعدة المعنيّ.   يحدّد نطاق العمرة والمكوّنات المطلوبة والجدوى مقابل الاستبدال؛ وما يحتاج عمرة/استبدالًا يُدرَج في الإجراءات التصحيحية.</t>
  </si>
  <si>
    <t xml:space="preserve">تقييم المكوّنات الكبرى للعمرة</t>
  </si>
  <si>
    <t xml:space="preserve">المحرّك: الضغط/الاستهلاك/التآكل</t>
  </si>
  <si>
    <t xml:space="preserve">قياس · قرار</t>
  </si>
  <si>
    <t xml:space="preserve">المنظومة الهيدروليكية: الضغط والكفاءة</t>
  </si>
  <si>
    <t xml:space="preserve">قياس bar · قرار</t>
  </si>
  <si>
    <t xml:space="preserve">ناقل الحركة (الجيربوكس)</t>
  </si>
  <si>
    <t xml:space="preserve">قياس/صوت · قرار</t>
  </si>
  <si>
    <t xml:space="preserve">الدفرنس والمحاور</t>
  </si>
  <si>
    <t xml:space="preserve">الحركة السفلية (السرفات/البكر)</t>
  </si>
  <si>
    <t xml:space="preserve">قياس التآكل mm · قرار</t>
  </si>
  <si>
    <t xml:space="preserve">المضخات والموزّعات الهيدروليكية</t>
  </si>
  <si>
    <t xml:space="preserve">كفاءة · قرار</t>
  </si>
  <si>
    <t xml:space="preserve">الهيكل/الذراع/البوم (شروخ/التواء)</t>
  </si>
  <si>
    <t xml:space="preserve">فحص · قرار</t>
  </si>
  <si>
    <t xml:space="preserve">نطاق العمرة المقترح</t>
  </si>
  <si>
    <t xml:space="preserve">المكوّنات المطلوب عمرتها/استبدالها</t>
  </si>
  <si>
    <t xml:space="preserve">قائمة</t>
  </si>
  <si>
    <t xml:space="preserve">القطع والمواد الرئيسية المطلوبة</t>
  </si>
  <si>
    <t xml:space="preserve">التكلفة التقديرية للعمرة</t>
  </si>
  <si>
    <t xml:space="preserve">الجدوى: عمرة أم استبدال المعدة؟</t>
  </si>
  <si>
    <t xml:space="preserve">صالحة</t>
  </si>
  <si>
    <t xml:space="preserve">تحتاج عمرة</t>
  </si>
  <si>
    <t xml:space="preserve">نسبة الصلاحية %</t>
  </si>
  <si>
    <t xml:space="preserve">فحص ما قبل الاستبدال والتخلص</t>
  </si>
  <si>
    <t xml:space="preserve">رمز الاستمارة: EQUIP-MNT-DSP   ·   النموذج: equipation.maintenance.inspection   ·   مرجع: EQUIP-OPE-S08 / S03</t>
  </si>
  <si>
    <t xml:space="preserve">تقييمٌ فنّيٌّ واقتصادي قبل الاستبدال أو التخلّص: الحالة الفنية والمؤشّرات التراكمية والمبرّر الاقتصادي — تمهيدًا لاستمارة خروج الأصل في الأسطول.</t>
  </si>
  <si>
    <t xml:space="preserve">قبل استبدال/تخلص — inspection_type</t>
  </si>
  <si>
    <t xml:space="preserve">يلخّص الحالة الفنية والمؤشّرات التراكمية والمبرّر الاقتصادي.   نتيجته شرطٌ لاستمارة خروج الأصل في الأسطول (S03 §9.9).</t>
  </si>
  <si>
    <t xml:space="preserve">الحالة الفنية العامة</t>
  </si>
  <si>
    <t xml:space="preserve">الحالة العامة للمحرّك والمنظومات الرئيسية</t>
  </si>
  <si>
    <t xml:space="preserve">ملخّص</t>
  </si>
  <si>
    <t xml:space="preserve">الهيكل والشاسيه والتآكل العام</t>
  </si>
  <si>
    <t xml:space="preserve">قابلية الإصلاح من عدمها</t>
  </si>
  <si>
    <t xml:space="preserve">المؤشّرات التراكمية</t>
  </si>
  <si>
    <t xml:space="preserve">ساعات التشغيل التراكمية (engine_hours)</t>
  </si>
  <si>
    <t xml:space="preserve">قراءة</t>
  </si>
  <si>
    <t xml:space="preserve">عدد الأعطال التراكمي</t>
  </si>
  <si>
    <t xml:space="preserve">عدد</t>
  </si>
  <si>
    <t xml:space="preserve">تكلفة الصيانة التراكمية</t>
  </si>
  <si>
    <t xml:space="preserve">مبلغ</t>
  </si>
  <si>
    <t xml:space="preserve">نسبة الجاهزية / اتجاه الأعطال</t>
  </si>
  <si>
    <t xml:space="preserve">%/اتجاه</t>
  </si>
  <si>
    <t xml:space="preserve">تكلفة الصيانة لكل ساعة تشغيل</t>
  </si>
  <si>
    <t xml:space="preserve">مبلغ/ساعة</t>
  </si>
  <si>
    <t xml:space="preserve">المبرّر والتوصية</t>
  </si>
  <si>
    <t xml:space="preserve">المبرّر الاقتصادي (الكلفة مقابل القيمة)</t>
  </si>
  <si>
    <t xml:space="preserve">القيمة التخريدية/البيعية التقديرية</t>
  </si>
  <si>
    <t xml:space="preserve">التوصية النهائية: بيع / إرجاع / شطب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</si>
</sst>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.3"/>
      <color rgb="FF59595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9.4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.1"/>
      <color rgb="FF1F4E79"/>
      <name val="Arial"/>
      <family val="0"/>
      <charset val="1"/>
    </font>
    <font>
      <sz val="8.5"/>
      <color rgb="FF000000"/>
      <name val="Arial"/>
      <family val="0"/>
      <charset val="1"/>
    </font>
    <font>
      <sz val="8.9"/>
      <color rgb="FF000000"/>
      <name val="Arial"/>
      <family val="0"/>
      <charset val="1"/>
    </font>
    <font>
      <sz val="8.5"/>
      <color rgb="FF595959"/>
      <name val="Arial"/>
      <family val="0"/>
      <charset val="1"/>
    </font>
    <font>
      <sz val="9.1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.3"/>
      <color rgb="FFFFFFFF"/>
      <name val="Arial"/>
      <family val="0"/>
      <charset val="1"/>
    </font>
    <font>
      <sz val="9"/>
      <color rgb="FF1F4E79"/>
      <name val="Arial"/>
      <family val="0"/>
      <charset val="1"/>
    </font>
    <font>
      <sz val="8.3"/>
      <color rgb="FF0000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9.3"/>
      <color rgb="FF1F4E79"/>
      <name val="Arial"/>
      <family val="0"/>
      <charset val="1"/>
    </font>
    <font>
      <i val="true"/>
      <sz val="8.7"/>
      <color rgb="FF595959"/>
      <name val="Arial"/>
      <family val="0"/>
      <charset val="1"/>
    </font>
    <font>
      <sz val="8.4"/>
      <color rgb="FF595959"/>
      <name val="Arial"/>
      <family val="0"/>
      <charset val="1"/>
    </font>
    <font>
      <b val="true"/>
      <sz val="9.2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.2"/>
      <color rgb="FF000000"/>
      <name val="Arial"/>
      <family val="0"/>
      <charset val="1"/>
    </font>
    <font>
      <sz val="8.6"/>
      <color rgb="FF595959"/>
      <name val="Arial"/>
      <family val="0"/>
      <charset val="1"/>
    </font>
    <font>
      <b val="true"/>
      <sz val="9.2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.6"/>
      <color rgb="FF1F4E79"/>
      <name val="Arial"/>
      <family val="0"/>
      <charset val="1"/>
    </font>
    <font>
      <b val="true"/>
      <sz val="8.8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4F8FC"/>
        <bgColor rgb="FFF7F9FB"/>
      </patternFill>
    </fill>
    <fill>
      <patternFill patternType="solid">
        <fgColor rgb="FFFFFFFF"/>
        <bgColor rgb="FFF7F9FB"/>
      </patternFill>
    </fill>
    <fill>
      <patternFill patternType="solid">
        <fgColor rgb="FFEAF1F8"/>
        <bgColor rgb="FFF4F8FC"/>
      </patternFill>
    </fill>
    <fill>
      <patternFill patternType="solid">
        <fgColor rgb="FF2E75B6"/>
        <bgColor rgb="FF0066CC"/>
      </patternFill>
    </fill>
    <fill>
      <patternFill patternType="solid">
        <fgColor rgb="FFF7F9FB"/>
        <bgColor rgb="FFF4F8FC"/>
      </patternFill>
    </fill>
    <fill>
      <patternFill patternType="solid">
        <fgColor rgb="FFDCE6F1"/>
        <bgColor rgb="FFEAF1F8"/>
      </patternFill>
    </fill>
    <fill>
      <patternFill patternType="solid">
        <fgColor rgb="FFC9A227"/>
        <bgColor rgb="FF99CC00"/>
      </patternFill>
    </fill>
    <fill>
      <patternFill patternType="solid">
        <fgColor rgb="FFFBF3DA"/>
        <bgColor rgb="FFF7F9FB"/>
      </patternFill>
    </fill>
    <fill>
      <patternFill patternType="solid">
        <fgColor rgb="FFC0504D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B7C4D2"/>
      </left>
      <right style="thin">
        <color rgb="FFB7C4D2"/>
      </right>
      <top style="thin">
        <color rgb="FFB7C4D2"/>
      </top>
      <bottom style="thin">
        <color rgb="FFB7C4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D2"/>
      <rgbColor rgb="FF808080"/>
      <rgbColor rgb="FF9999FF"/>
      <rgbColor rgb="FFC0504D"/>
      <rgbColor rgb="FFFBF3DA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4F8FC"/>
      <rgbColor rgb="FFF7F9FB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8" min="5" style="0" width="9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/>
      <c r="G5" s="4"/>
      <c r="H5" s="4"/>
    </row>
    <row r="6" customFormat="false" ht="24" hidden="false" customHeight="true" outlineLevel="0" collapsed="false">
      <c r="A6" s="5" t="n">
        <v>1</v>
      </c>
      <c r="B6" s="6" t="s">
        <v>8</v>
      </c>
      <c r="C6" s="7" t="s">
        <v>9</v>
      </c>
      <c r="D6" s="8" t="s">
        <v>10</v>
      </c>
      <c r="E6" s="9" t="s">
        <v>11</v>
      </c>
      <c r="F6" s="9"/>
      <c r="G6" s="9"/>
      <c r="H6" s="9"/>
    </row>
    <row r="7" customFormat="false" ht="24" hidden="false" customHeight="true" outlineLevel="0" collapsed="false">
      <c r="A7" s="5" t="n">
        <v>2</v>
      </c>
      <c r="B7" s="6" t="s">
        <v>12</v>
      </c>
      <c r="C7" s="7" t="s">
        <v>13</v>
      </c>
      <c r="D7" s="8" t="s">
        <v>14</v>
      </c>
      <c r="E7" s="9" t="s">
        <v>15</v>
      </c>
      <c r="F7" s="9"/>
      <c r="G7" s="9"/>
      <c r="H7" s="9"/>
    </row>
    <row r="8" customFormat="false" ht="24" hidden="false" customHeight="true" outlineLevel="0" collapsed="false">
      <c r="A8" s="5" t="n">
        <v>3</v>
      </c>
      <c r="B8" s="6" t="s">
        <v>16</v>
      </c>
      <c r="C8" s="7" t="s">
        <v>17</v>
      </c>
      <c r="D8" s="8" t="s">
        <v>18</v>
      </c>
      <c r="E8" s="9" t="s">
        <v>19</v>
      </c>
      <c r="F8" s="9"/>
      <c r="G8" s="9"/>
      <c r="H8" s="9"/>
    </row>
    <row r="9" customFormat="false" ht="24" hidden="false" customHeight="true" outlineLevel="0" collapsed="false">
      <c r="A9" s="5" t="n">
        <v>4</v>
      </c>
      <c r="B9" s="6" t="s">
        <v>20</v>
      </c>
      <c r="C9" s="7" t="s">
        <v>21</v>
      </c>
      <c r="D9" s="8" t="s">
        <v>22</v>
      </c>
      <c r="E9" s="9" t="s">
        <v>23</v>
      </c>
      <c r="F9" s="9"/>
      <c r="G9" s="9"/>
      <c r="H9" s="9"/>
    </row>
    <row r="10" customFormat="false" ht="24" hidden="false" customHeight="true" outlineLevel="0" collapsed="false">
      <c r="A10" s="5" t="n">
        <v>5</v>
      </c>
      <c r="B10" s="6" t="s">
        <v>24</v>
      </c>
      <c r="C10" s="7" t="s">
        <v>25</v>
      </c>
      <c r="D10" s="8" t="s">
        <v>26</v>
      </c>
      <c r="E10" s="9" t="s">
        <v>27</v>
      </c>
      <c r="F10" s="9"/>
      <c r="G10" s="9"/>
      <c r="H10" s="9"/>
    </row>
    <row r="11" customFormat="false" ht="24" hidden="false" customHeight="true" outlineLevel="0" collapsed="false">
      <c r="A11" s="5" t="n">
        <v>6</v>
      </c>
      <c r="B11" s="6" t="s">
        <v>28</v>
      </c>
      <c r="C11" s="7" t="s">
        <v>29</v>
      </c>
      <c r="D11" s="8" t="s">
        <v>30</v>
      </c>
      <c r="E11" s="9" t="s">
        <v>31</v>
      </c>
      <c r="F11" s="9"/>
      <c r="G11" s="9"/>
      <c r="H11" s="9"/>
    </row>
    <row r="12" customFormat="false" ht="24" hidden="false" customHeight="true" outlineLevel="0" collapsed="false">
      <c r="A12" s="5" t="n">
        <v>7</v>
      </c>
      <c r="B12" s="6" t="s">
        <v>32</v>
      </c>
      <c r="C12" s="7" t="s">
        <v>33</v>
      </c>
      <c r="D12" s="8" t="s">
        <v>34</v>
      </c>
      <c r="E12" s="9" t="s">
        <v>35</v>
      </c>
      <c r="F12" s="9"/>
      <c r="G12" s="9"/>
      <c r="H12" s="9"/>
    </row>
    <row r="13" customFormat="false" ht="24" hidden="false" customHeight="true" outlineLevel="0" collapsed="false">
      <c r="A13" s="5" t="n">
        <v>8</v>
      </c>
      <c r="B13" s="6" t="s">
        <v>36</v>
      </c>
      <c r="C13" s="7" t="s">
        <v>37</v>
      </c>
      <c r="D13" s="8" t="s">
        <v>38</v>
      </c>
      <c r="E13" s="9" t="s">
        <v>39</v>
      </c>
      <c r="F13" s="9"/>
      <c r="G13" s="9"/>
      <c r="H13" s="9"/>
    </row>
    <row r="14" customFormat="false" ht="24" hidden="false" customHeight="true" outlineLevel="0" collapsed="false">
      <c r="A14" s="5" t="n">
        <v>9</v>
      </c>
      <c r="B14" s="6" t="s">
        <v>40</v>
      </c>
      <c r="C14" s="7" t="s">
        <v>41</v>
      </c>
      <c r="D14" s="8" t="s">
        <v>42</v>
      </c>
      <c r="E14" s="9" t="s">
        <v>43</v>
      </c>
      <c r="F14" s="9"/>
      <c r="G14" s="9"/>
      <c r="H14" s="9"/>
    </row>
    <row r="15" customFormat="false" ht="24" hidden="false" customHeight="true" outlineLevel="0" collapsed="false">
      <c r="A15" s="5" t="n">
        <v>10</v>
      </c>
      <c r="B15" s="6" t="s">
        <v>44</v>
      </c>
      <c r="C15" s="7" t="s">
        <v>45</v>
      </c>
      <c r="D15" s="8" t="s">
        <v>46</v>
      </c>
      <c r="E15" s="9" t="s">
        <v>47</v>
      </c>
      <c r="F15" s="9"/>
      <c r="G15" s="9"/>
      <c r="H15" s="9"/>
    </row>
    <row r="17" customFormat="false" ht="15" hidden="false" customHeight="true" outlineLevel="0" collapsed="false">
      <c r="A17" s="3" t="s">
        <v>48</v>
      </c>
      <c r="B17" s="3"/>
      <c r="C17" s="3"/>
      <c r="D17" s="3"/>
      <c r="E17" s="3"/>
      <c r="F17" s="3"/>
      <c r="G17" s="3"/>
      <c r="H17" s="3"/>
    </row>
    <row r="18" customFormat="false" ht="30" hidden="false" customHeight="true" outlineLevel="0" collapsed="false">
      <c r="A18" s="10" t="s">
        <v>49</v>
      </c>
      <c r="B18" s="10"/>
      <c r="C18" s="10"/>
      <c r="D18" s="10"/>
      <c r="E18" s="10"/>
      <c r="F18" s="10"/>
      <c r="G18" s="10"/>
      <c r="H18" s="10"/>
    </row>
    <row r="19" customFormat="false" ht="30" hidden="false" customHeight="true" outlineLevel="0" collapsed="false">
      <c r="A19" s="10" t="s">
        <v>50</v>
      </c>
      <c r="B19" s="10"/>
      <c r="C19" s="10"/>
      <c r="D19" s="10"/>
      <c r="E19" s="10"/>
      <c r="F19" s="10"/>
      <c r="G19" s="10"/>
      <c r="H19" s="10"/>
    </row>
    <row r="20" customFormat="false" ht="30" hidden="false" customHeight="true" outlineLevel="0" collapsed="false">
      <c r="A20" s="10" t="s">
        <v>51</v>
      </c>
      <c r="B20" s="10"/>
      <c r="C20" s="10"/>
      <c r="D20" s="10"/>
      <c r="E20" s="10"/>
      <c r="F20" s="10"/>
      <c r="G20" s="10"/>
      <c r="H20" s="10"/>
    </row>
    <row r="21" customFormat="false" ht="15" hidden="false" customHeight="true" outlineLevel="0" collapsed="false">
      <c r="A21" s="10" t="s">
        <v>52</v>
      </c>
      <c r="B21" s="10"/>
      <c r="C21" s="10"/>
      <c r="D21" s="10"/>
      <c r="E21" s="10"/>
      <c r="F21" s="10"/>
      <c r="G21" s="10"/>
      <c r="H21" s="10"/>
    </row>
    <row r="22" customFormat="false" ht="30" hidden="false" customHeight="true" outlineLevel="0" collapsed="false">
      <c r="A22" s="10" t="s">
        <v>53</v>
      </c>
      <c r="B22" s="10"/>
      <c r="C22" s="10"/>
      <c r="D22" s="10"/>
      <c r="E22" s="10"/>
      <c r="F22" s="10"/>
      <c r="G22" s="10"/>
      <c r="H22" s="10"/>
    </row>
    <row r="23" customFormat="false" ht="30" hidden="false" customHeight="true" outlineLevel="0" collapsed="false">
      <c r="A23" s="10" t="s">
        <v>54</v>
      </c>
      <c r="B23" s="10"/>
      <c r="C23" s="10"/>
      <c r="D23" s="10"/>
      <c r="E23" s="10"/>
      <c r="F23" s="10"/>
      <c r="G23" s="10"/>
      <c r="H23" s="10"/>
    </row>
    <row r="24" customFormat="false" ht="30" hidden="false" customHeight="true" outlineLevel="0" collapsed="false">
      <c r="A24" s="10" t="s">
        <v>55</v>
      </c>
      <c r="B24" s="10"/>
      <c r="C24" s="10"/>
      <c r="D24" s="10"/>
      <c r="E24" s="10"/>
      <c r="F24" s="10"/>
      <c r="G24" s="10"/>
      <c r="H24" s="10"/>
    </row>
    <row r="26" customFormat="false" ht="15" hidden="false" customHeight="true" outlineLevel="0" collapsed="false">
      <c r="A26" s="3" t="s">
        <v>56</v>
      </c>
      <c r="B26" s="3"/>
      <c r="C26" s="3"/>
      <c r="D26" s="3"/>
      <c r="E26" s="3"/>
      <c r="F26" s="3"/>
      <c r="G26" s="3"/>
      <c r="H26" s="3"/>
    </row>
    <row r="27" customFormat="false" ht="15.75" hidden="false" customHeight="true" outlineLevel="0" collapsed="false">
      <c r="A27" s="11" t="s">
        <v>57</v>
      </c>
      <c r="B27" s="11"/>
      <c r="C27" s="12" t="s">
        <v>58</v>
      </c>
      <c r="D27" s="12"/>
      <c r="E27" s="12"/>
      <c r="F27" s="12"/>
      <c r="G27" s="12"/>
      <c r="H27" s="12"/>
    </row>
    <row r="28" customFormat="false" ht="27.75" hidden="false" customHeight="true" outlineLevel="0" collapsed="false">
      <c r="A28" s="13" t="s">
        <v>59</v>
      </c>
      <c r="B28" s="13"/>
      <c r="C28" s="14" t="s">
        <v>60</v>
      </c>
      <c r="D28" s="14"/>
      <c r="E28" s="14"/>
      <c r="F28" s="14"/>
      <c r="G28" s="14"/>
      <c r="H28" s="14"/>
    </row>
    <row r="29" customFormat="false" ht="27.75" hidden="false" customHeight="true" outlineLevel="0" collapsed="false">
      <c r="A29" s="15" t="s">
        <v>61</v>
      </c>
      <c r="B29" s="15"/>
      <c r="C29" s="16" t="s">
        <v>62</v>
      </c>
      <c r="D29" s="16"/>
      <c r="E29" s="16"/>
      <c r="F29" s="16"/>
      <c r="G29" s="16"/>
      <c r="H29" s="16"/>
    </row>
    <row r="30" customFormat="false" ht="27.75" hidden="false" customHeight="true" outlineLevel="0" collapsed="false">
      <c r="A30" s="13" t="s">
        <v>63</v>
      </c>
      <c r="B30" s="13"/>
      <c r="C30" s="14" t="s">
        <v>64</v>
      </c>
      <c r="D30" s="14"/>
      <c r="E30" s="14"/>
      <c r="F30" s="14"/>
      <c r="G30" s="14"/>
      <c r="H30" s="14"/>
    </row>
    <row r="31" customFormat="false" ht="27.75" hidden="false" customHeight="true" outlineLevel="0" collapsed="false">
      <c r="A31" s="15" t="s">
        <v>65</v>
      </c>
      <c r="B31" s="15"/>
      <c r="C31" s="16" t="s">
        <v>66</v>
      </c>
      <c r="D31" s="16"/>
      <c r="E31" s="16"/>
      <c r="F31" s="16"/>
      <c r="G31" s="16"/>
      <c r="H31" s="16"/>
    </row>
    <row r="32" customFormat="false" ht="27.75" hidden="false" customHeight="true" outlineLevel="0" collapsed="false">
      <c r="A32" s="13" t="s">
        <v>67</v>
      </c>
      <c r="B32" s="13"/>
      <c r="C32" s="14" t="s">
        <v>68</v>
      </c>
      <c r="D32" s="14"/>
      <c r="E32" s="14"/>
      <c r="F32" s="14"/>
      <c r="G32" s="14"/>
      <c r="H32" s="14"/>
    </row>
    <row r="33" customFormat="false" ht="27.75" hidden="false" customHeight="true" outlineLevel="0" collapsed="false">
      <c r="A33" s="15" t="s">
        <v>69</v>
      </c>
      <c r="B33" s="15"/>
      <c r="C33" s="16" t="s">
        <v>70</v>
      </c>
      <c r="D33" s="16"/>
      <c r="E33" s="16"/>
      <c r="F33" s="16"/>
      <c r="G33" s="16"/>
      <c r="H33" s="16"/>
    </row>
  </sheetData>
  <mergeCells count="37">
    <mergeCell ref="A1:H1"/>
    <mergeCell ref="A2:H2"/>
    <mergeCell ref="A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A17:H17"/>
    <mergeCell ref="A18:H18"/>
    <mergeCell ref="A19:H19"/>
    <mergeCell ref="A20:H20"/>
    <mergeCell ref="A21:H21"/>
    <mergeCell ref="A22:H22"/>
    <mergeCell ref="A23:H23"/>
    <mergeCell ref="A24:H24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8" min="7" style="0" width="20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7" t="s">
        <v>8</v>
      </c>
      <c r="B2" s="17"/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A3" s="18" t="s">
        <v>72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73</v>
      </c>
      <c r="B4" s="19"/>
      <c r="C4" s="19"/>
      <c r="D4" s="19"/>
      <c r="E4" s="19"/>
      <c r="F4" s="19"/>
      <c r="G4" s="19"/>
      <c r="H4" s="19"/>
    </row>
    <row r="5" customFormat="false" ht="18" hidden="false" customHeight="true" outlineLevel="0" collapsed="false">
      <c r="A5" s="20" t="s">
        <v>74</v>
      </c>
      <c r="B5" s="20"/>
      <c r="C5" s="20"/>
      <c r="D5" s="20"/>
      <c r="E5" s="20"/>
      <c r="F5" s="20"/>
      <c r="G5" s="20"/>
      <c r="H5" s="20"/>
    </row>
    <row r="6" customFormat="false" ht="15.75" hidden="false" customHeight="true" outlineLevel="0" collapsed="false">
      <c r="A6" s="21" t="s">
        <v>75</v>
      </c>
      <c r="B6" s="22" t="s">
        <v>76</v>
      </c>
      <c r="C6" s="22"/>
      <c r="D6" s="22"/>
      <c r="E6" s="21" t="s">
        <v>77</v>
      </c>
      <c r="F6" s="22" t="s">
        <v>78</v>
      </c>
      <c r="G6" s="22"/>
      <c r="H6" s="22"/>
    </row>
    <row r="7" customFormat="false" ht="15.75" hidden="false" customHeight="true" outlineLevel="0" collapsed="false">
      <c r="A7" s="21" t="s">
        <v>79</v>
      </c>
      <c r="B7" s="22" t="s">
        <v>80</v>
      </c>
      <c r="C7" s="22"/>
      <c r="D7" s="22"/>
      <c r="E7" s="21" t="s">
        <v>81</v>
      </c>
      <c r="F7" s="22" t="s">
        <v>82</v>
      </c>
      <c r="G7" s="22"/>
      <c r="H7" s="22"/>
    </row>
    <row r="8" customFormat="false" ht="15.75" hidden="false" customHeight="true" outlineLevel="0" collapsed="false">
      <c r="A8" s="21" t="s">
        <v>83</v>
      </c>
      <c r="B8" s="22" t="s">
        <v>84</v>
      </c>
      <c r="C8" s="22"/>
      <c r="D8" s="22"/>
      <c r="E8" s="21" t="s">
        <v>85</v>
      </c>
      <c r="F8" s="22" t="s">
        <v>86</v>
      </c>
      <c r="G8" s="22"/>
      <c r="H8" s="22"/>
    </row>
    <row r="9" customFormat="false" ht="15.75" hidden="false" customHeight="true" outlineLevel="0" collapsed="false">
      <c r="A9" s="21" t="s">
        <v>87</v>
      </c>
      <c r="B9" s="22" t="s">
        <v>88</v>
      </c>
      <c r="C9" s="22"/>
      <c r="D9" s="22"/>
      <c r="E9" s="21" t="s">
        <v>89</v>
      </c>
      <c r="F9" s="22" t="s">
        <v>90</v>
      </c>
      <c r="G9" s="22"/>
      <c r="H9" s="22"/>
    </row>
    <row r="10" customFormat="false" ht="24" hidden="false" customHeight="true" outlineLevel="0" collapsed="false">
      <c r="A10" s="23" t="s">
        <v>91</v>
      </c>
      <c r="B10" s="23"/>
      <c r="C10" s="23"/>
      <c r="D10" s="23"/>
      <c r="E10" s="23"/>
      <c r="F10" s="23"/>
      <c r="G10" s="23"/>
      <c r="H10" s="23"/>
    </row>
    <row r="11" customFormat="false" ht="25.5" hidden="false" customHeight="true" outlineLevel="0" collapsed="false">
      <c r="A11" s="24" t="s">
        <v>92</v>
      </c>
      <c r="B11" s="24" t="s">
        <v>93</v>
      </c>
      <c r="C11" s="24" t="s">
        <v>94</v>
      </c>
      <c r="D11" s="24" t="s">
        <v>95</v>
      </c>
      <c r="E11" s="24" t="s">
        <v>96</v>
      </c>
      <c r="F11" s="24" t="s">
        <v>97</v>
      </c>
      <c r="G11" s="24" t="s">
        <v>98</v>
      </c>
      <c r="H11" s="24" t="s">
        <v>99</v>
      </c>
    </row>
    <row r="12" customFormat="false" ht="16.5" hidden="false" customHeight="true" outlineLevel="0" collapsed="false">
      <c r="A12" s="25" t="s">
        <v>100</v>
      </c>
      <c r="B12" s="25"/>
      <c r="C12" s="25"/>
      <c r="D12" s="25"/>
      <c r="E12" s="25"/>
      <c r="F12" s="25"/>
      <c r="G12" s="25"/>
      <c r="H12" s="25"/>
    </row>
    <row r="13" customFormat="false" ht="15" hidden="false" customHeight="true" outlineLevel="0" collapsed="false">
      <c r="A13" s="5" t="n">
        <v>1</v>
      </c>
      <c r="B13" s="26" t="s">
        <v>101</v>
      </c>
      <c r="C13" s="27" t="s">
        <v>102</v>
      </c>
      <c r="D13" s="28"/>
      <c r="E13" s="9" t="s">
        <v>103</v>
      </c>
      <c r="F13" s="28"/>
      <c r="G13" s="29"/>
      <c r="H13" s="29"/>
    </row>
    <row r="14" customFormat="false" ht="15" hidden="false" customHeight="true" outlineLevel="0" collapsed="false">
      <c r="A14" s="5" t="n">
        <v>2</v>
      </c>
      <c r="B14" s="26" t="s">
        <v>104</v>
      </c>
      <c r="C14" s="27" t="s">
        <v>102</v>
      </c>
      <c r="D14" s="28"/>
      <c r="E14" s="9" t="s">
        <v>105</v>
      </c>
      <c r="F14" s="28"/>
      <c r="G14" s="29"/>
      <c r="H14" s="29"/>
    </row>
    <row r="15" customFormat="false" ht="15" hidden="false" customHeight="true" outlineLevel="0" collapsed="false">
      <c r="A15" s="5" t="n">
        <v>3</v>
      </c>
      <c r="B15" s="26" t="s">
        <v>106</v>
      </c>
      <c r="C15" s="27" t="s">
        <v>102</v>
      </c>
      <c r="D15" s="28"/>
      <c r="E15" s="9" t="s">
        <v>105</v>
      </c>
      <c r="F15" s="28"/>
      <c r="G15" s="29"/>
      <c r="H15" s="29"/>
    </row>
    <row r="16" customFormat="false" ht="15" hidden="false" customHeight="true" outlineLevel="0" collapsed="false">
      <c r="A16" s="5" t="n">
        <v>4</v>
      </c>
      <c r="B16" s="26" t="s">
        <v>107</v>
      </c>
      <c r="C16" s="27" t="s">
        <v>102</v>
      </c>
      <c r="D16" s="28"/>
      <c r="E16" s="9" t="s">
        <v>105</v>
      </c>
      <c r="F16" s="28"/>
      <c r="G16" s="29"/>
      <c r="H16" s="29"/>
    </row>
    <row r="17" customFormat="false" ht="15" hidden="false" customHeight="true" outlineLevel="0" collapsed="false">
      <c r="A17" s="5" t="n">
        <v>5</v>
      </c>
      <c r="B17" s="26" t="s">
        <v>108</v>
      </c>
      <c r="C17" s="27" t="s">
        <v>102</v>
      </c>
      <c r="D17" s="28"/>
      <c r="E17" s="9" t="s">
        <v>105</v>
      </c>
      <c r="F17" s="28"/>
      <c r="G17" s="29"/>
      <c r="H17" s="29"/>
    </row>
    <row r="18" customFormat="false" ht="15" hidden="false" customHeight="true" outlineLevel="0" collapsed="false">
      <c r="A18" s="5" t="n">
        <v>6</v>
      </c>
      <c r="B18" s="26" t="s">
        <v>109</v>
      </c>
      <c r="C18" s="27" t="s">
        <v>102</v>
      </c>
      <c r="D18" s="28"/>
      <c r="E18" s="9" t="s">
        <v>110</v>
      </c>
      <c r="F18" s="28"/>
      <c r="G18" s="29"/>
      <c r="H18" s="29"/>
    </row>
    <row r="19" customFormat="false" ht="16.5" hidden="false" customHeight="true" outlineLevel="0" collapsed="false">
      <c r="A19" s="25" t="s">
        <v>111</v>
      </c>
      <c r="B19" s="25"/>
      <c r="C19" s="25"/>
      <c r="D19" s="25"/>
      <c r="E19" s="25"/>
      <c r="F19" s="25"/>
      <c r="G19" s="25"/>
      <c r="H19" s="25"/>
    </row>
    <row r="20" customFormat="false" ht="15" hidden="false" customHeight="true" outlineLevel="0" collapsed="false">
      <c r="A20" s="5" t="n">
        <v>7</v>
      </c>
      <c r="B20" s="26" t="s">
        <v>112</v>
      </c>
      <c r="C20" s="27" t="s">
        <v>102</v>
      </c>
      <c r="D20" s="28"/>
      <c r="E20" s="9" t="s">
        <v>113</v>
      </c>
      <c r="F20" s="28"/>
      <c r="G20" s="29"/>
      <c r="H20" s="29"/>
    </row>
    <row r="21" customFormat="false" ht="16.5" hidden="false" customHeight="true" outlineLevel="0" collapsed="false">
      <c r="A21" s="25" t="s">
        <v>114</v>
      </c>
      <c r="B21" s="25"/>
      <c r="C21" s="25"/>
      <c r="D21" s="25"/>
      <c r="E21" s="25"/>
      <c r="F21" s="25"/>
      <c r="G21" s="25"/>
      <c r="H21" s="25"/>
    </row>
    <row r="22" customFormat="false" ht="15" hidden="false" customHeight="true" outlineLevel="0" collapsed="false">
      <c r="A22" s="5" t="n">
        <v>8</v>
      </c>
      <c r="B22" s="26" t="s">
        <v>115</v>
      </c>
      <c r="C22" s="27" t="s">
        <v>102</v>
      </c>
      <c r="D22" s="28"/>
      <c r="E22" s="9" t="s">
        <v>116</v>
      </c>
      <c r="F22" s="28"/>
      <c r="G22" s="29"/>
      <c r="H22" s="29"/>
    </row>
    <row r="23" customFormat="false" ht="16.5" hidden="false" customHeight="true" outlineLevel="0" collapsed="false">
      <c r="A23" s="25" t="s">
        <v>117</v>
      </c>
      <c r="B23" s="25"/>
      <c r="C23" s="25"/>
      <c r="D23" s="25"/>
      <c r="E23" s="25"/>
      <c r="F23" s="25"/>
      <c r="G23" s="25"/>
      <c r="H23" s="25"/>
    </row>
    <row r="24" customFormat="false" ht="15" hidden="false" customHeight="true" outlineLevel="0" collapsed="false">
      <c r="A24" s="5" t="n">
        <v>9</v>
      </c>
      <c r="B24" s="26" t="s">
        <v>118</v>
      </c>
      <c r="C24" s="27" t="s">
        <v>102</v>
      </c>
      <c r="D24" s="28"/>
      <c r="E24" s="9" t="s">
        <v>119</v>
      </c>
      <c r="F24" s="28"/>
      <c r="G24" s="29"/>
      <c r="H24" s="29"/>
    </row>
    <row r="25" customFormat="false" ht="15" hidden="false" customHeight="true" outlineLevel="0" collapsed="false">
      <c r="A25" s="5" t="n">
        <v>10</v>
      </c>
      <c r="B25" s="26" t="s">
        <v>120</v>
      </c>
      <c r="C25" s="27" t="s">
        <v>102</v>
      </c>
      <c r="D25" s="28"/>
      <c r="E25" s="9" t="s">
        <v>121</v>
      </c>
      <c r="F25" s="28"/>
      <c r="G25" s="29"/>
      <c r="H25" s="29"/>
    </row>
    <row r="26" customFormat="false" ht="16.5" hidden="false" customHeight="true" outlineLevel="0" collapsed="false">
      <c r="A26" s="25" t="s">
        <v>122</v>
      </c>
      <c r="B26" s="25"/>
      <c r="C26" s="25"/>
      <c r="D26" s="25"/>
      <c r="E26" s="25"/>
      <c r="F26" s="25"/>
      <c r="G26" s="25"/>
      <c r="H26" s="25"/>
    </row>
    <row r="27" customFormat="false" ht="15" hidden="false" customHeight="true" outlineLevel="0" collapsed="false">
      <c r="A27" s="5" t="n">
        <v>11</v>
      </c>
      <c r="B27" s="26" t="s">
        <v>123</v>
      </c>
      <c r="C27" s="27" t="s">
        <v>102</v>
      </c>
      <c r="D27" s="28"/>
      <c r="E27" s="9" t="s">
        <v>124</v>
      </c>
      <c r="F27" s="28"/>
      <c r="G27" s="29"/>
      <c r="H27" s="29"/>
    </row>
    <row r="28" customFormat="false" ht="16.5" hidden="false" customHeight="true" outlineLevel="0" collapsed="false">
      <c r="A28" s="25" t="s">
        <v>125</v>
      </c>
      <c r="B28" s="25"/>
      <c r="C28" s="25"/>
      <c r="D28" s="25"/>
      <c r="E28" s="25"/>
      <c r="F28" s="25"/>
      <c r="G28" s="25"/>
      <c r="H28" s="25"/>
    </row>
    <row r="29" customFormat="false" ht="15" hidden="false" customHeight="true" outlineLevel="0" collapsed="false">
      <c r="A29" s="5" t="n">
        <v>12</v>
      </c>
      <c r="B29" s="26" t="s">
        <v>126</v>
      </c>
      <c r="C29" s="27" t="s">
        <v>102</v>
      </c>
      <c r="D29" s="28"/>
      <c r="E29" s="9" t="s">
        <v>127</v>
      </c>
      <c r="F29" s="28"/>
      <c r="G29" s="29"/>
      <c r="H29" s="29"/>
    </row>
    <row r="30" customFormat="false" ht="15" hidden="false" customHeight="true" outlineLevel="0" collapsed="false">
      <c r="A30" s="5" t="n">
        <v>13</v>
      </c>
      <c r="B30" s="26" t="s">
        <v>128</v>
      </c>
      <c r="C30" s="27" t="s">
        <v>102</v>
      </c>
      <c r="D30" s="28"/>
      <c r="E30" s="9" t="s">
        <v>129</v>
      </c>
      <c r="F30" s="28"/>
      <c r="G30" s="29"/>
      <c r="H30" s="29"/>
    </row>
    <row r="32" customFormat="false" ht="18" hidden="false" customHeight="true" outlineLevel="0" collapsed="false">
      <c r="A32" s="20" t="s">
        <v>130</v>
      </c>
      <c r="B32" s="20"/>
      <c r="C32" s="20"/>
      <c r="D32" s="20"/>
      <c r="E32" s="20"/>
      <c r="F32" s="20"/>
      <c r="G32" s="20"/>
      <c r="H32" s="20"/>
    </row>
    <row r="33" customFormat="false" ht="15.75" hidden="false" customHeight="true" outlineLevel="0" collapsed="false">
      <c r="A33" s="30" t="s">
        <v>131</v>
      </c>
      <c r="B33" s="30"/>
      <c r="C33" s="31" t="n">
        <f aca="false">COUNTIF(F13:F30,"سليم")</f>
        <v>0</v>
      </c>
      <c r="D33" s="31"/>
      <c r="E33" s="30" t="s">
        <v>132</v>
      </c>
      <c r="F33" s="30"/>
      <c r="G33" s="31" t="n">
        <f aca="false">COUNTIF(F13:F30,"ملاحظة")</f>
        <v>0</v>
      </c>
      <c r="H33" s="31"/>
    </row>
    <row r="34" customFormat="false" ht="15.75" hidden="false" customHeight="true" outlineLevel="0" collapsed="false">
      <c r="A34" s="30" t="s">
        <v>133</v>
      </c>
      <c r="B34" s="30"/>
      <c r="C34" s="31" t="n">
        <f aca="false">COUNTIF(F13:F30,"حرج")</f>
        <v>0</v>
      </c>
      <c r="D34" s="31"/>
      <c r="E34" s="30" t="s">
        <v>134</v>
      </c>
      <c r="F34" s="30"/>
      <c r="G34" s="32" t="str">
        <f aca="false">IFERROR((COUNTIF(F13:F30,"سليم"))/(COUNTIF(F13:F30,"سليم")+COUNTIF(F13:F30,"ملاحظة")+COUNTIF(F13:F30,"حرج")),"")</f>
        <v/>
      </c>
      <c r="H34" s="32"/>
    </row>
    <row r="35" customFormat="false" ht="15.75" hidden="false" customHeight="true" outlineLevel="0" collapsed="false">
      <c r="A35" s="30" t="s">
        <v>135</v>
      </c>
      <c r="B35" s="30"/>
      <c r="C35" s="33"/>
      <c r="D35" s="33"/>
      <c r="E35" s="30" t="s">
        <v>136</v>
      </c>
      <c r="F35" s="30"/>
      <c r="G35" s="33"/>
      <c r="H35" s="33"/>
    </row>
    <row r="36" customFormat="false" ht="15.75" hidden="false" customHeight="true" outlineLevel="0" collapsed="false">
      <c r="A36" s="30" t="s">
        <v>137</v>
      </c>
      <c r="B36" s="30"/>
      <c r="C36" s="33"/>
      <c r="D36" s="33"/>
      <c r="E36" s="30" t="s">
        <v>138</v>
      </c>
      <c r="F36" s="30"/>
      <c r="G36" s="33"/>
      <c r="H36" s="33"/>
    </row>
    <row r="37" customFormat="false" ht="19.5" hidden="false" customHeight="true" outlineLevel="0" collapsed="false">
      <c r="A37" s="34" t="s">
        <v>139</v>
      </c>
      <c r="B37" s="34"/>
      <c r="C37" s="35"/>
      <c r="D37" s="35"/>
      <c r="E37" s="35"/>
      <c r="F37" s="35"/>
      <c r="G37" s="35"/>
      <c r="H37" s="35"/>
    </row>
    <row r="38" customFormat="false" ht="15.75" hidden="false" customHeight="true" outlineLevel="0" collapsed="false">
      <c r="A38" s="30" t="s">
        <v>140</v>
      </c>
      <c r="B38" s="30"/>
      <c r="C38" s="33"/>
      <c r="D38" s="33"/>
      <c r="E38" s="30" t="s">
        <v>141</v>
      </c>
      <c r="F38" s="30"/>
      <c r="G38" s="31"/>
      <c r="H38" s="31"/>
    </row>
    <row r="39" customFormat="false" ht="15.75" hidden="false" customHeight="true" outlineLevel="0" collapsed="false">
      <c r="A39" s="30" t="s">
        <v>142</v>
      </c>
      <c r="B39" s="30"/>
      <c r="C39" s="31"/>
      <c r="D39" s="31"/>
      <c r="E39" s="30" t="s">
        <v>143</v>
      </c>
      <c r="F39" s="30"/>
      <c r="G39" s="31"/>
      <c r="H39" s="31"/>
    </row>
    <row r="41" customFormat="false" ht="19.5" hidden="false" customHeight="true" outlineLevel="0" collapsed="false">
      <c r="A41" s="36" t="s">
        <v>144</v>
      </c>
      <c r="B41" s="36"/>
      <c r="C41" s="36"/>
      <c r="D41" s="36"/>
      <c r="E41" s="36" t="s">
        <v>145</v>
      </c>
      <c r="F41" s="36"/>
      <c r="G41" s="36"/>
      <c r="H41" s="36"/>
    </row>
  </sheetData>
  <mergeCells count="49">
    <mergeCell ref="A1:H1"/>
    <mergeCell ref="A2:H2"/>
    <mergeCell ref="A3:H3"/>
    <mergeCell ref="A4:H4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A10:H10"/>
    <mergeCell ref="A12:H12"/>
    <mergeCell ref="A19:H19"/>
    <mergeCell ref="A21:H21"/>
    <mergeCell ref="A23:H23"/>
    <mergeCell ref="A26:H26"/>
    <mergeCell ref="A28:H28"/>
    <mergeCell ref="A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H37"/>
    <mergeCell ref="A38:B38"/>
    <mergeCell ref="C38:D38"/>
    <mergeCell ref="E38:F38"/>
    <mergeCell ref="G38:H38"/>
    <mergeCell ref="A39:B39"/>
    <mergeCell ref="C39:D39"/>
    <mergeCell ref="E39:F39"/>
    <mergeCell ref="G39:H39"/>
    <mergeCell ref="A41:D41"/>
    <mergeCell ref="E41:H41"/>
  </mergeCells>
  <dataValidations count="9">
    <dataValidation allowBlank="true" errorStyle="stop" operator="between" showDropDown="false" showErrorMessage="false" showInputMessage="false" sqref="F13:F18 F20 F22 F24:F25 F27 F29:F30" type="list">
      <formula1>"سليم,ملاحظة,حرج,لا ينطبق"</formula1>
      <formula2>0</formula2>
    </dataValidation>
    <dataValidation allowBlank="true" errorStyle="stop" operator="between" showDropDown="false" showErrorMessage="false" showInputMessage="false" sqref="D13:D18 D20 D22 D24:D25 D27 D29:D30" type="list">
      <formula1>"فحص نظري,قياس بالأجهزة,تشغيل واختبار,فحص يدوي"</formula1>
      <formula2>0</formula2>
    </dataValidation>
    <dataValidation allowBlank="true" errorStyle="stop" operator="between" showDropDown="false" showErrorMessage="false" showInputMessage="false" sqref="C13:C18 C20 C22 C24:C25 C27 C29:C30" type="list">
      <formula1>"عام,حفّار,قلّاب,دريل,لودر"</formula1>
      <formula2>0</formula2>
    </dataValidation>
    <dataValidation allowBlank="true" errorStyle="stop" operator="between" showDropDown="false" showErrorMessage="false" showInputMessage="false" sqref="C35" type="list">
      <formula1>"سليمة,صالحة بملاحظات,غير صالحة / حرجة"</formula1>
      <formula2>0</formula2>
    </dataValidation>
    <dataValidation allowBlank="true" errorStyle="stop" operator="between" showDropDown="false" showErrorMessage="false" showInputMessage="false" sqref="G35" type="list">
      <formula1>"قبول فني,قبول بملاحظات,صيانة فورية,مراقبة,إصلاح جذري (عمرة),استبدال,رفض فني,بيع / تخلّص"</formula1>
      <formula2>0</formula2>
    </dataValidation>
    <dataValidation allowBlank="true" errorStyle="stop" operator="between" showDropDown="false" showErrorMessage="false" showInputMessage="false" sqref="C36" type="list">
      <formula1>"معتمدة فنيًّا,مرفوضة,بانتظار استكمال"</formula1>
      <formula2>0</formula2>
    </dataValidation>
    <dataValidation allowBlank="true" errorStyle="stop" operator="between" showDropDown="false" showErrorMessage="false" showInputMessage="false" sqref="G36" type="list">
      <formula1>"منخفض,متوسط,مرتفع,حرج"</formula1>
      <formula2>0</formula2>
    </dataValidation>
    <dataValidation allowBlank="true" errorStyle="stop" operator="between" showDropDown="false" showErrorMessage="false" showInputMessage="false" sqref="C38" type="list">
      <formula1>"صيانة,تشغيل,مورد,أسطول,مشتريات"</formula1>
      <formula2>0</formula2>
    </dataValidation>
    <dataValidation allowBlank="true" errorStyle="stop" operator="between" showDropDown="false" showErrorMessage="false" showInputMessage="false" sqref="C37" type="list">
      <formula1>"يسمح بالتشغيل,يسمح بالتشغيل مع متابعة,يسمح بالتشغيل حتى موعد محدد,يمنع التشغيل,يحتاج اعتماد استثنائي"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8" min="7" style="0" width="20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7" t="s">
        <v>12</v>
      </c>
      <c r="B2" s="17"/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A3" s="18" t="s">
        <v>146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</row>
    <row r="5" customFormat="false" ht="18" hidden="false" customHeight="true" outlineLevel="0" collapsed="false">
      <c r="A5" s="20" t="s">
        <v>74</v>
      </c>
      <c r="B5" s="20"/>
      <c r="C5" s="20"/>
      <c r="D5" s="20"/>
      <c r="E5" s="20"/>
      <c r="F5" s="20"/>
      <c r="G5" s="20"/>
      <c r="H5" s="20"/>
    </row>
    <row r="6" customFormat="false" ht="15.75" hidden="false" customHeight="true" outlineLevel="0" collapsed="false">
      <c r="A6" s="21" t="s">
        <v>75</v>
      </c>
      <c r="B6" s="22" t="s">
        <v>148</v>
      </c>
      <c r="C6" s="22"/>
      <c r="D6" s="22"/>
      <c r="E6" s="21" t="s">
        <v>149</v>
      </c>
      <c r="F6" s="22" t="s">
        <v>150</v>
      </c>
      <c r="G6" s="22"/>
      <c r="H6" s="22"/>
    </row>
    <row r="7" customFormat="false" ht="15.75" hidden="false" customHeight="true" outlineLevel="0" collapsed="false">
      <c r="A7" s="21" t="s">
        <v>79</v>
      </c>
      <c r="B7" s="22" t="s">
        <v>151</v>
      </c>
      <c r="C7" s="22"/>
      <c r="D7" s="22"/>
      <c r="E7" s="21" t="s">
        <v>142</v>
      </c>
      <c r="F7" s="22" t="s">
        <v>152</v>
      </c>
      <c r="G7" s="22"/>
      <c r="H7" s="22"/>
    </row>
    <row r="8" customFormat="false" ht="15.75" hidden="false" customHeight="true" outlineLevel="0" collapsed="false">
      <c r="A8" s="21" t="s">
        <v>153</v>
      </c>
      <c r="B8" s="22" t="s">
        <v>154</v>
      </c>
      <c r="C8" s="22"/>
      <c r="D8" s="22"/>
      <c r="E8" s="21" t="s">
        <v>87</v>
      </c>
      <c r="F8" s="22" t="s">
        <v>155</v>
      </c>
      <c r="G8" s="22"/>
      <c r="H8" s="22"/>
    </row>
    <row r="9" customFormat="false" ht="15.75" hidden="false" customHeight="true" outlineLevel="0" collapsed="false">
      <c r="A9" s="21" t="s">
        <v>83</v>
      </c>
      <c r="B9" s="22" t="s">
        <v>156</v>
      </c>
      <c r="C9" s="22"/>
      <c r="D9" s="22"/>
      <c r="E9" s="21" t="s">
        <v>157</v>
      </c>
      <c r="F9" s="22" t="s">
        <v>158</v>
      </c>
      <c r="G9" s="22"/>
      <c r="H9" s="22"/>
    </row>
    <row r="10" customFormat="false" ht="15.75" hidden="false" customHeight="true" outlineLevel="0" collapsed="false">
      <c r="A10" s="29"/>
      <c r="B10" s="29"/>
      <c r="C10" s="29"/>
      <c r="D10" s="29"/>
      <c r="E10" s="21" t="s">
        <v>159</v>
      </c>
      <c r="F10" s="22" t="s">
        <v>160</v>
      </c>
      <c r="G10" s="22"/>
      <c r="H10" s="22"/>
    </row>
    <row r="11" customFormat="false" ht="24" hidden="false" customHeight="true" outlineLevel="0" collapsed="false">
      <c r="A11" s="23" t="s">
        <v>91</v>
      </c>
      <c r="B11" s="23"/>
      <c r="C11" s="23"/>
      <c r="D11" s="23"/>
      <c r="E11" s="23"/>
      <c r="F11" s="23"/>
      <c r="G11" s="23"/>
      <c r="H11" s="23"/>
    </row>
    <row r="12" customFormat="false" ht="25.5" hidden="false" customHeight="true" outlineLevel="0" collapsed="false">
      <c r="A12" s="24" t="s">
        <v>92</v>
      </c>
      <c r="B12" s="24" t="s">
        <v>93</v>
      </c>
      <c r="C12" s="24" t="s">
        <v>94</v>
      </c>
      <c r="D12" s="24" t="s">
        <v>95</v>
      </c>
      <c r="E12" s="24" t="s">
        <v>96</v>
      </c>
      <c r="F12" s="24" t="s">
        <v>97</v>
      </c>
      <c r="G12" s="24" t="s">
        <v>98</v>
      </c>
      <c r="H12" s="24" t="s">
        <v>99</v>
      </c>
    </row>
    <row r="13" customFormat="false" ht="16.5" hidden="false" customHeight="true" outlineLevel="0" collapsed="false">
      <c r="A13" s="25" t="s">
        <v>161</v>
      </c>
      <c r="B13" s="25"/>
      <c r="C13" s="25"/>
      <c r="D13" s="25"/>
      <c r="E13" s="25"/>
      <c r="F13" s="25"/>
      <c r="G13" s="25"/>
      <c r="H13" s="25"/>
    </row>
    <row r="14" customFormat="false" ht="15" hidden="false" customHeight="true" outlineLevel="0" collapsed="false">
      <c r="A14" s="5" t="n">
        <v>1</v>
      </c>
      <c r="B14" s="26" t="s">
        <v>162</v>
      </c>
      <c r="C14" s="27" t="s">
        <v>102</v>
      </c>
      <c r="D14" s="28"/>
      <c r="E14" s="9" t="s">
        <v>163</v>
      </c>
      <c r="F14" s="28"/>
      <c r="G14" s="29"/>
      <c r="H14" s="29"/>
    </row>
    <row r="15" customFormat="false" ht="15" hidden="false" customHeight="true" outlineLevel="0" collapsed="false">
      <c r="A15" s="5" t="n">
        <v>2</v>
      </c>
      <c r="B15" s="26" t="s">
        <v>164</v>
      </c>
      <c r="C15" s="27" t="s">
        <v>102</v>
      </c>
      <c r="D15" s="28"/>
      <c r="E15" s="9" t="s">
        <v>113</v>
      </c>
      <c r="F15" s="28"/>
      <c r="G15" s="29"/>
      <c r="H15" s="29"/>
    </row>
    <row r="16" customFormat="false" ht="15" hidden="false" customHeight="true" outlineLevel="0" collapsed="false">
      <c r="A16" s="5" t="n">
        <v>3</v>
      </c>
      <c r="B16" s="26" t="s">
        <v>108</v>
      </c>
      <c r="C16" s="27" t="s">
        <v>102</v>
      </c>
      <c r="D16" s="28"/>
      <c r="E16" s="9" t="s">
        <v>105</v>
      </c>
      <c r="F16" s="28"/>
      <c r="G16" s="29"/>
      <c r="H16" s="29"/>
    </row>
    <row r="17" customFormat="false" ht="15" hidden="false" customHeight="true" outlineLevel="0" collapsed="false">
      <c r="A17" s="5" t="n">
        <v>4</v>
      </c>
      <c r="B17" s="26" t="s">
        <v>165</v>
      </c>
      <c r="C17" s="27" t="s">
        <v>102</v>
      </c>
      <c r="D17" s="28"/>
      <c r="E17" s="9" t="s">
        <v>166</v>
      </c>
      <c r="F17" s="28"/>
      <c r="G17" s="29"/>
      <c r="H17" s="29"/>
    </row>
    <row r="18" customFormat="false" ht="15" hidden="false" customHeight="true" outlineLevel="0" collapsed="false">
      <c r="A18" s="5" t="n">
        <v>5</v>
      </c>
      <c r="B18" s="26" t="s">
        <v>167</v>
      </c>
      <c r="C18" s="27" t="s">
        <v>102</v>
      </c>
      <c r="D18" s="28"/>
      <c r="E18" s="9" t="s">
        <v>168</v>
      </c>
      <c r="F18" s="28"/>
      <c r="G18" s="29"/>
      <c r="H18" s="29"/>
    </row>
    <row r="19" customFormat="false" ht="15" hidden="false" customHeight="true" outlineLevel="0" collapsed="false">
      <c r="A19" s="5" t="n">
        <v>6</v>
      </c>
      <c r="B19" s="26" t="s">
        <v>169</v>
      </c>
      <c r="C19" s="27" t="s">
        <v>102</v>
      </c>
      <c r="D19" s="28"/>
      <c r="E19" s="9" t="s">
        <v>170</v>
      </c>
      <c r="F19" s="28"/>
      <c r="G19" s="29"/>
      <c r="H19" s="29"/>
    </row>
    <row r="20" customFormat="false" ht="15" hidden="false" customHeight="true" outlineLevel="0" collapsed="false">
      <c r="A20" s="5" t="n">
        <v>7</v>
      </c>
      <c r="B20" s="26" t="s">
        <v>171</v>
      </c>
      <c r="C20" s="27" t="s">
        <v>102</v>
      </c>
      <c r="D20" s="28"/>
      <c r="E20" s="9" t="s">
        <v>172</v>
      </c>
      <c r="F20" s="28"/>
      <c r="G20" s="29"/>
      <c r="H20" s="29"/>
    </row>
    <row r="21" customFormat="false" ht="15" hidden="false" customHeight="true" outlineLevel="0" collapsed="false">
      <c r="A21" s="5" t="n">
        <v>8</v>
      </c>
      <c r="B21" s="26" t="s">
        <v>173</v>
      </c>
      <c r="C21" s="27" t="s">
        <v>102</v>
      </c>
      <c r="D21" s="28"/>
      <c r="E21" s="9" t="s">
        <v>174</v>
      </c>
      <c r="F21" s="28"/>
      <c r="G21" s="29"/>
      <c r="H21" s="29"/>
    </row>
    <row r="22" customFormat="false" ht="15" hidden="false" customHeight="true" outlineLevel="0" collapsed="false">
      <c r="A22" s="5" t="n">
        <v>9</v>
      </c>
      <c r="B22" s="26" t="s">
        <v>175</v>
      </c>
      <c r="C22" s="27" t="s">
        <v>102</v>
      </c>
      <c r="D22" s="28"/>
      <c r="E22" s="9" t="s">
        <v>176</v>
      </c>
      <c r="F22" s="28"/>
      <c r="G22" s="29"/>
      <c r="H22" s="29"/>
    </row>
    <row r="23" customFormat="false" ht="15" hidden="false" customHeight="true" outlineLevel="0" collapsed="false">
      <c r="A23" s="5" t="n">
        <v>10</v>
      </c>
      <c r="B23" s="26" t="s">
        <v>177</v>
      </c>
      <c r="C23" s="27" t="s">
        <v>102</v>
      </c>
      <c r="D23" s="28"/>
      <c r="E23" s="9" t="s">
        <v>178</v>
      </c>
      <c r="F23" s="28"/>
      <c r="G23" s="29"/>
      <c r="H23" s="29"/>
    </row>
    <row r="24" customFormat="false" ht="16.5" hidden="false" customHeight="true" outlineLevel="0" collapsed="false">
      <c r="A24" s="25" t="s">
        <v>179</v>
      </c>
      <c r="B24" s="25"/>
      <c r="C24" s="25"/>
      <c r="D24" s="25"/>
      <c r="E24" s="25"/>
      <c r="F24" s="25"/>
      <c r="G24" s="25"/>
      <c r="H24" s="25"/>
    </row>
    <row r="25" customFormat="false" ht="15" hidden="false" customHeight="true" outlineLevel="0" collapsed="false">
      <c r="A25" s="5" t="n">
        <v>11</v>
      </c>
      <c r="B25" s="26" t="s">
        <v>180</v>
      </c>
      <c r="C25" s="27" t="s">
        <v>102</v>
      </c>
      <c r="D25" s="28"/>
      <c r="E25" s="9" t="s">
        <v>181</v>
      </c>
      <c r="F25" s="28"/>
      <c r="G25" s="29"/>
      <c r="H25" s="29"/>
    </row>
    <row r="26" customFormat="false" ht="15" hidden="false" customHeight="true" outlineLevel="0" collapsed="false">
      <c r="A26" s="5" t="n">
        <v>12</v>
      </c>
      <c r="B26" s="26" t="s">
        <v>182</v>
      </c>
      <c r="C26" s="27" t="s">
        <v>102</v>
      </c>
      <c r="D26" s="28"/>
      <c r="E26" s="9" t="s">
        <v>113</v>
      </c>
      <c r="F26" s="28"/>
      <c r="G26" s="29"/>
      <c r="H26" s="29"/>
    </row>
    <row r="27" customFormat="false" ht="15" hidden="false" customHeight="true" outlineLevel="0" collapsed="false">
      <c r="A27" s="5" t="n">
        <v>13</v>
      </c>
      <c r="B27" s="26" t="s">
        <v>183</v>
      </c>
      <c r="C27" s="27" t="s">
        <v>102</v>
      </c>
      <c r="D27" s="28"/>
      <c r="E27" s="9" t="s">
        <v>174</v>
      </c>
      <c r="F27" s="28"/>
      <c r="G27" s="29"/>
      <c r="H27" s="29"/>
    </row>
    <row r="28" customFormat="false" ht="15" hidden="false" customHeight="true" outlineLevel="0" collapsed="false">
      <c r="A28" s="5" t="n">
        <v>14</v>
      </c>
      <c r="B28" s="26" t="s">
        <v>184</v>
      </c>
      <c r="C28" s="27" t="s">
        <v>102</v>
      </c>
      <c r="D28" s="28"/>
      <c r="E28" s="9" t="s">
        <v>185</v>
      </c>
      <c r="F28" s="28"/>
      <c r="G28" s="29"/>
      <c r="H28" s="29"/>
    </row>
    <row r="29" customFormat="false" ht="16.5" hidden="false" customHeight="true" outlineLevel="0" collapsed="false">
      <c r="A29" s="25" t="s">
        <v>186</v>
      </c>
      <c r="B29" s="25"/>
      <c r="C29" s="25"/>
      <c r="D29" s="25"/>
      <c r="E29" s="25"/>
      <c r="F29" s="25"/>
      <c r="G29" s="25"/>
      <c r="H29" s="25"/>
    </row>
    <row r="30" customFormat="false" ht="15" hidden="false" customHeight="true" outlineLevel="0" collapsed="false">
      <c r="A30" s="5" t="n">
        <v>15</v>
      </c>
      <c r="B30" s="26" t="s">
        <v>104</v>
      </c>
      <c r="C30" s="27" t="s">
        <v>102</v>
      </c>
      <c r="D30" s="28"/>
      <c r="E30" s="9" t="s">
        <v>105</v>
      </c>
      <c r="F30" s="28"/>
      <c r="G30" s="29"/>
      <c r="H30" s="29"/>
    </row>
    <row r="31" customFormat="false" ht="15" hidden="false" customHeight="true" outlineLevel="0" collapsed="false">
      <c r="A31" s="5" t="n">
        <v>16</v>
      </c>
      <c r="B31" s="26" t="s">
        <v>187</v>
      </c>
      <c r="C31" s="27" t="s">
        <v>102</v>
      </c>
      <c r="D31" s="28"/>
      <c r="E31" s="9" t="s">
        <v>113</v>
      </c>
      <c r="F31" s="28"/>
      <c r="G31" s="29"/>
      <c r="H31" s="29"/>
    </row>
    <row r="32" customFormat="false" ht="15" hidden="false" customHeight="true" outlineLevel="0" collapsed="false">
      <c r="A32" s="5" t="n">
        <v>17</v>
      </c>
      <c r="B32" s="26" t="s">
        <v>188</v>
      </c>
      <c r="C32" s="27" t="s">
        <v>102</v>
      </c>
      <c r="D32" s="28"/>
      <c r="E32" s="9" t="s">
        <v>189</v>
      </c>
      <c r="F32" s="28"/>
      <c r="G32" s="29"/>
      <c r="H32" s="29"/>
    </row>
    <row r="33" customFormat="false" ht="15" hidden="false" customHeight="true" outlineLevel="0" collapsed="false">
      <c r="A33" s="5" t="n">
        <v>18</v>
      </c>
      <c r="B33" s="26" t="s">
        <v>190</v>
      </c>
      <c r="C33" s="27" t="s">
        <v>102</v>
      </c>
      <c r="D33" s="28"/>
      <c r="E33" s="9" t="s">
        <v>191</v>
      </c>
      <c r="F33" s="28"/>
      <c r="G33" s="29"/>
      <c r="H33" s="29"/>
    </row>
    <row r="34" customFormat="false" ht="15" hidden="false" customHeight="true" outlineLevel="0" collapsed="false">
      <c r="A34" s="5" t="n">
        <v>19</v>
      </c>
      <c r="B34" s="26" t="s">
        <v>192</v>
      </c>
      <c r="C34" s="27" t="s">
        <v>102</v>
      </c>
      <c r="D34" s="28"/>
      <c r="E34" s="9" t="s">
        <v>193</v>
      </c>
      <c r="F34" s="28"/>
      <c r="G34" s="29"/>
      <c r="H34" s="29"/>
    </row>
    <row r="35" customFormat="false" ht="15" hidden="false" customHeight="true" outlineLevel="0" collapsed="false">
      <c r="A35" s="5" t="n">
        <v>20</v>
      </c>
      <c r="B35" s="26" t="s">
        <v>194</v>
      </c>
      <c r="C35" s="27" t="s">
        <v>102</v>
      </c>
      <c r="D35" s="28"/>
      <c r="E35" s="9" t="s">
        <v>174</v>
      </c>
      <c r="F35" s="28"/>
      <c r="G35" s="29"/>
      <c r="H35" s="29"/>
    </row>
    <row r="36" customFormat="false" ht="15" hidden="false" customHeight="true" outlineLevel="0" collapsed="false">
      <c r="A36" s="5" t="n">
        <v>21</v>
      </c>
      <c r="B36" s="26" t="s">
        <v>195</v>
      </c>
      <c r="C36" s="27" t="s">
        <v>102</v>
      </c>
      <c r="D36" s="28"/>
      <c r="E36" s="9" t="s">
        <v>196</v>
      </c>
      <c r="F36" s="28"/>
      <c r="G36" s="29"/>
      <c r="H36" s="29"/>
    </row>
    <row r="37" customFormat="false" ht="16.5" hidden="false" customHeight="true" outlineLevel="0" collapsed="false">
      <c r="A37" s="25" t="s">
        <v>197</v>
      </c>
      <c r="B37" s="25"/>
      <c r="C37" s="25"/>
      <c r="D37" s="25"/>
      <c r="E37" s="25"/>
      <c r="F37" s="25"/>
      <c r="G37" s="25"/>
      <c r="H37" s="25"/>
    </row>
    <row r="38" customFormat="false" ht="15" hidden="false" customHeight="true" outlineLevel="0" collapsed="false">
      <c r="A38" s="5" t="n">
        <v>22</v>
      </c>
      <c r="B38" s="26" t="s">
        <v>106</v>
      </c>
      <c r="C38" s="27" t="s">
        <v>102</v>
      </c>
      <c r="D38" s="28"/>
      <c r="E38" s="9" t="s">
        <v>105</v>
      </c>
      <c r="F38" s="28"/>
      <c r="G38" s="29"/>
      <c r="H38" s="29"/>
    </row>
    <row r="39" customFormat="false" ht="15" hidden="false" customHeight="true" outlineLevel="0" collapsed="false">
      <c r="A39" s="5" t="n">
        <v>23</v>
      </c>
      <c r="B39" s="26" t="s">
        <v>198</v>
      </c>
      <c r="C39" s="27" t="s">
        <v>102</v>
      </c>
      <c r="D39" s="28"/>
      <c r="E39" s="9" t="s">
        <v>113</v>
      </c>
      <c r="F39" s="28"/>
      <c r="G39" s="29"/>
      <c r="H39" s="29"/>
    </row>
    <row r="40" customFormat="false" ht="15" hidden="false" customHeight="true" outlineLevel="0" collapsed="false">
      <c r="A40" s="5" t="n">
        <v>24</v>
      </c>
      <c r="B40" s="26" t="s">
        <v>199</v>
      </c>
      <c r="C40" s="27" t="s">
        <v>102</v>
      </c>
      <c r="D40" s="28"/>
      <c r="E40" s="9" t="s">
        <v>174</v>
      </c>
      <c r="F40" s="28"/>
      <c r="G40" s="29"/>
      <c r="H40" s="29"/>
    </row>
    <row r="41" customFormat="false" ht="15" hidden="false" customHeight="true" outlineLevel="0" collapsed="false">
      <c r="A41" s="5" t="n">
        <v>25</v>
      </c>
      <c r="B41" s="26" t="s">
        <v>200</v>
      </c>
      <c r="C41" s="27" t="s">
        <v>102</v>
      </c>
      <c r="D41" s="28"/>
      <c r="E41" s="9" t="s">
        <v>105</v>
      </c>
      <c r="F41" s="28"/>
      <c r="G41" s="29"/>
      <c r="H41" s="29"/>
    </row>
    <row r="42" customFormat="false" ht="15" hidden="false" customHeight="true" outlineLevel="0" collapsed="false">
      <c r="A42" s="5" t="n">
        <v>26</v>
      </c>
      <c r="B42" s="26" t="s">
        <v>201</v>
      </c>
      <c r="C42" s="27" t="s">
        <v>102</v>
      </c>
      <c r="D42" s="28"/>
      <c r="E42" s="9" t="s">
        <v>202</v>
      </c>
      <c r="F42" s="28"/>
      <c r="G42" s="29"/>
      <c r="H42" s="29"/>
    </row>
    <row r="43" customFormat="false" ht="16.5" hidden="false" customHeight="true" outlineLevel="0" collapsed="false">
      <c r="A43" s="25" t="s">
        <v>203</v>
      </c>
      <c r="B43" s="25"/>
      <c r="C43" s="25"/>
      <c r="D43" s="25"/>
      <c r="E43" s="25"/>
      <c r="F43" s="25"/>
      <c r="G43" s="25"/>
      <c r="H43" s="25"/>
    </row>
    <row r="44" customFormat="false" ht="15" hidden="false" customHeight="true" outlineLevel="0" collapsed="false">
      <c r="A44" s="5" t="n">
        <v>27</v>
      </c>
      <c r="B44" s="26" t="s">
        <v>204</v>
      </c>
      <c r="C44" s="27" t="s">
        <v>102</v>
      </c>
      <c r="D44" s="28"/>
      <c r="E44" s="9" t="s">
        <v>174</v>
      </c>
      <c r="F44" s="28"/>
      <c r="G44" s="29"/>
      <c r="H44" s="29"/>
    </row>
    <row r="45" customFormat="false" ht="15" hidden="false" customHeight="true" outlineLevel="0" collapsed="false">
      <c r="A45" s="5" t="n">
        <v>28</v>
      </c>
      <c r="B45" s="26" t="s">
        <v>205</v>
      </c>
      <c r="C45" s="27" t="s">
        <v>102</v>
      </c>
      <c r="D45" s="28"/>
      <c r="E45" s="9" t="s">
        <v>206</v>
      </c>
      <c r="F45" s="28"/>
      <c r="G45" s="29"/>
      <c r="H45" s="29"/>
    </row>
    <row r="46" customFormat="false" ht="15" hidden="false" customHeight="true" outlineLevel="0" collapsed="false">
      <c r="A46" s="5" t="n">
        <v>29</v>
      </c>
      <c r="B46" s="26" t="s">
        <v>207</v>
      </c>
      <c r="C46" s="27" t="s">
        <v>102</v>
      </c>
      <c r="D46" s="28"/>
      <c r="E46" s="9" t="s">
        <v>105</v>
      </c>
      <c r="F46" s="28"/>
      <c r="G46" s="29"/>
      <c r="H46" s="29"/>
    </row>
    <row r="47" customFormat="false" ht="15" hidden="false" customHeight="true" outlineLevel="0" collapsed="false">
      <c r="A47" s="5" t="n">
        <v>30</v>
      </c>
      <c r="B47" s="26" t="s">
        <v>208</v>
      </c>
      <c r="C47" s="27" t="s">
        <v>102</v>
      </c>
      <c r="D47" s="28"/>
      <c r="E47" s="9" t="s">
        <v>113</v>
      </c>
      <c r="F47" s="28"/>
      <c r="G47" s="29"/>
      <c r="H47" s="29"/>
    </row>
    <row r="48" customFormat="false" ht="15" hidden="false" customHeight="true" outlineLevel="0" collapsed="false">
      <c r="A48" s="5" t="n">
        <v>31</v>
      </c>
      <c r="B48" s="26" t="s">
        <v>209</v>
      </c>
      <c r="C48" s="27" t="s">
        <v>102</v>
      </c>
      <c r="D48" s="28"/>
      <c r="E48" s="9" t="s">
        <v>210</v>
      </c>
      <c r="F48" s="28"/>
      <c r="G48" s="29"/>
      <c r="H48" s="29"/>
    </row>
    <row r="49" customFormat="false" ht="16.5" hidden="false" customHeight="true" outlineLevel="0" collapsed="false">
      <c r="A49" s="25" t="s">
        <v>211</v>
      </c>
      <c r="B49" s="25"/>
      <c r="C49" s="25"/>
      <c r="D49" s="25"/>
      <c r="E49" s="25"/>
      <c r="F49" s="25"/>
      <c r="G49" s="25"/>
      <c r="H49" s="25"/>
    </row>
    <row r="50" customFormat="false" ht="15" hidden="false" customHeight="true" outlineLevel="0" collapsed="false">
      <c r="A50" s="5" t="n">
        <v>32</v>
      </c>
      <c r="B50" s="26" t="s">
        <v>212</v>
      </c>
      <c r="C50" s="37" t="s">
        <v>213</v>
      </c>
      <c r="D50" s="28"/>
      <c r="E50" s="9" t="s">
        <v>214</v>
      </c>
      <c r="F50" s="28"/>
      <c r="G50" s="29"/>
      <c r="H50" s="29"/>
    </row>
    <row r="51" customFormat="false" ht="15" hidden="false" customHeight="true" outlineLevel="0" collapsed="false">
      <c r="A51" s="5" t="n">
        <v>33</v>
      </c>
      <c r="B51" s="26" t="s">
        <v>215</v>
      </c>
      <c r="C51" s="37" t="s">
        <v>216</v>
      </c>
      <c r="D51" s="28"/>
      <c r="E51" s="9" t="s">
        <v>217</v>
      </c>
      <c r="F51" s="28"/>
      <c r="G51" s="29"/>
      <c r="H51" s="29"/>
    </row>
    <row r="52" customFormat="false" ht="15" hidden="false" customHeight="true" outlineLevel="0" collapsed="false">
      <c r="A52" s="5" t="n">
        <v>34</v>
      </c>
      <c r="B52" s="26" t="s">
        <v>218</v>
      </c>
      <c r="C52" s="37" t="s">
        <v>216</v>
      </c>
      <c r="D52" s="28"/>
      <c r="E52" s="9" t="s">
        <v>219</v>
      </c>
      <c r="F52" s="28"/>
      <c r="G52" s="29"/>
      <c r="H52" s="29"/>
    </row>
    <row r="53" customFormat="false" ht="15" hidden="false" customHeight="true" outlineLevel="0" collapsed="false">
      <c r="A53" s="5" t="n">
        <v>35</v>
      </c>
      <c r="B53" s="26" t="s">
        <v>220</v>
      </c>
      <c r="C53" s="37" t="s">
        <v>216</v>
      </c>
      <c r="D53" s="28"/>
      <c r="E53" s="9" t="s">
        <v>221</v>
      </c>
      <c r="F53" s="28"/>
      <c r="G53" s="29"/>
      <c r="H53" s="29"/>
    </row>
    <row r="54" customFormat="false" ht="15" hidden="false" customHeight="true" outlineLevel="0" collapsed="false">
      <c r="A54" s="5" t="n">
        <v>36</v>
      </c>
      <c r="B54" s="26" t="s">
        <v>222</v>
      </c>
      <c r="C54" s="37" t="s">
        <v>213</v>
      </c>
      <c r="D54" s="28"/>
      <c r="E54" s="9" t="s">
        <v>223</v>
      </c>
      <c r="F54" s="28"/>
      <c r="G54" s="29"/>
      <c r="H54" s="29"/>
    </row>
    <row r="55" customFormat="false" ht="16.5" hidden="false" customHeight="true" outlineLevel="0" collapsed="false">
      <c r="A55" s="25" t="s">
        <v>224</v>
      </c>
      <c r="B55" s="25"/>
      <c r="C55" s="25"/>
      <c r="D55" s="25"/>
      <c r="E55" s="25"/>
      <c r="F55" s="25"/>
      <c r="G55" s="25"/>
      <c r="H55" s="25"/>
    </row>
    <row r="56" customFormat="false" ht="15" hidden="false" customHeight="true" outlineLevel="0" collapsed="false">
      <c r="A56" s="5" t="n">
        <v>37</v>
      </c>
      <c r="B56" s="26" t="s">
        <v>225</v>
      </c>
      <c r="C56" s="27" t="s">
        <v>102</v>
      </c>
      <c r="D56" s="28"/>
      <c r="E56" s="9" t="s">
        <v>226</v>
      </c>
      <c r="F56" s="28"/>
      <c r="G56" s="29"/>
      <c r="H56" s="29"/>
    </row>
    <row r="57" customFormat="false" ht="15" hidden="false" customHeight="true" outlineLevel="0" collapsed="false">
      <c r="A57" s="5" t="n">
        <v>38</v>
      </c>
      <c r="B57" s="26" t="s">
        <v>227</v>
      </c>
      <c r="C57" s="27" t="s">
        <v>102</v>
      </c>
      <c r="D57" s="28"/>
      <c r="E57" s="9" t="s">
        <v>228</v>
      </c>
      <c r="F57" s="28"/>
      <c r="G57" s="29"/>
      <c r="H57" s="29"/>
    </row>
    <row r="58" customFormat="false" ht="15" hidden="false" customHeight="true" outlineLevel="0" collapsed="false">
      <c r="A58" s="5" t="n">
        <v>39</v>
      </c>
      <c r="B58" s="26" t="s">
        <v>229</v>
      </c>
      <c r="C58" s="27" t="s">
        <v>102</v>
      </c>
      <c r="D58" s="28"/>
      <c r="E58" s="9" t="s">
        <v>121</v>
      </c>
      <c r="F58" s="28"/>
      <c r="G58" s="29"/>
      <c r="H58" s="29"/>
    </row>
    <row r="59" customFormat="false" ht="15" hidden="false" customHeight="true" outlineLevel="0" collapsed="false">
      <c r="A59" s="5" t="n">
        <v>40</v>
      </c>
      <c r="B59" s="26" t="s">
        <v>230</v>
      </c>
      <c r="C59" s="27" t="s">
        <v>102</v>
      </c>
      <c r="D59" s="28"/>
      <c r="E59" s="9" t="s">
        <v>231</v>
      </c>
      <c r="F59" s="28"/>
      <c r="G59" s="29"/>
      <c r="H59" s="29"/>
    </row>
    <row r="60" customFormat="false" ht="15" hidden="false" customHeight="true" outlineLevel="0" collapsed="false">
      <c r="A60" s="5" t="n">
        <v>41</v>
      </c>
      <c r="B60" s="26" t="s">
        <v>232</v>
      </c>
      <c r="C60" s="27" t="s">
        <v>102</v>
      </c>
      <c r="D60" s="28"/>
      <c r="E60" s="9" t="s">
        <v>174</v>
      </c>
      <c r="F60" s="28"/>
      <c r="G60" s="29"/>
      <c r="H60" s="29"/>
    </row>
    <row r="61" customFormat="false" ht="15" hidden="false" customHeight="true" outlineLevel="0" collapsed="false">
      <c r="A61" s="5" t="n">
        <v>42</v>
      </c>
      <c r="B61" s="26" t="s">
        <v>233</v>
      </c>
      <c r="C61" s="27" t="s">
        <v>102</v>
      </c>
      <c r="D61" s="28"/>
      <c r="E61" s="9" t="s">
        <v>234</v>
      </c>
      <c r="F61" s="28"/>
      <c r="G61" s="29"/>
      <c r="H61" s="29"/>
    </row>
    <row r="62" customFormat="false" ht="16.5" hidden="false" customHeight="true" outlineLevel="0" collapsed="false">
      <c r="A62" s="25" t="s">
        <v>235</v>
      </c>
      <c r="B62" s="25"/>
      <c r="C62" s="25"/>
      <c r="D62" s="25"/>
      <c r="E62" s="25"/>
      <c r="F62" s="25"/>
      <c r="G62" s="25"/>
      <c r="H62" s="25"/>
    </row>
    <row r="63" customFormat="false" ht="15" hidden="false" customHeight="true" outlineLevel="0" collapsed="false">
      <c r="A63" s="5" t="n">
        <v>43</v>
      </c>
      <c r="B63" s="26" t="s">
        <v>236</v>
      </c>
      <c r="C63" s="27" t="s">
        <v>102</v>
      </c>
      <c r="D63" s="28"/>
      <c r="E63" s="9" t="s">
        <v>237</v>
      </c>
      <c r="F63" s="28"/>
      <c r="G63" s="29"/>
      <c r="H63" s="29"/>
    </row>
    <row r="64" customFormat="false" ht="15" hidden="false" customHeight="true" outlineLevel="0" collapsed="false">
      <c r="A64" s="5" t="n">
        <v>44</v>
      </c>
      <c r="B64" s="26" t="s">
        <v>238</v>
      </c>
      <c r="C64" s="27" t="s">
        <v>102</v>
      </c>
      <c r="D64" s="28"/>
      <c r="E64" s="9" t="s">
        <v>239</v>
      </c>
      <c r="F64" s="28"/>
      <c r="G64" s="29"/>
      <c r="H64" s="29"/>
    </row>
    <row r="65" customFormat="false" ht="15" hidden="false" customHeight="true" outlineLevel="0" collapsed="false">
      <c r="A65" s="5" t="n">
        <v>45</v>
      </c>
      <c r="B65" s="26" t="s">
        <v>240</v>
      </c>
      <c r="C65" s="37" t="s">
        <v>241</v>
      </c>
      <c r="D65" s="28"/>
      <c r="E65" s="9" t="s">
        <v>242</v>
      </c>
      <c r="F65" s="28"/>
      <c r="G65" s="29"/>
      <c r="H65" s="29"/>
    </row>
    <row r="66" customFormat="false" ht="15" hidden="false" customHeight="true" outlineLevel="0" collapsed="false">
      <c r="A66" s="5" t="n">
        <v>46</v>
      </c>
      <c r="B66" s="26" t="s">
        <v>243</v>
      </c>
      <c r="C66" s="37" t="s">
        <v>244</v>
      </c>
      <c r="D66" s="28"/>
      <c r="E66" s="9" t="s">
        <v>245</v>
      </c>
      <c r="F66" s="28"/>
      <c r="G66" s="29"/>
      <c r="H66" s="29"/>
    </row>
    <row r="67" customFormat="false" ht="15" hidden="false" customHeight="true" outlineLevel="0" collapsed="false">
      <c r="A67" s="5" t="n">
        <v>47</v>
      </c>
      <c r="B67" s="26" t="s">
        <v>246</v>
      </c>
      <c r="C67" s="37" t="s">
        <v>247</v>
      </c>
      <c r="D67" s="28"/>
      <c r="E67" s="9" t="s">
        <v>248</v>
      </c>
      <c r="F67" s="28"/>
      <c r="G67" s="29"/>
      <c r="H67" s="29"/>
    </row>
    <row r="68" customFormat="false" ht="15" hidden="false" customHeight="true" outlineLevel="0" collapsed="false">
      <c r="A68" s="5" t="n">
        <v>48</v>
      </c>
      <c r="B68" s="26" t="s">
        <v>249</v>
      </c>
      <c r="C68" s="37" t="s">
        <v>250</v>
      </c>
      <c r="D68" s="28"/>
      <c r="E68" s="9" t="s">
        <v>251</v>
      </c>
      <c r="F68" s="28"/>
      <c r="G68" s="29"/>
      <c r="H68" s="29"/>
    </row>
    <row r="69" customFormat="false" ht="15" hidden="false" customHeight="true" outlineLevel="0" collapsed="false">
      <c r="A69" s="5" t="n">
        <v>49</v>
      </c>
      <c r="B69" s="26" t="s">
        <v>252</v>
      </c>
      <c r="C69" s="27" t="s">
        <v>102</v>
      </c>
      <c r="D69" s="28"/>
      <c r="E69" s="9" t="s">
        <v>116</v>
      </c>
      <c r="F69" s="28"/>
      <c r="G69" s="29"/>
      <c r="H69" s="29"/>
    </row>
    <row r="70" customFormat="false" ht="15" hidden="false" customHeight="true" outlineLevel="0" collapsed="false">
      <c r="A70" s="5" t="n">
        <v>50</v>
      </c>
      <c r="B70" s="26" t="s">
        <v>253</v>
      </c>
      <c r="C70" s="27" t="s">
        <v>102</v>
      </c>
      <c r="D70" s="28"/>
      <c r="E70" s="9" t="s">
        <v>254</v>
      </c>
      <c r="F70" s="28"/>
      <c r="G70" s="29"/>
      <c r="H70" s="29"/>
    </row>
    <row r="71" customFormat="false" ht="16.5" hidden="false" customHeight="true" outlineLevel="0" collapsed="false">
      <c r="A71" s="25" t="s">
        <v>255</v>
      </c>
      <c r="B71" s="25"/>
      <c r="C71" s="25"/>
      <c r="D71" s="25"/>
      <c r="E71" s="25"/>
      <c r="F71" s="25"/>
      <c r="G71" s="25"/>
      <c r="H71" s="25"/>
    </row>
    <row r="72" customFormat="false" ht="15" hidden="false" customHeight="true" outlineLevel="0" collapsed="false">
      <c r="A72" s="5" t="n">
        <v>51</v>
      </c>
      <c r="B72" s="26" t="s">
        <v>256</v>
      </c>
      <c r="C72" s="27" t="s">
        <v>102</v>
      </c>
      <c r="D72" s="28"/>
      <c r="E72" s="9" t="s">
        <v>257</v>
      </c>
      <c r="F72" s="28"/>
      <c r="G72" s="29"/>
      <c r="H72" s="29"/>
    </row>
    <row r="73" customFormat="false" ht="15" hidden="false" customHeight="true" outlineLevel="0" collapsed="false">
      <c r="A73" s="5" t="n">
        <v>52</v>
      </c>
      <c r="B73" s="26" t="s">
        <v>258</v>
      </c>
      <c r="C73" s="27" t="s">
        <v>102</v>
      </c>
      <c r="D73" s="28"/>
      <c r="E73" s="9" t="s">
        <v>259</v>
      </c>
      <c r="F73" s="28"/>
      <c r="G73" s="29"/>
      <c r="H73" s="29"/>
    </row>
    <row r="74" customFormat="false" ht="15" hidden="false" customHeight="true" outlineLevel="0" collapsed="false">
      <c r="A74" s="5" t="n">
        <v>53</v>
      </c>
      <c r="B74" s="26" t="s">
        <v>260</v>
      </c>
      <c r="C74" s="27" t="s">
        <v>102</v>
      </c>
      <c r="D74" s="28"/>
      <c r="E74" s="9" t="s">
        <v>261</v>
      </c>
      <c r="F74" s="28"/>
      <c r="G74" s="29"/>
      <c r="H74" s="29"/>
    </row>
    <row r="75" customFormat="false" ht="15" hidden="false" customHeight="true" outlineLevel="0" collapsed="false">
      <c r="A75" s="5" t="n">
        <v>54</v>
      </c>
      <c r="B75" s="26" t="s">
        <v>262</v>
      </c>
      <c r="C75" s="27" t="s">
        <v>102</v>
      </c>
      <c r="D75" s="28"/>
      <c r="E75" s="9" t="s">
        <v>121</v>
      </c>
      <c r="F75" s="28"/>
      <c r="G75" s="29"/>
      <c r="H75" s="29"/>
    </row>
    <row r="76" customFormat="false" ht="15" hidden="false" customHeight="true" outlineLevel="0" collapsed="false">
      <c r="A76" s="5" t="n">
        <v>55</v>
      </c>
      <c r="B76" s="26" t="s">
        <v>263</v>
      </c>
      <c r="C76" s="27" t="s">
        <v>102</v>
      </c>
      <c r="D76" s="28"/>
      <c r="E76" s="9" t="s">
        <v>264</v>
      </c>
      <c r="F76" s="28"/>
      <c r="G76" s="29"/>
      <c r="H76" s="29"/>
    </row>
    <row r="77" customFormat="false" ht="15" hidden="false" customHeight="true" outlineLevel="0" collapsed="false">
      <c r="A77" s="5" t="n">
        <v>56</v>
      </c>
      <c r="B77" s="26" t="s">
        <v>265</v>
      </c>
      <c r="C77" s="27" t="s">
        <v>102</v>
      </c>
      <c r="D77" s="28"/>
      <c r="E77" s="9" t="s">
        <v>266</v>
      </c>
      <c r="F77" s="28"/>
      <c r="G77" s="29"/>
      <c r="H77" s="29"/>
    </row>
    <row r="78" customFormat="false" ht="16.5" hidden="false" customHeight="true" outlineLevel="0" collapsed="false">
      <c r="A78" s="25" t="s">
        <v>267</v>
      </c>
      <c r="B78" s="25"/>
      <c r="C78" s="25"/>
      <c r="D78" s="25"/>
      <c r="E78" s="25"/>
      <c r="F78" s="25"/>
      <c r="G78" s="25"/>
      <c r="H78" s="25"/>
    </row>
    <row r="79" customFormat="false" ht="15" hidden="false" customHeight="true" outlineLevel="0" collapsed="false">
      <c r="A79" s="5" t="n">
        <v>57</v>
      </c>
      <c r="B79" s="26" t="s">
        <v>268</v>
      </c>
      <c r="C79" s="27" t="s">
        <v>102</v>
      </c>
      <c r="D79" s="28"/>
      <c r="E79" s="9" t="s">
        <v>269</v>
      </c>
      <c r="F79" s="28"/>
      <c r="G79" s="29"/>
      <c r="H79" s="29"/>
    </row>
    <row r="80" customFormat="false" ht="15" hidden="false" customHeight="true" outlineLevel="0" collapsed="false">
      <c r="A80" s="5" t="n">
        <v>58</v>
      </c>
      <c r="B80" s="26" t="s">
        <v>128</v>
      </c>
      <c r="C80" s="27" t="s">
        <v>102</v>
      </c>
      <c r="D80" s="28"/>
      <c r="E80" s="9" t="s">
        <v>129</v>
      </c>
      <c r="F80" s="28"/>
      <c r="G80" s="29"/>
      <c r="H80" s="29"/>
    </row>
    <row r="81" customFormat="false" ht="15" hidden="false" customHeight="true" outlineLevel="0" collapsed="false">
      <c r="A81" s="5" t="n">
        <v>59</v>
      </c>
      <c r="B81" s="26" t="s">
        <v>270</v>
      </c>
      <c r="C81" s="27" t="s">
        <v>102</v>
      </c>
      <c r="D81" s="28"/>
      <c r="E81" s="9" t="s">
        <v>261</v>
      </c>
      <c r="F81" s="28"/>
      <c r="G81" s="29"/>
      <c r="H81" s="29"/>
    </row>
    <row r="83" customFormat="false" ht="18" hidden="false" customHeight="true" outlineLevel="0" collapsed="false">
      <c r="A83" s="38" t="s">
        <v>271</v>
      </c>
      <c r="B83" s="38"/>
      <c r="C83" s="38"/>
      <c r="D83" s="38"/>
      <c r="E83" s="38"/>
      <c r="F83" s="38"/>
      <c r="G83" s="38"/>
      <c r="H83" s="38"/>
    </row>
    <row r="84" customFormat="false" ht="24" hidden="false" customHeight="true" outlineLevel="0" collapsed="false">
      <c r="A84" s="39" t="s">
        <v>272</v>
      </c>
      <c r="B84" s="39"/>
      <c r="C84" s="39" t="s">
        <v>273</v>
      </c>
      <c r="D84" s="39" t="s">
        <v>274</v>
      </c>
      <c r="E84" s="39"/>
      <c r="F84" s="39" t="s">
        <v>275</v>
      </c>
      <c r="G84" s="39" t="s">
        <v>276</v>
      </c>
      <c r="H84" s="39" t="s">
        <v>277</v>
      </c>
    </row>
    <row r="85" customFormat="false" ht="15.75" hidden="false" customHeight="true" outlineLevel="0" collapsed="false">
      <c r="A85" s="29"/>
      <c r="B85" s="29"/>
      <c r="C85" s="28"/>
      <c r="D85" s="29"/>
      <c r="E85" s="29"/>
      <c r="F85" s="29"/>
      <c r="G85" s="29"/>
      <c r="H85" s="29"/>
    </row>
    <row r="86" customFormat="false" ht="15.75" hidden="false" customHeight="true" outlineLevel="0" collapsed="false">
      <c r="A86" s="29"/>
      <c r="B86" s="29"/>
      <c r="C86" s="28"/>
      <c r="D86" s="29"/>
      <c r="E86" s="29"/>
      <c r="F86" s="29"/>
      <c r="G86" s="29"/>
      <c r="H86" s="29"/>
    </row>
    <row r="87" customFormat="false" ht="15.75" hidden="false" customHeight="true" outlineLevel="0" collapsed="false">
      <c r="A87" s="29"/>
      <c r="B87" s="29"/>
      <c r="C87" s="28"/>
      <c r="D87" s="29"/>
      <c r="E87" s="29"/>
      <c r="F87" s="29"/>
      <c r="G87" s="29"/>
      <c r="H87" s="29"/>
    </row>
    <row r="88" customFormat="false" ht="15.75" hidden="false" customHeight="true" outlineLevel="0" collapsed="false">
      <c r="A88" s="29"/>
      <c r="B88" s="29"/>
      <c r="C88" s="28"/>
      <c r="D88" s="29"/>
      <c r="E88" s="29"/>
      <c r="F88" s="29"/>
      <c r="G88" s="29"/>
      <c r="H88" s="29"/>
    </row>
    <row r="89" customFormat="false" ht="15.75" hidden="false" customHeight="true" outlineLevel="0" collapsed="false">
      <c r="A89" s="29"/>
      <c r="B89" s="29"/>
      <c r="C89" s="28"/>
      <c r="D89" s="29"/>
      <c r="E89" s="29"/>
      <c r="F89" s="29"/>
      <c r="G89" s="29"/>
      <c r="H89" s="29"/>
    </row>
    <row r="90" customFormat="false" ht="15.75" hidden="false" customHeight="true" outlineLevel="0" collapsed="false">
      <c r="A90" s="29"/>
      <c r="B90" s="29"/>
      <c r="C90" s="28"/>
      <c r="D90" s="29"/>
      <c r="E90" s="29"/>
      <c r="F90" s="29"/>
      <c r="G90" s="29"/>
      <c r="H90" s="29"/>
    </row>
    <row r="91" customFormat="false" ht="15.75" hidden="false" customHeight="true" outlineLevel="0" collapsed="false">
      <c r="A91" s="29"/>
      <c r="B91" s="29"/>
      <c r="C91" s="28"/>
      <c r="D91" s="29"/>
      <c r="E91" s="29"/>
      <c r="F91" s="29"/>
      <c r="G91" s="29"/>
      <c r="H91" s="29"/>
    </row>
    <row r="92" customFormat="false" ht="15.75" hidden="false" customHeight="true" outlineLevel="0" collapsed="false">
      <c r="A92" s="29"/>
      <c r="B92" s="29"/>
      <c r="C92" s="28"/>
      <c r="D92" s="29"/>
      <c r="E92" s="29"/>
      <c r="F92" s="29"/>
      <c r="G92" s="29"/>
      <c r="H92" s="29"/>
    </row>
    <row r="94" customFormat="false" ht="18" hidden="false" customHeight="true" outlineLevel="0" collapsed="false">
      <c r="A94" s="20" t="s">
        <v>130</v>
      </c>
      <c r="B94" s="20"/>
      <c r="C94" s="20"/>
      <c r="D94" s="20"/>
      <c r="E94" s="20"/>
      <c r="F94" s="20"/>
      <c r="G94" s="20"/>
      <c r="H94" s="20"/>
    </row>
    <row r="95" customFormat="false" ht="15.75" hidden="false" customHeight="true" outlineLevel="0" collapsed="false">
      <c r="A95" s="30" t="s">
        <v>131</v>
      </c>
      <c r="B95" s="30"/>
      <c r="C95" s="31" t="n">
        <f aca="false">COUNTIF(F14:F81,"سليم")</f>
        <v>0</v>
      </c>
      <c r="D95" s="31"/>
      <c r="E95" s="30" t="s">
        <v>132</v>
      </c>
      <c r="F95" s="30"/>
      <c r="G95" s="31" t="n">
        <f aca="false">COUNTIF(F14:F81,"ملاحظة")</f>
        <v>0</v>
      </c>
      <c r="H95" s="31"/>
    </row>
    <row r="96" customFormat="false" ht="15.75" hidden="false" customHeight="true" outlineLevel="0" collapsed="false">
      <c r="A96" s="30" t="s">
        <v>133</v>
      </c>
      <c r="B96" s="30"/>
      <c r="C96" s="31" t="n">
        <f aca="false">COUNTIF(F14:F81,"حرج")</f>
        <v>0</v>
      </c>
      <c r="D96" s="31"/>
      <c r="E96" s="30" t="s">
        <v>134</v>
      </c>
      <c r="F96" s="30"/>
      <c r="G96" s="32" t="str">
        <f aca="false">IFERROR((COUNTIF(F14:F81,"سليم"))/(COUNTIF(F14:F81,"سليم")+COUNTIF(F14:F81,"ملاحظة")+COUNTIF(F14:F81,"حرج")),"")</f>
        <v/>
      </c>
      <c r="H96" s="32"/>
    </row>
    <row r="97" customFormat="false" ht="15.75" hidden="false" customHeight="true" outlineLevel="0" collapsed="false">
      <c r="A97" s="30" t="s">
        <v>135</v>
      </c>
      <c r="B97" s="30"/>
      <c r="C97" s="33"/>
      <c r="D97" s="33"/>
      <c r="E97" s="30" t="s">
        <v>136</v>
      </c>
      <c r="F97" s="30"/>
      <c r="G97" s="33"/>
      <c r="H97" s="33"/>
    </row>
    <row r="98" customFormat="false" ht="15.75" hidden="false" customHeight="true" outlineLevel="0" collapsed="false">
      <c r="A98" s="30" t="s">
        <v>137</v>
      </c>
      <c r="B98" s="30"/>
      <c r="C98" s="33"/>
      <c r="D98" s="33"/>
      <c r="E98" s="30" t="s">
        <v>138</v>
      </c>
      <c r="F98" s="30"/>
      <c r="G98" s="33"/>
      <c r="H98" s="33"/>
    </row>
    <row r="99" customFormat="false" ht="19.5" hidden="false" customHeight="true" outlineLevel="0" collapsed="false">
      <c r="A99" s="34" t="s">
        <v>139</v>
      </c>
      <c r="B99" s="34"/>
      <c r="C99" s="35"/>
      <c r="D99" s="35"/>
      <c r="E99" s="35"/>
      <c r="F99" s="35"/>
      <c r="G99" s="35"/>
      <c r="H99" s="35"/>
    </row>
    <row r="100" customFormat="false" ht="15.75" hidden="false" customHeight="true" outlineLevel="0" collapsed="false">
      <c r="A100" s="30" t="s">
        <v>140</v>
      </c>
      <c r="B100" s="30"/>
      <c r="C100" s="33"/>
      <c r="D100" s="33"/>
      <c r="E100" s="30" t="s">
        <v>141</v>
      </c>
      <c r="F100" s="30"/>
      <c r="G100" s="31"/>
      <c r="H100" s="31"/>
    </row>
    <row r="101" customFormat="false" ht="15.75" hidden="false" customHeight="true" outlineLevel="0" collapsed="false">
      <c r="A101" s="30" t="s">
        <v>142</v>
      </c>
      <c r="B101" s="30"/>
      <c r="C101" s="31"/>
      <c r="D101" s="31"/>
      <c r="E101" s="30" t="s">
        <v>143</v>
      </c>
      <c r="F101" s="30"/>
      <c r="G101" s="31"/>
      <c r="H101" s="31"/>
    </row>
    <row r="103" customFormat="false" ht="19.5" hidden="false" customHeight="true" outlineLevel="0" collapsed="false">
      <c r="A103" s="36" t="s">
        <v>144</v>
      </c>
      <c r="B103" s="36"/>
      <c r="C103" s="36"/>
      <c r="D103" s="36"/>
      <c r="E103" s="36" t="s">
        <v>145</v>
      </c>
      <c r="F103" s="36"/>
      <c r="G103" s="36"/>
      <c r="H103" s="36"/>
    </row>
  </sheetData>
  <mergeCells count="74">
    <mergeCell ref="A1:H1"/>
    <mergeCell ref="A2:H2"/>
    <mergeCell ref="A3:H3"/>
    <mergeCell ref="A4:H4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1:H11"/>
    <mergeCell ref="A13:H13"/>
    <mergeCell ref="A24:H24"/>
    <mergeCell ref="A29:H29"/>
    <mergeCell ref="A37:H37"/>
    <mergeCell ref="A43:H43"/>
    <mergeCell ref="A49:H49"/>
    <mergeCell ref="A55:H55"/>
    <mergeCell ref="A62:H62"/>
    <mergeCell ref="A71:H71"/>
    <mergeCell ref="A78:H78"/>
    <mergeCell ref="A83:H83"/>
    <mergeCell ref="A84:B84"/>
    <mergeCell ref="D84:E84"/>
    <mergeCell ref="A85:B85"/>
    <mergeCell ref="D85:E85"/>
    <mergeCell ref="A86:B86"/>
    <mergeCell ref="D86:E86"/>
    <mergeCell ref="A87:B87"/>
    <mergeCell ref="D87:E87"/>
    <mergeCell ref="A88:B88"/>
    <mergeCell ref="D88:E88"/>
    <mergeCell ref="A89:B89"/>
    <mergeCell ref="D89:E89"/>
    <mergeCell ref="A90:B90"/>
    <mergeCell ref="D90:E90"/>
    <mergeCell ref="A91:B91"/>
    <mergeCell ref="D91:E91"/>
    <mergeCell ref="A92:B92"/>
    <mergeCell ref="D92:E92"/>
    <mergeCell ref="A94:H94"/>
    <mergeCell ref="A95:B95"/>
    <mergeCell ref="C95:D95"/>
    <mergeCell ref="E95:F95"/>
    <mergeCell ref="G95:H95"/>
    <mergeCell ref="A96:B96"/>
    <mergeCell ref="C96:D96"/>
    <mergeCell ref="E96:F96"/>
    <mergeCell ref="G96:H96"/>
    <mergeCell ref="A97:B97"/>
    <mergeCell ref="C97:D97"/>
    <mergeCell ref="E97:F97"/>
    <mergeCell ref="G97:H97"/>
    <mergeCell ref="A98:B98"/>
    <mergeCell ref="C98:D98"/>
    <mergeCell ref="E98:F98"/>
    <mergeCell ref="G98:H98"/>
    <mergeCell ref="A99:B99"/>
    <mergeCell ref="C99:H99"/>
    <mergeCell ref="A100:B100"/>
    <mergeCell ref="C100:D100"/>
    <mergeCell ref="E100:F100"/>
    <mergeCell ref="G100:H100"/>
    <mergeCell ref="A101:B101"/>
    <mergeCell ref="C101:D101"/>
    <mergeCell ref="E101:F101"/>
    <mergeCell ref="G101:H101"/>
    <mergeCell ref="A103:D103"/>
    <mergeCell ref="E103:H103"/>
  </mergeCells>
  <dataValidations count="10">
    <dataValidation allowBlank="true" errorStyle="stop" operator="between" showDropDown="false" showErrorMessage="false" showInputMessage="false" sqref="F14:F23 F25:F28 F30:F36 F38:F42 F44:F48 F50:F54 F56:F61 F63:F70 F72:F77 F79:F81" type="list">
      <formula1>"سليم,ملاحظة,حرج,لا ينطبق"</formula1>
      <formula2>0</formula2>
    </dataValidation>
    <dataValidation allowBlank="true" errorStyle="stop" operator="between" showDropDown="false" showErrorMessage="false" showInputMessage="false" sqref="D14:D23 D25:D28 D30:D36 D38:D42 D44:D48 D50:D54 D56:D61 D63:D70 D72:D77 D79:D81" type="list">
      <formula1>"فحص نظري,قياس بالأجهزة,تشغيل واختبار,فحص يدوي"</formula1>
      <formula2>0</formula2>
    </dataValidation>
    <dataValidation allowBlank="true" errorStyle="stop" operator="between" showDropDown="false" showErrorMessage="false" showInputMessage="false" sqref="C14:C23 C25:C28 C30:C36 C38:C42 C44:C48 C50:C54 C56:C61 C63:C70 C72:C77 C79:C81" type="list">
      <formula1>"عام,حفّار,قلّاب,دريل,لودر"</formula1>
      <formula2>0</formula2>
    </dataValidation>
    <dataValidation allowBlank="true" errorStyle="stop" operator="between" showDropDown="false" showErrorMessage="false" showInputMessage="false" sqref="C85:C92" type="list">
      <formula1>"نعم,لا"</formula1>
      <formula2>0</formula2>
    </dataValidation>
    <dataValidation allowBlank="true" errorStyle="stop" operator="between" showDropDown="false" showErrorMessage="false" showInputMessage="false" sqref="C97" type="list">
      <formula1>"سليمة,صالحة بملاحظات,غير صالحة / حرجة"</formula1>
      <formula2>0</formula2>
    </dataValidation>
    <dataValidation allowBlank="true" errorStyle="stop" operator="between" showDropDown="false" showErrorMessage="false" showInputMessage="false" sqref="G97" type="list">
      <formula1>"قبول فني,قبول بملاحظات,صيانة فورية,مراقبة,إصلاح جذري (عمرة),استبدال,رفض فني,بيع / تخلّص"</formula1>
      <formula2>0</formula2>
    </dataValidation>
    <dataValidation allowBlank="true" errorStyle="stop" operator="between" showDropDown="false" showErrorMessage="false" showInputMessage="false" sqref="C98" type="list">
      <formula1>"معتمدة فنيًّا,مرفوضة,بانتظار استكمال"</formula1>
      <formula2>0</formula2>
    </dataValidation>
    <dataValidation allowBlank="true" errorStyle="stop" operator="between" showDropDown="false" showErrorMessage="false" showInputMessage="false" sqref="G98" type="list">
      <formula1>"منخفض,متوسط,مرتفع,حرج"</formula1>
      <formula2>0</formula2>
    </dataValidation>
    <dataValidation allowBlank="true" errorStyle="stop" operator="between" showDropDown="false" showErrorMessage="false" showInputMessage="false" sqref="C100" type="list">
      <formula1>"صيانة,تشغيل,مورد,أسطول,مشتريات"</formula1>
      <formula2>0</formula2>
    </dataValidation>
    <dataValidation allowBlank="true" errorStyle="stop" operator="between" showDropDown="false" showErrorMessage="false" showInputMessage="false" sqref="C99" type="list">
      <formula1>"يسمح بالتشغيل,يسمح بالتشغيل مع متابعة,يسمح بالتشغيل حتى موعد محدد,يمنع التشغيل,يحتاج اعتماد استثنائي"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8" min="7" style="0" width="20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7" t="s">
        <v>16</v>
      </c>
      <c r="B2" s="17"/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A3" s="18" t="s">
        <v>278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279</v>
      </c>
      <c r="B4" s="19"/>
      <c r="C4" s="19"/>
      <c r="D4" s="19"/>
      <c r="E4" s="19"/>
      <c r="F4" s="19"/>
      <c r="G4" s="19"/>
      <c r="H4" s="19"/>
    </row>
    <row r="5" customFormat="false" ht="18" hidden="false" customHeight="true" outlineLevel="0" collapsed="false">
      <c r="A5" s="20" t="s">
        <v>74</v>
      </c>
      <c r="B5" s="20"/>
      <c r="C5" s="20"/>
      <c r="D5" s="20"/>
      <c r="E5" s="20"/>
      <c r="F5" s="20"/>
      <c r="G5" s="20"/>
      <c r="H5" s="20"/>
    </row>
    <row r="6" customFormat="false" ht="15.75" hidden="false" customHeight="true" outlineLevel="0" collapsed="false">
      <c r="A6" s="21" t="s">
        <v>75</v>
      </c>
      <c r="B6" s="22" t="s">
        <v>148</v>
      </c>
      <c r="C6" s="22"/>
      <c r="D6" s="22"/>
      <c r="E6" s="21" t="s">
        <v>149</v>
      </c>
      <c r="F6" s="22" t="s">
        <v>280</v>
      </c>
      <c r="G6" s="22"/>
      <c r="H6" s="22"/>
    </row>
    <row r="7" customFormat="false" ht="15.75" hidden="false" customHeight="true" outlineLevel="0" collapsed="false">
      <c r="A7" s="21" t="s">
        <v>79</v>
      </c>
      <c r="B7" s="22" t="s">
        <v>151</v>
      </c>
      <c r="C7" s="22"/>
      <c r="D7" s="22"/>
      <c r="E7" s="21" t="s">
        <v>142</v>
      </c>
      <c r="F7" s="22" t="s">
        <v>152</v>
      </c>
      <c r="G7" s="22"/>
      <c r="H7" s="22"/>
    </row>
    <row r="8" customFormat="false" ht="15.75" hidden="false" customHeight="true" outlineLevel="0" collapsed="false">
      <c r="A8" s="21" t="s">
        <v>153</v>
      </c>
      <c r="B8" s="22" t="s">
        <v>154</v>
      </c>
      <c r="C8" s="22"/>
      <c r="D8" s="22"/>
      <c r="E8" s="21" t="s">
        <v>87</v>
      </c>
      <c r="F8" s="22" t="s">
        <v>155</v>
      </c>
      <c r="G8" s="22"/>
      <c r="H8" s="22"/>
    </row>
    <row r="9" customFormat="false" ht="15.75" hidden="false" customHeight="true" outlineLevel="0" collapsed="false">
      <c r="A9" s="21" t="s">
        <v>83</v>
      </c>
      <c r="B9" s="22" t="s">
        <v>156</v>
      </c>
      <c r="C9" s="22"/>
      <c r="D9" s="22"/>
      <c r="E9" s="21" t="s">
        <v>157</v>
      </c>
      <c r="F9" s="22" t="s">
        <v>158</v>
      </c>
      <c r="G9" s="22"/>
      <c r="H9" s="22"/>
    </row>
    <row r="10" customFormat="false" ht="15.75" hidden="false" customHeight="true" outlineLevel="0" collapsed="false">
      <c r="A10" s="29"/>
      <c r="B10" s="29"/>
      <c r="C10" s="29"/>
      <c r="D10" s="29"/>
      <c r="E10" s="21" t="s">
        <v>159</v>
      </c>
      <c r="F10" s="22" t="s">
        <v>160</v>
      </c>
      <c r="G10" s="22"/>
      <c r="H10" s="22"/>
    </row>
    <row r="11" customFormat="false" ht="24" hidden="false" customHeight="true" outlineLevel="0" collapsed="false">
      <c r="A11" s="23" t="s">
        <v>91</v>
      </c>
      <c r="B11" s="23"/>
      <c r="C11" s="23"/>
      <c r="D11" s="23"/>
      <c r="E11" s="23"/>
      <c r="F11" s="23"/>
      <c r="G11" s="23"/>
      <c r="H11" s="23"/>
    </row>
    <row r="12" customFormat="false" ht="25.5" hidden="false" customHeight="true" outlineLevel="0" collapsed="false">
      <c r="A12" s="24" t="s">
        <v>92</v>
      </c>
      <c r="B12" s="24" t="s">
        <v>93</v>
      </c>
      <c r="C12" s="24" t="s">
        <v>94</v>
      </c>
      <c r="D12" s="24" t="s">
        <v>95</v>
      </c>
      <c r="E12" s="24" t="s">
        <v>96</v>
      </c>
      <c r="F12" s="24" t="s">
        <v>97</v>
      </c>
      <c r="G12" s="24" t="s">
        <v>98</v>
      </c>
      <c r="H12" s="24" t="s">
        <v>99</v>
      </c>
    </row>
    <row r="13" customFormat="false" ht="16.5" hidden="false" customHeight="true" outlineLevel="0" collapsed="false">
      <c r="A13" s="25" t="s">
        <v>161</v>
      </c>
      <c r="B13" s="25"/>
      <c r="C13" s="25"/>
      <c r="D13" s="25"/>
      <c r="E13" s="25"/>
      <c r="F13" s="25"/>
      <c r="G13" s="25"/>
      <c r="H13" s="25"/>
    </row>
    <row r="14" customFormat="false" ht="15" hidden="false" customHeight="true" outlineLevel="0" collapsed="false">
      <c r="A14" s="5" t="n">
        <v>1</v>
      </c>
      <c r="B14" s="26" t="s">
        <v>162</v>
      </c>
      <c r="C14" s="27" t="s">
        <v>102</v>
      </c>
      <c r="D14" s="28"/>
      <c r="E14" s="9" t="s">
        <v>163</v>
      </c>
      <c r="F14" s="28"/>
      <c r="G14" s="29"/>
      <c r="H14" s="29"/>
    </row>
    <row r="15" customFormat="false" ht="15" hidden="false" customHeight="true" outlineLevel="0" collapsed="false">
      <c r="A15" s="5" t="n">
        <v>2</v>
      </c>
      <c r="B15" s="26" t="s">
        <v>164</v>
      </c>
      <c r="C15" s="27" t="s">
        <v>102</v>
      </c>
      <c r="D15" s="28"/>
      <c r="E15" s="9" t="s">
        <v>113</v>
      </c>
      <c r="F15" s="28"/>
      <c r="G15" s="29"/>
      <c r="H15" s="29"/>
    </row>
    <row r="16" customFormat="false" ht="15" hidden="false" customHeight="true" outlineLevel="0" collapsed="false">
      <c r="A16" s="5" t="n">
        <v>3</v>
      </c>
      <c r="B16" s="26" t="s">
        <v>108</v>
      </c>
      <c r="C16" s="27" t="s">
        <v>102</v>
      </c>
      <c r="D16" s="28"/>
      <c r="E16" s="9" t="s">
        <v>105</v>
      </c>
      <c r="F16" s="28"/>
      <c r="G16" s="29"/>
      <c r="H16" s="29"/>
    </row>
    <row r="17" customFormat="false" ht="15" hidden="false" customHeight="true" outlineLevel="0" collapsed="false">
      <c r="A17" s="5" t="n">
        <v>4</v>
      </c>
      <c r="B17" s="26" t="s">
        <v>165</v>
      </c>
      <c r="C17" s="27" t="s">
        <v>102</v>
      </c>
      <c r="D17" s="28"/>
      <c r="E17" s="9" t="s">
        <v>166</v>
      </c>
      <c r="F17" s="28"/>
      <c r="G17" s="29"/>
      <c r="H17" s="29"/>
    </row>
    <row r="18" customFormat="false" ht="15" hidden="false" customHeight="true" outlineLevel="0" collapsed="false">
      <c r="A18" s="5" t="n">
        <v>5</v>
      </c>
      <c r="B18" s="26" t="s">
        <v>167</v>
      </c>
      <c r="C18" s="27" t="s">
        <v>102</v>
      </c>
      <c r="D18" s="28"/>
      <c r="E18" s="9" t="s">
        <v>168</v>
      </c>
      <c r="F18" s="28"/>
      <c r="G18" s="29"/>
      <c r="H18" s="29"/>
    </row>
    <row r="19" customFormat="false" ht="15" hidden="false" customHeight="true" outlineLevel="0" collapsed="false">
      <c r="A19" s="5" t="n">
        <v>6</v>
      </c>
      <c r="B19" s="26" t="s">
        <v>169</v>
      </c>
      <c r="C19" s="27" t="s">
        <v>102</v>
      </c>
      <c r="D19" s="28"/>
      <c r="E19" s="9" t="s">
        <v>170</v>
      </c>
      <c r="F19" s="28"/>
      <c r="G19" s="29"/>
      <c r="H19" s="29"/>
    </row>
    <row r="20" customFormat="false" ht="15" hidden="false" customHeight="true" outlineLevel="0" collapsed="false">
      <c r="A20" s="5" t="n">
        <v>7</v>
      </c>
      <c r="B20" s="26" t="s">
        <v>171</v>
      </c>
      <c r="C20" s="27" t="s">
        <v>102</v>
      </c>
      <c r="D20" s="28"/>
      <c r="E20" s="9" t="s">
        <v>172</v>
      </c>
      <c r="F20" s="28"/>
      <c r="G20" s="29"/>
      <c r="H20" s="29"/>
    </row>
    <row r="21" customFormat="false" ht="15" hidden="false" customHeight="true" outlineLevel="0" collapsed="false">
      <c r="A21" s="5" t="n">
        <v>8</v>
      </c>
      <c r="B21" s="26" t="s">
        <v>173</v>
      </c>
      <c r="C21" s="27" t="s">
        <v>102</v>
      </c>
      <c r="D21" s="28"/>
      <c r="E21" s="9" t="s">
        <v>174</v>
      </c>
      <c r="F21" s="28"/>
      <c r="G21" s="29"/>
      <c r="H21" s="29"/>
    </row>
    <row r="22" customFormat="false" ht="15" hidden="false" customHeight="true" outlineLevel="0" collapsed="false">
      <c r="A22" s="5" t="n">
        <v>9</v>
      </c>
      <c r="B22" s="26" t="s">
        <v>175</v>
      </c>
      <c r="C22" s="27" t="s">
        <v>102</v>
      </c>
      <c r="D22" s="28"/>
      <c r="E22" s="9" t="s">
        <v>176</v>
      </c>
      <c r="F22" s="28"/>
      <c r="G22" s="29"/>
      <c r="H22" s="29"/>
    </row>
    <row r="23" customFormat="false" ht="15" hidden="false" customHeight="true" outlineLevel="0" collapsed="false">
      <c r="A23" s="5" t="n">
        <v>10</v>
      </c>
      <c r="B23" s="26" t="s">
        <v>177</v>
      </c>
      <c r="C23" s="27" t="s">
        <v>102</v>
      </c>
      <c r="D23" s="28"/>
      <c r="E23" s="9" t="s">
        <v>178</v>
      </c>
      <c r="F23" s="28"/>
      <c r="G23" s="29"/>
      <c r="H23" s="29"/>
    </row>
    <row r="24" customFormat="false" ht="16.5" hidden="false" customHeight="true" outlineLevel="0" collapsed="false">
      <c r="A24" s="25" t="s">
        <v>179</v>
      </c>
      <c r="B24" s="25"/>
      <c r="C24" s="25"/>
      <c r="D24" s="25"/>
      <c r="E24" s="25"/>
      <c r="F24" s="25"/>
      <c r="G24" s="25"/>
      <c r="H24" s="25"/>
    </row>
    <row r="25" customFormat="false" ht="15" hidden="false" customHeight="true" outlineLevel="0" collapsed="false">
      <c r="A25" s="5" t="n">
        <v>11</v>
      </c>
      <c r="B25" s="26" t="s">
        <v>180</v>
      </c>
      <c r="C25" s="27" t="s">
        <v>102</v>
      </c>
      <c r="D25" s="28"/>
      <c r="E25" s="9" t="s">
        <v>181</v>
      </c>
      <c r="F25" s="28"/>
      <c r="G25" s="29"/>
      <c r="H25" s="29"/>
    </row>
    <row r="26" customFormat="false" ht="15" hidden="false" customHeight="true" outlineLevel="0" collapsed="false">
      <c r="A26" s="5" t="n">
        <v>12</v>
      </c>
      <c r="B26" s="26" t="s">
        <v>182</v>
      </c>
      <c r="C26" s="27" t="s">
        <v>102</v>
      </c>
      <c r="D26" s="28"/>
      <c r="E26" s="9" t="s">
        <v>113</v>
      </c>
      <c r="F26" s="28"/>
      <c r="G26" s="29"/>
      <c r="H26" s="29"/>
    </row>
    <row r="27" customFormat="false" ht="15" hidden="false" customHeight="true" outlineLevel="0" collapsed="false">
      <c r="A27" s="5" t="n">
        <v>13</v>
      </c>
      <c r="B27" s="26" t="s">
        <v>183</v>
      </c>
      <c r="C27" s="27" t="s">
        <v>102</v>
      </c>
      <c r="D27" s="28"/>
      <c r="E27" s="9" t="s">
        <v>174</v>
      </c>
      <c r="F27" s="28"/>
      <c r="G27" s="29"/>
      <c r="H27" s="29"/>
    </row>
    <row r="28" customFormat="false" ht="15" hidden="false" customHeight="true" outlineLevel="0" collapsed="false">
      <c r="A28" s="5" t="n">
        <v>14</v>
      </c>
      <c r="B28" s="26" t="s">
        <v>184</v>
      </c>
      <c r="C28" s="27" t="s">
        <v>102</v>
      </c>
      <c r="D28" s="28"/>
      <c r="E28" s="9" t="s">
        <v>185</v>
      </c>
      <c r="F28" s="28"/>
      <c r="G28" s="29"/>
      <c r="H28" s="29"/>
    </row>
    <row r="29" customFormat="false" ht="16.5" hidden="false" customHeight="true" outlineLevel="0" collapsed="false">
      <c r="A29" s="25" t="s">
        <v>186</v>
      </c>
      <c r="B29" s="25"/>
      <c r="C29" s="25"/>
      <c r="D29" s="25"/>
      <c r="E29" s="25"/>
      <c r="F29" s="25"/>
      <c r="G29" s="25"/>
      <c r="H29" s="25"/>
    </row>
    <row r="30" customFormat="false" ht="15" hidden="false" customHeight="true" outlineLevel="0" collapsed="false">
      <c r="A30" s="5" t="n">
        <v>15</v>
      </c>
      <c r="B30" s="26" t="s">
        <v>104</v>
      </c>
      <c r="C30" s="27" t="s">
        <v>102</v>
      </c>
      <c r="D30" s="28"/>
      <c r="E30" s="9" t="s">
        <v>105</v>
      </c>
      <c r="F30" s="28"/>
      <c r="G30" s="29"/>
      <c r="H30" s="29"/>
    </row>
    <row r="31" customFormat="false" ht="15" hidden="false" customHeight="true" outlineLevel="0" collapsed="false">
      <c r="A31" s="5" t="n">
        <v>16</v>
      </c>
      <c r="B31" s="26" t="s">
        <v>187</v>
      </c>
      <c r="C31" s="27" t="s">
        <v>102</v>
      </c>
      <c r="D31" s="28"/>
      <c r="E31" s="9" t="s">
        <v>113</v>
      </c>
      <c r="F31" s="28"/>
      <c r="G31" s="29"/>
      <c r="H31" s="29"/>
    </row>
    <row r="32" customFormat="false" ht="15" hidden="false" customHeight="true" outlineLevel="0" collapsed="false">
      <c r="A32" s="5" t="n">
        <v>17</v>
      </c>
      <c r="B32" s="26" t="s">
        <v>188</v>
      </c>
      <c r="C32" s="27" t="s">
        <v>102</v>
      </c>
      <c r="D32" s="28"/>
      <c r="E32" s="9" t="s">
        <v>189</v>
      </c>
      <c r="F32" s="28"/>
      <c r="G32" s="29"/>
      <c r="H32" s="29"/>
    </row>
    <row r="33" customFormat="false" ht="15" hidden="false" customHeight="true" outlineLevel="0" collapsed="false">
      <c r="A33" s="5" t="n">
        <v>18</v>
      </c>
      <c r="B33" s="26" t="s">
        <v>190</v>
      </c>
      <c r="C33" s="27" t="s">
        <v>102</v>
      </c>
      <c r="D33" s="28"/>
      <c r="E33" s="9" t="s">
        <v>191</v>
      </c>
      <c r="F33" s="28"/>
      <c r="G33" s="29"/>
      <c r="H33" s="29"/>
    </row>
    <row r="34" customFormat="false" ht="15" hidden="false" customHeight="true" outlineLevel="0" collapsed="false">
      <c r="A34" s="5" t="n">
        <v>19</v>
      </c>
      <c r="B34" s="26" t="s">
        <v>192</v>
      </c>
      <c r="C34" s="27" t="s">
        <v>102</v>
      </c>
      <c r="D34" s="28"/>
      <c r="E34" s="9" t="s">
        <v>193</v>
      </c>
      <c r="F34" s="28"/>
      <c r="G34" s="29"/>
      <c r="H34" s="29"/>
    </row>
    <row r="35" customFormat="false" ht="15" hidden="false" customHeight="true" outlineLevel="0" collapsed="false">
      <c r="A35" s="5" t="n">
        <v>20</v>
      </c>
      <c r="B35" s="26" t="s">
        <v>194</v>
      </c>
      <c r="C35" s="27" t="s">
        <v>102</v>
      </c>
      <c r="D35" s="28"/>
      <c r="E35" s="9" t="s">
        <v>174</v>
      </c>
      <c r="F35" s="28"/>
      <c r="G35" s="29"/>
      <c r="H35" s="29"/>
    </row>
    <row r="36" customFormat="false" ht="15" hidden="false" customHeight="true" outlineLevel="0" collapsed="false">
      <c r="A36" s="5" t="n">
        <v>21</v>
      </c>
      <c r="B36" s="26" t="s">
        <v>195</v>
      </c>
      <c r="C36" s="27" t="s">
        <v>102</v>
      </c>
      <c r="D36" s="28"/>
      <c r="E36" s="9" t="s">
        <v>196</v>
      </c>
      <c r="F36" s="28"/>
      <c r="G36" s="29"/>
      <c r="H36" s="29"/>
    </row>
    <row r="37" customFormat="false" ht="16.5" hidden="false" customHeight="true" outlineLevel="0" collapsed="false">
      <c r="A37" s="25" t="s">
        <v>197</v>
      </c>
      <c r="B37" s="25"/>
      <c r="C37" s="25"/>
      <c r="D37" s="25"/>
      <c r="E37" s="25"/>
      <c r="F37" s="25"/>
      <c r="G37" s="25"/>
      <c r="H37" s="25"/>
    </row>
    <row r="38" customFormat="false" ht="15" hidden="false" customHeight="true" outlineLevel="0" collapsed="false">
      <c r="A38" s="5" t="n">
        <v>22</v>
      </c>
      <c r="B38" s="26" t="s">
        <v>106</v>
      </c>
      <c r="C38" s="27" t="s">
        <v>102</v>
      </c>
      <c r="D38" s="28"/>
      <c r="E38" s="9" t="s">
        <v>105</v>
      </c>
      <c r="F38" s="28"/>
      <c r="G38" s="29"/>
      <c r="H38" s="29"/>
    </row>
    <row r="39" customFormat="false" ht="15" hidden="false" customHeight="true" outlineLevel="0" collapsed="false">
      <c r="A39" s="5" t="n">
        <v>23</v>
      </c>
      <c r="B39" s="26" t="s">
        <v>198</v>
      </c>
      <c r="C39" s="27" t="s">
        <v>102</v>
      </c>
      <c r="D39" s="28"/>
      <c r="E39" s="9" t="s">
        <v>113</v>
      </c>
      <c r="F39" s="28"/>
      <c r="G39" s="29"/>
      <c r="H39" s="29"/>
    </row>
    <row r="40" customFormat="false" ht="15" hidden="false" customHeight="true" outlineLevel="0" collapsed="false">
      <c r="A40" s="5" t="n">
        <v>24</v>
      </c>
      <c r="B40" s="26" t="s">
        <v>199</v>
      </c>
      <c r="C40" s="27" t="s">
        <v>102</v>
      </c>
      <c r="D40" s="28"/>
      <c r="E40" s="9" t="s">
        <v>174</v>
      </c>
      <c r="F40" s="28"/>
      <c r="G40" s="29"/>
      <c r="H40" s="29"/>
    </row>
    <row r="41" customFormat="false" ht="15" hidden="false" customHeight="true" outlineLevel="0" collapsed="false">
      <c r="A41" s="5" t="n">
        <v>25</v>
      </c>
      <c r="B41" s="26" t="s">
        <v>200</v>
      </c>
      <c r="C41" s="27" t="s">
        <v>102</v>
      </c>
      <c r="D41" s="28"/>
      <c r="E41" s="9" t="s">
        <v>105</v>
      </c>
      <c r="F41" s="28"/>
      <c r="G41" s="29"/>
      <c r="H41" s="29"/>
    </row>
    <row r="42" customFormat="false" ht="15" hidden="false" customHeight="true" outlineLevel="0" collapsed="false">
      <c r="A42" s="5" t="n">
        <v>26</v>
      </c>
      <c r="B42" s="26" t="s">
        <v>201</v>
      </c>
      <c r="C42" s="27" t="s">
        <v>102</v>
      </c>
      <c r="D42" s="28"/>
      <c r="E42" s="9" t="s">
        <v>202</v>
      </c>
      <c r="F42" s="28"/>
      <c r="G42" s="29"/>
      <c r="H42" s="29"/>
    </row>
    <row r="43" customFormat="false" ht="16.5" hidden="false" customHeight="true" outlineLevel="0" collapsed="false">
      <c r="A43" s="25" t="s">
        <v>203</v>
      </c>
      <c r="B43" s="25"/>
      <c r="C43" s="25"/>
      <c r="D43" s="25"/>
      <c r="E43" s="25"/>
      <c r="F43" s="25"/>
      <c r="G43" s="25"/>
      <c r="H43" s="25"/>
    </row>
    <row r="44" customFormat="false" ht="15" hidden="false" customHeight="true" outlineLevel="0" collapsed="false">
      <c r="A44" s="5" t="n">
        <v>27</v>
      </c>
      <c r="B44" s="26" t="s">
        <v>204</v>
      </c>
      <c r="C44" s="27" t="s">
        <v>102</v>
      </c>
      <c r="D44" s="28"/>
      <c r="E44" s="9" t="s">
        <v>174</v>
      </c>
      <c r="F44" s="28"/>
      <c r="G44" s="29"/>
      <c r="H44" s="29"/>
    </row>
    <row r="45" customFormat="false" ht="15" hidden="false" customHeight="true" outlineLevel="0" collapsed="false">
      <c r="A45" s="5" t="n">
        <v>28</v>
      </c>
      <c r="B45" s="26" t="s">
        <v>205</v>
      </c>
      <c r="C45" s="27" t="s">
        <v>102</v>
      </c>
      <c r="D45" s="28"/>
      <c r="E45" s="9" t="s">
        <v>206</v>
      </c>
      <c r="F45" s="28"/>
      <c r="G45" s="29"/>
      <c r="H45" s="29"/>
    </row>
    <row r="46" customFormat="false" ht="15" hidden="false" customHeight="true" outlineLevel="0" collapsed="false">
      <c r="A46" s="5" t="n">
        <v>29</v>
      </c>
      <c r="B46" s="26" t="s">
        <v>207</v>
      </c>
      <c r="C46" s="27" t="s">
        <v>102</v>
      </c>
      <c r="D46" s="28"/>
      <c r="E46" s="9" t="s">
        <v>105</v>
      </c>
      <c r="F46" s="28"/>
      <c r="G46" s="29"/>
      <c r="H46" s="29"/>
    </row>
    <row r="47" customFormat="false" ht="15" hidden="false" customHeight="true" outlineLevel="0" collapsed="false">
      <c r="A47" s="5" t="n">
        <v>30</v>
      </c>
      <c r="B47" s="26" t="s">
        <v>208</v>
      </c>
      <c r="C47" s="27" t="s">
        <v>102</v>
      </c>
      <c r="D47" s="28"/>
      <c r="E47" s="9" t="s">
        <v>113</v>
      </c>
      <c r="F47" s="28"/>
      <c r="G47" s="29"/>
      <c r="H47" s="29"/>
    </row>
    <row r="48" customFormat="false" ht="15" hidden="false" customHeight="true" outlineLevel="0" collapsed="false">
      <c r="A48" s="5" t="n">
        <v>31</v>
      </c>
      <c r="B48" s="26" t="s">
        <v>209</v>
      </c>
      <c r="C48" s="27" t="s">
        <v>102</v>
      </c>
      <c r="D48" s="28"/>
      <c r="E48" s="9" t="s">
        <v>210</v>
      </c>
      <c r="F48" s="28"/>
      <c r="G48" s="29"/>
      <c r="H48" s="29"/>
    </row>
    <row r="49" customFormat="false" ht="16.5" hidden="false" customHeight="true" outlineLevel="0" collapsed="false">
      <c r="A49" s="25" t="s">
        <v>211</v>
      </c>
      <c r="B49" s="25"/>
      <c r="C49" s="25"/>
      <c r="D49" s="25"/>
      <c r="E49" s="25"/>
      <c r="F49" s="25"/>
      <c r="G49" s="25"/>
      <c r="H49" s="25"/>
    </row>
    <row r="50" customFormat="false" ht="15" hidden="false" customHeight="true" outlineLevel="0" collapsed="false">
      <c r="A50" s="5" t="n">
        <v>32</v>
      </c>
      <c r="B50" s="26" t="s">
        <v>212</v>
      </c>
      <c r="C50" s="37" t="s">
        <v>213</v>
      </c>
      <c r="D50" s="28"/>
      <c r="E50" s="9" t="s">
        <v>214</v>
      </c>
      <c r="F50" s="28"/>
      <c r="G50" s="29"/>
      <c r="H50" s="29"/>
    </row>
    <row r="51" customFormat="false" ht="15" hidden="false" customHeight="true" outlineLevel="0" collapsed="false">
      <c r="A51" s="5" t="n">
        <v>33</v>
      </c>
      <c r="B51" s="26" t="s">
        <v>215</v>
      </c>
      <c r="C51" s="37" t="s">
        <v>216</v>
      </c>
      <c r="D51" s="28"/>
      <c r="E51" s="9" t="s">
        <v>217</v>
      </c>
      <c r="F51" s="28"/>
      <c r="G51" s="29"/>
      <c r="H51" s="29"/>
    </row>
    <row r="52" customFormat="false" ht="15" hidden="false" customHeight="true" outlineLevel="0" collapsed="false">
      <c r="A52" s="5" t="n">
        <v>34</v>
      </c>
      <c r="B52" s="26" t="s">
        <v>218</v>
      </c>
      <c r="C52" s="37" t="s">
        <v>216</v>
      </c>
      <c r="D52" s="28"/>
      <c r="E52" s="9" t="s">
        <v>219</v>
      </c>
      <c r="F52" s="28"/>
      <c r="G52" s="29"/>
      <c r="H52" s="29"/>
    </row>
    <row r="53" customFormat="false" ht="15" hidden="false" customHeight="true" outlineLevel="0" collapsed="false">
      <c r="A53" s="5" t="n">
        <v>35</v>
      </c>
      <c r="B53" s="26" t="s">
        <v>220</v>
      </c>
      <c r="C53" s="37" t="s">
        <v>216</v>
      </c>
      <c r="D53" s="28"/>
      <c r="E53" s="9" t="s">
        <v>221</v>
      </c>
      <c r="F53" s="28"/>
      <c r="G53" s="29"/>
      <c r="H53" s="29"/>
    </row>
    <row r="54" customFormat="false" ht="15" hidden="false" customHeight="true" outlineLevel="0" collapsed="false">
      <c r="A54" s="5" t="n">
        <v>36</v>
      </c>
      <c r="B54" s="26" t="s">
        <v>222</v>
      </c>
      <c r="C54" s="37" t="s">
        <v>213</v>
      </c>
      <c r="D54" s="28"/>
      <c r="E54" s="9" t="s">
        <v>223</v>
      </c>
      <c r="F54" s="28"/>
      <c r="G54" s="29"/>
      <c r="H54" s="29"/>
    </row>
    <row r="55" customFormat="false" ht="16.5" hidden="false" customHeight="true" outlineLevel="0" collapsed="false">
      <c r="A55" s="25" t="s">
        <v>224</v>
      </c>
      <c r="B55" s="25"/>
      <c r="C55" s="25"/>
      <c r="D55" s="25"/>
      <c r="E55" s="25"/>
      <c r="F55" s="25"/>
      <c r="G55" s="25"/>
      <c r="H55" s="25"/>
    </row>
    <row r="56" customFormat="false" ht="15" hidden="false" customHeight="true" outlineLevel="0" collapsed="false">
      <c r="A56" s="5" t="n">
        <v>37</v>
      </c>
      <c r="B56" s="26" t="s">
        <v>225</v>
      </c>
      <c r="C56" s="27" t="s">
        <v>102</v>
      </c>
      <c r="D56" s="28"/>
      <c r="E56" s="9" t="s">
        <v>226</v>
      </c>
      <c r="F56" s="28"/>
      <c r="G56" s="29"/>
      <c r="H56" s="29"/>
    </row>
    <row r="57" customFormat="false" ht="15" hidden="false" customHeight="true" outlineLevel="0" collapsed="false">
      <c r="A57" s="5" t="n">
        <v>38</v>
      </c>
      <c r="B57" s="26" t="s">
        <v>227</v>
      </c>
      <c r="C57" s="27" t="s">
        <v>102</v>
      </c>
      <c r="D57" s="28"/>
      <c r="E57" s="9" t="s">
        <v>228</v>
      </c>
      <c r="F57" s="28"/>
      <c r="G57" s="29"/>
      <c r="H57" s="29"/>
    </row>
    <row r="58" customFormat="false" ht="15" hidden="false" customHeight="true" outlineLevel="0" collapsed="false">
      <c r="A58" s="5" t="n">
        <v>39</v>
      </c>
      <c r="B58" s="26" t="s">
        <v>229</v>
      </c>
      <c r="C58" s="27" t="s">
        <v>102</v>
      </c>
      <c r="D58" s="28"/>
      <c r="E58" s="9" t="s">
        <v>121</v>
      </c>
      <c r="F58" s="28"/>
      <c r="G58" s="29"/>
      <c r="H58" s="29"/>
    </row>
    <row r="59" customFormat="false" ht="15" hidden="false" customHeight="true" outlineLevel="0" collapsed="false">
      <c r="A59" s="5" t="n">
        <v>40</v>
      </c>
      <c r="B59" s="26" t="s">
        <v>230</v>
      </c>
      <c r="C59" s="27" t="s">
        <v>102</v>
      </c>
      <c r="D59" s="28"/>
      <c r="E59" s="9" t="s">
        <v>231</v>
      </c>
      <c r="F59" s="28"/>
      <c r="G59" s="29"/>
      <c r="H59" s="29"/>
    </row>
    <row r="60" customFormat="false" ht="15" hidden="false" customHeight="true" outlineLevel="0" collapsed="false">
      <c r="A60" s="5" t="n">
        <v>41</v>
      </c>
      <c r="B60" s="26" t="s">
        <v>232</v>
      </c>
      <c r="C60" s="27" t="s">
        <v>102</v>
      </c>
      <c r="D60" s="28"/>
      <c r="E60" s="9" t="s">
        <v>174</v>
      </c>
      <c r="F60" s="28"/>
      <c r="G60" s="29"/>
      <c r="H60" s="29"/>
    </row>
    <row r="61" customFormat="false" ht="15" hidden="false" customHeight="true" outlineLevel="0" collapsed="false">
      <c r="A61" s="5" t="n">
        <v>42</v>
      </c>
      <c r="B61" s="26" t="s">
        <v>233</v>
      </c>
      <c r="C61" s="27" t="s">
        <v>102</v>
      </c>
      <c r="D61" s="28"/>
      <c r="E61" s="9" t="s">
        <v>234</v>
      </c>
      <c r="F61" s="28"/>
      <c r="G61" s="29"/>
      <c r="H61" s="29"/>
    </row>
    <row r="62" customFormat="false" ht="16.5" hidden="false" customHeight="true" outlineLevel="0" collapsed="false">
      <c r="A62" s="25" t="s">
        <v>235</v>
      </c>
      <c r="B62" s="25"/>
      <c r="C62" s="25"/>
      <c r="D62" s="25"/>
      <c r="E62" s="25"/>
      <c r="F62" s="25"/>
      <c r="G62" s="25"/>
      <c r="H62" s="25"/>
    </row>
    <row r="63" customFormat="false" ht="15" hidden="false" customHeight="true" outlineLevel="0" collapsed="false">
      <c r="A63" s="5" t="n">
        <v>43</v>
      </c>
      <c r="B63" s="26" t="s">
        <v>236</v>
      </c>
      <c r="C63" s="27" t="s">
        <v>102</v>
      </c>
      <c r="D63" s="28"/>
      <c r="E63" s="9" t="s">
        <v>237</v>
      </c>
      <c r="F63" s="28"/>
      <c r="G63" s="29"/>
      <c r="H63" s="29"/>
    </row>
    <row r="64" customFormat="false" ht="15" hidden="false" customHeight="true" outlineLevel="0" collapsed="false">
      <c r="A64" s="5" t="n">
        <v>44</v>
      </c>
      <c r="B64" s="26" t="s">
        <v>238</v>
      </c>
      <c r="C64" s="27" t="s">
        <v>102</v>
      </c>
      <c r="D64" s="28"/>
      <c r="E64" s="9" t="s">
        <v>239</v>
      </c>
      <c r="F64" s="28"/>
      <c r="G64" s="29"/>
      <c r="H64" s="29"/>
    </row>
    <row r="65" customFormat="false" ht="15" hidden="false" customHeight="true" outlineLevel="0" collapsed="false">
      <c r="A65" s="5" t="n">
        <v>45</v>
      </c>
      <c r="B65" s="26" t="s">
        <v>240</v>
      </c>
      <c r="C65" s="37" t="s">
        <v>241</v>
      </c>
      <c r="D65" s="28"/>
      <c r="E65" s="9" t="s">
        <v>242</v>
      </c>
      <c r="F65" s="28"/>
      <c r="G65" s="29"/>
      <c r="H65" s="29"/>
    </row>
    <row r="66" customFormat="false" ht="15" hidden="false" customHeight="true" outlineLevel="0" collapsed="false">
      <c r="A66" s="5" t="n">
        <v>46</v>
      </c>
      <c r="B66" s="26" t="s">
        <v>243</v>
      </c>
      <c r="C66" s="37" t="s">
        <v>244</v>
      </c>
      <c r="D66" s="28"/>
      <c r="E66" s="9" t="s">
        <v>245</v>
      </c>
      <c r="F66" s="28"/>
      <c r="G66" s="29"/>
      <c r="H66" s="29"/>
    </row>
    <row r="67" customFormat="false" ht="15" hidden="false" customHeight="true" outlineLevel="0" collapsed="false">
      <c r="A67" s="5" t="n">
        <v>47</v>
      </c>
      <c r="B67" s="26" t="s">
        <v>246</v>
      </c>
      <c r="C67" s="37" t="s">
        <v>247</v>
      </c>
      <c r="D67" s="28"/>
      <c r="E67" s="9" t="s">
        <v>248</v>
      </c>
      <c r="F67" s="28"/>
      <c r="G67" s="29"/>
      <c r="H67" s="29"/>
    </row>
    <row r="68" customFormat="false" ht="15" hidden="false" customHeight="true" outlineLevel="0" collapsed="false">
      <c r="A68" s="5" t="n">
        <v>48</v>
      </c>
      <c r="B68" s="26" t="s">
        <v>249</v>
      </c>
      <c r="C68" s="37" t="s">
        <v>250</v>
      </c>
      <c r="D68" s="28"/>
      <c r="E68" s="9" t="s">
        <v>251</v>
      </c>
      <c r="F68" s="28"/>
      <c r="G68" s="29"/>
      <c r="H68" s="29"/>
    </row>
    <row r="69" customFormat="false" ht="15" hidden="false" customHeight="true" outlineLevel="0" collapsed="false">
      <c r="A69" s="5" t="n">
        <v>49</v>
      </c>
      <c r="B69" s="26" t="s">
        <v>252</v>
      </c>
      <c r="C69" s="27" t="s">
        <v>102</v>
      </c>
      <c r="D69" s="28"/>
      <c r="E69" s="9" t="s">
        <v>116</v>
      </c>
      <c r="F69" s="28"/>
      <c r="G69" s="29"/>
      <c r="H69" s="29"/>
    </row>
    <row r="70" customFormat="false" ht="15" hidden="false" customHeight="true" outlineLevel="0" collapsed="false">
      <c r="A70" s="5" t="n">
        <v>50</v>
      </c>
      <c r="B70" s="26" t="s">
        <v>253</v>
      </c>
      <c r="C70" s="27" t="s">
        <v>102</v>
      </c>
      <c r="D70" s="28"/>
      <c r="E70" s="9" t="s">
        <v>254</v>
      </c>
      <c r="F70" s="28"/>
      <c r="G70" s="29"/>
      <c r="H70" s="29"/>
    </row>
    <row r="71" customFormat="false" ht="16.5" hidden="false" customHeight="true" outlineLevel="0" collapsed="false">
      <c r="A71" s="25" t="s">
        <v>255</v>
      </c>
      <c r="B71" s="25"/>
      <c r="C71" s="25"/>
      <c r="D71" s="25"/>
      <c r="E71" s="25"/>
      <c r="F71" s="25"/>
      <c r="G71" s="25"/>
      <c r="H71" s="25"/>
    </row>
    <row r="72" customFormat="false" ht="15" hidden="false" customHeight="true" outlineLevel="0" collapsed="false">
      <c r="A72" s="5" t="n">
        <v>51</v>
      </c>
      <c r="B72" s="26" t="s">
        <v>256</v>
      </c>
      <c r="C72" s="27" t="s">
        <v>102</v>
      </c>
      <c r="D72" s="28"/>
      <c r="E72" s="9" t="s">
        <v>257</v>
      </c>
      <c r="F72" s="28"/>
      <c r="G72" s="29"/>
      <c r="H72" s="29"/>
    </row>
    <row r="73" customFormat="false" ht="15" hidden="false" customHeight="true" outlineLevel="0" collapsed="false">
      <c r="A73" s="5" t="n">
        <v>52</v>
      </c>
      <c r="B73" s="26" t="s">
        <v>258</v>
      </c>
      <c r="C73" s="27" t="s">
        <v>102</v>
      </c>
      <c r="D73" s="28"/>
      <c r="E73" s="9" t="s">
        <v>259</v>
      </c>
      <c r="F73" s="28"/>
      <c r="G73" s="29"/>
      <c r="H73" s="29"/>
    </row>
    <row r="74" customFormat="false" ht="15" hidden="false" customHeight="true" outlineLevel="0" collapsed="false">
      <c r="A74" s="5" t="n">
        <v>53</v>
      </c>
      <c r="B74" s="26" t="s">
        <v>260</v>
      </c>
      <c r="C74" s="27" t="s">
        <v>102</v>
      </c>
      <c r="D74" s="28"/>
      <c r="E74" s="9" t="s">
        <v>261</v>
      </c>
      <c r="F74" s="28"/>
      <c r="G74" s="29"/>
      <c r="H74" s="29"/>
    </row>
    <row r="75" customFormat="false" ht="15" hidden="false" customHeight="true" outlineLevel="0" collapsed="false">
      <c r="A75" s="5" t="n">
        <v>54</v>
      </c>
      <c r="B75" s="26" t="s">
        <v>262</v>
      </c>
      <c r="C75" s="27" t="s">
        <v>102</v>
      </c>
      <c r="D75" s="28"/>
      <c r="E75" s="9" t="s">
        <v>121</v>
      </c>
      <c r="F75" s="28"/>
      <c r="G75" s="29"/>
      <c r="H75" s="29"/>
    </row>
    <row r="76" customFormat="false" ht="15" hidden="false" customHeight="true" outlineLevel="0" collapsed="false">
      <c r="A76" s="5" t="n">
        <v>55</v>
      </c>
      <c r="B76" s="26" t="s">
        <v>263</v>
      </c>
      <c r="C76" s="27" t="s">
        <v>102</v>
      </c>
      <c r="D76" s="28"/>
      <c r="E76" s="9" t="s">
        <v>264</v>
      </c>
      <c r="F76" s="28"/>
      <c r="G76" s="29"/>
      <c r="H76" s="29"/>
    </row>
    <row r="77" customFormat="false" ht="15" hidden="false" customHeight="true" outlineLevel="0" collapsed="false">
      <c r="A77" s="5" t="n">
        <v>56</v>
      </c>
      <c r="B77" s="26" t="s">
        <v>265</v>
      </c>
      <c r="C77" s="27" t="s">
        <v>102</v>
      </c>
      <c r="D77" s="28"/>
      <c r="E77" s="9" t="s">
        <v>266</v>
      </c>
      <c r="F77" s="28"/>
      <c r="G77" s="29"/>
      <c r="H77" s="29"/>
    </row>
    <row r="78" customFormat="false" ht="16.5" hidden="false" customHeight="true" outlineLevel="0" collapsed="false">
      <c r="A78" s="25" t="s">
        <v>267</v>
      </c>
      <c r="B78" s="25"/>
      <c r="C78" s="25"/>
      <c r="D78" s="25"/>
      <c r="E78" s="25"/>
      <c r="F78" s="25"/>
      <c r="G78" s="25"/>
      <c r="H78" s="25"/>
    </row>
    <row r="79" customFormat="false" ht="15" hidden="false" customHeight="true" outlineLevel="0" collapsed="false">
      <c r="A79" s="5" t="n">
        <v>57</v>
      </c>
      <c r="B79" s="26" t="s">
        <v>268</v>
      </c>
      <c r="C79" s="27" t="s">
        <v>102</v>
      </c>
      <c r="D79" s="28"/>
      <c r="E79" s="9" t="s">
        <v>269</v>
      </c>
      <c r="F79" s="28"/>
      <c r="G79" s="29"/>
      <c r="H79" s="29"/>
    </row>
    <row r="80" customFormat="false" ht="15" hidden="false" customHeight="true" outlineLevel="0" collapsed="false">
      <c r="A80" s="5" t="n">
        <v>58</v>
      </c>
      <c r="B80" s="26" t="s">
        <v>128</v>
      </c>
      <c r="C80" s="27" t="s">
        <v>102</v>
      </c>
      <c r="D80" s="28"/>
      <c r="E80" s="9" t="s">
        <v>129</v>
      </c>
      <c r="F80" s="28"/>
      <c r="G80" s="29"/>
      <c r="H80" s="29"/>
    </row>
    <row r="81" customFormat="false" ht="15" hidden="false" customHeight="true" outlineLevel="0" collapsed="false">
      <c r="A81" s="5" t="n">
        <v>59</v>
      </c>
      <c r="B81" s="26" t="s">
        <v>270</v>
      </c>
      <c r="C81" s="27" t="s">
        <v>102</v>
      </c>
      <c r="D81" s="28"/>
      <c r="E81" s="9" t="s">
        <v>261</v>
      </c>
      <c r="F81" s="28"/>
      <c r="G81" s="29"/>
      <c r="H81" s="29"/>
    </row>
    <row r="82" customFormat="false" ht="16.5" hidden="false" customHeight="true" outlineLevel="0" collapsed="false">
      <c r="A82" s="25" t="s">
        <v>281</v>
      </c>
      <c r="B82" s="25"/>
      <c r="C82" s="25"/>
      <c r="D82" s="25"/>
      <c r="E82" s="25"/>
      <c r="F82" s="25"/>
      <c r="G82" s="25"/>
      <c r="H82" s="25"/>
    </row>
    <row r="83" customFormat="false" ht="15" hidden="false" customHeight="true" outlineLevel="0" collapsed="false">
      <c r="A83" s="5" t="n">
        <v>60</v>
      </c>
      <c r="B83" s="26" t="s">
        <v>282</v>
      </c>
      <c r="C83" s="27" t="s">
        <v>102</v>
      </c>
      <c r="D83" s="28"/>
      <c r="E83" s="9" t="s">
        <v>283</v>
      </c>
      <c r="F83" s="28"/>
      <c r="G83" s="29"/>
      <c r="H83" s="29"/>
    </row>
    <row r="84" customFormat="false" ht="15" hidden="false" customHeight="true" outlineLevel="0" collapsed="false">
      <c r="A84" s="5" t="n">
        <v>61</v>
      </c>
      <c r="B84" s="26" t="s">
        <v>284</v>
      </c>
      <c r="C84" s="27" t="s">
        <v>102</v>
      </c>
      <c r="D84" s="28"/>
      <c r="E84" s="9" t="s">
        <v>285</v>
      </c>
      <c r="F84" s="28"/>
      <c r="G84" s="29"/>
      <c r="H84" s="29"/>
    </row>
    <row r="85" customFormat="false" ht="15" hidden="false" customHeight="true" outlineLevel="0" collapsed="false">
      <c r="A85" s="5" t="n">
        <v>62</v>
      </c>
      <c r="B85" s="26" t="s">
        <v>286</v>
      </c>
      <c r="C85" s="27" t="s">
        <v>102</v>
      </c>
      <c r="D85" s="28"/>
      <c r="E85" s="9" t="s">
        <v>287</v>
      </c>
      <c r="F85" s="28"/>
      <c r="G85" s="29"/>
      <c r="H85" s="29"/>
    </row>
    <row r="86" customFormat="false" ht="15" hidden="false" customHeight="true" outlineLevel="0" collapsed="false">
      <c r="A86" s="5" t="n">
        <v>63</v>
      </c>
      <c r="B86" s="26" t="s">
        <v>288</v>
      </c>
      <c r="C86" s="27" t="s">
        <v>102</v>
      </c>
      <c r="D86" s="28"/>
      <c r="E86" s="9" t="s">
        <v>289</v>
      </c>
      <c r="F86" s="28"/>
      <c r="G86" s="29"/>
      <c r="H86" s="29"/>
    </row>
    <row r="88" customFormat="false" ht="18" hidden="false" customHeight="true" outlineLevel="0" collapsed="false">
      <c r="A88" s="38" t="s">
        <v>271</v>
      </c>
      <c r="B88" s="38"/>
      <c r="C88" s="38"/>
      <c r="D88" s="38"/>
      <c r="E88" s="38"/>
      <c r="F88" s="38"/>
      <c r="G88" s="38"/>
      <c r="H88" s="38"/>
    </row>
    <row r="89" customFormat="false" ht="24" hidden="false" customHeight="true" outlineLevel="0" collapsed="false">
      <c r="A89" s="39" t="s">
        <v>272</v>
      </c>
      <c r="B89" s="39"/>
      <c r="C89" s="39" t="s">
        <v>273</v>
      </c>
      <c r="D89" s="39" t="s">
        <v>274</v>
      </c>
      <c r="E89" s="39"/>
      <c r="F89" s="39" t="s">
        <v>275</v>
      </c>
      <c r="G89" s="39" t="s">
        <v>276</v>
      </c>
      <c r="H89" s="39" t="s">
        <v>277</v>
      </c>
    </row>
    <row r="90" customFormat="false" ht="15.75" hidden="false" customHeight="true" outlineLevel="0" collapsed="false">
      <c r="A90" s="29"/>
      <c r="B90" s="29"/>
      <c r="C90" s="28"/>
      <c r="D90" s="29"/>
      <c r="E90" s="29"/>
      <c r="F90" s="29"/>
      <c r="G90" s="29"/>
      <c r="H90" s="29"/>
    </row>
    <row r="91" customFormat="false" ht="15.75" hidden="false" customHeight="true" outlineLevel="0" collapsed="false">
      <c r="A91" s="29"/>
      <c r="B91" s="29"/>
      <c r="C91" s="28"/>
      <c r="D91" s="29"/>
      <c r="E91" s="29"/>
      <c r="F91" s="29"/>
      <c r="G91" s="29"/>
      <c r="H91" s="29"/>
    </row>
    <row r="92" customFormat="false" ht="15.75" hidden="false" customHeight="true" outlineLevel="0" collapsed="false">
      <c r="A92" s="29"/>
      <c r="B92" s="29"/>
      <c r="C92" s="28"/>
      <c r="D92" s="29"/>
      <c r="E92" s="29"/>
      <c r="F92" s="29"/>
      <c r="G92" s="29"/>
      <c r="H92" s="29"/>
    </row>
    <row r="93" customFormat="false" ht="15.75" hidden="false" customHeight="true" outlineLevel="0" collapsed="false">
      <c r="A93" s="29"/>
      <c r="B93" s="29"/>
      <c r="C93" s="28"/>
      <c r="D93" s="29"/>
      <c r="E93" s="29"/>
      <c r="F93" s="29"/>
      <c r="G93" s="29"/>
      <c r="H93" s="29"/>
    </row>
    <row r="94" customFormat="false" ht="15.75" hidden="false" customHeight="true" outlineLevel="0" collapsed="false">
      <c r="A94" s="29"/>
      <c r="B94" s="29"/>
      <c r="C94" s="28"/>
      <c r="D94" s="29"/>
      <c r="E94" s="29"/>
      <c r="F94" s="29"/>
      <c r="G94" s="29"/>
      <c r="H94" s="29"/>
    </row>
    <row r="95" customFormat="false" ht="15.75" hidden="false" customHeight="true" outlineLevel="0" collapsed="false">
      <c r="A95" s="29"/>
      <c r="B95" s="29"/>
      <c r="C95" s="28"/>
      <c r="D95" s="29"/>
      <c r="E95" s="29"/>
      <c r="F95" s="29"/>
      <c r="G95" s="29"/>
      <c r="H95" s="29"/>
    </row>
    <row r="96" customFormat="false" ht="15.75" hidden="false" customHeight="true" outlineLevel="0" collapsed="false">
      <c r="A96" s="29"/>
      <c r="B96" s="29"/>
      <c r="C96" s="28"/>
      <c r="D96" s="29"/>
      <c r="E96" s="29"/>
      <c r="F96" s="29"/>
      <c r="G96" s="29"/>
      <c r="H96" s="29"/>
    </row>
    <row r="97" customFormat="false" ht="15.75" hidden="false" customHeight="true" outlineLevel="0" collapsed="false">
      <c r="A97" s="29"/>
      <c r="B97" s="29"/>
      <c r="C97" s="28"/>
      <c r="D97" s="29"/>
      <c r="E97" s="29"/>
      <c r="F97" s="29"/>
      <c r="G97" s="29"/>
      <c r="H97" s="29"/>
    </row>
    <row r="99" customFormat="false" ht="18" hidden="false" customHeight="true" outlineLevel="0" collapsed="false">
      <c r="A99" s="20" t="s">
        <v>130</v>
      </c>
      <c r="B99" s="20"/>
      <c r="C99" s="20"/>
      <c r="D99" s="20"/>
      <c r="E99" s="20"/>
      <c r="F99" s="20"/>
      <c r="G99" s="20"/>
      <c r="H99" s="20"/>
    </row>
    <row r="100" customFormat="false" ht="15.75" hidden="false" customHeight="true" outlineLevel="0" collapsed="false">
      <c r="A100" s="30" t="s">
        <v>131</v>
      </c>
      <c r="B100" s="30"/>
      <c r="C100" s="31" t="n">
        <f aca="false">COUNTIF(F14:F86,"سليم")</f>
        <v>0</v>
      </c>
      <c r="D100" s="31"/>
      <c r="E100" s="30" t="s">
        <v>132</v>
      </c>
      <c r="F100" s="30"/>
      <c r="G100" s="31" t="n">
        <f aca="false">COUNTIF(F14:F86,"ملاحظة")</f>
        <v>0</v>
      </c>
      <c r="H100" s="31"/>
    </row>
    <row r="101" customFormat="false" ht="15.75" hidden="false" customHeight="true" outlineLevel="0" collapsed="false">
      <c r="A101" s="30" t="s">
        <v>133</v>
      </c>
      <c r="B101" s="30"/>
      <c r="C101" s="31" t="n">
        <f aca="false">COUNTIF(F14:F86,"حرج")</f>
        <v>0</v>
      </c>
      <c r="D101" s="31"/>
      <c r="E101" s="30" t="s">
        <v>134</v>
      </c>
      <c r="F101" s="30"/>
      <c r="G101" s="32" t="str">
        <f aca="false">IFERROR((COUNTIF(F14:F86,"سليم"))/(COUNTIF(F14:F86,"سليم")+COUNTIF(F14:F86,"ملاحظة")+COUNTIF(F14:F86,"حرج")),"")</f>
        <v/>
      </c>
      <c r="H101" s="32"/>
    </row>
    <row r="102" customFormat="false" ht="15.75" hidden="false" customHeight="true" outlineLevel="0" collapsed="false">
      <c r="A102" s="30" t="s">
        <v>135</v>
      </c>
      <c r="B102" s="30"/>
      <c r="C102" s="33"/>
      <c r="D102" s="33"/>
      <c r="E102" s="30" t="s">
        <v>136</v>
      </c>
      <c r="F102" s="30"/>
      <c r="G102" s="33"/>
      <c r="H102" s="33"/>
    </row>
    <row r="103" customFormat="false" ht="15.75" hidden="false" customHeight="true" outlineLevel="0" collapsed="false">
      <c r="A103" s="30" t="s">
        <v>137</v>
      </c>
      <c r="B103" s="30"/>
      <c r="C103" s="33"/>
      <c r="D103" s="33"/>
      <c r="E103" s="30" t="s">
        <v>138</v>
      </c>
      <c r="F103" s="30"/>
      <c r="G103" s="33"/>
      <c r="H103" s="33"/>
    </row>
    <row r="104" customFormat="false" ht="19.5" hidden="false" customHeight="true" outlineLevel="0" collapsed="false">
      <c r="A104" s="34" t="s">
        <v>139</v>
      </c>
      <c r="B104" s="34"/>
      <c r="C104" s="35"/>
      <c r="D104" s="35"/>
      <c r="E104" s="35"/>
      <c r="F104" s="35"/>
      <c r="G104" s="35"/>
      <c r="H104" s="35"/>
    </row>
    <row r="105" customFormat="false" ht="15.75" hidden="false" customHeight="true" outlineLevel="0" collapsed="false">
      <c r="A105" s="30" t="s">
        <v>140</v>
      </c>
      <c r="B105" s="30"/>
      <c r="C105" s="33"/>
      <c r="D105" s="33"/>
      <c r="E105" s="30" t="s">
        <v>141</v>
      </c>
      <c r="F105" s="30"/>
      <c r="G105" s="31"/>
      <c r="H105" s="31"/>
    </row>
    <row r="106" customFormat="false" ht="15.75" hidden="false" customHeight="true" outlineLevel="0" collapsed="false">
      <c r="A106" s="30" t="s">
        <v>142</v>
      </c>
      <c r="B106" s="30"/>
      <c r="C106" s="31"/>
      <c r="D106" s="31"/>
      <c r="E106" s="30" t="s">
        <v>143</v>
      </c>
      <c r="F106" s="30"/>
      <c r="G106" s="31"/>
      <c r="H106" s="31"/>
    </row>
    <row r="108" customFormat="false" ht="19.5" hidden="false" customHeight="true" outlineLevel="0" collapsed="false">
      <c r="A108" s="36" t="s">
        <v>144</v>
      </c>
      <c r="B108" s="36"/>
      <c r="C108" s="36"/>
      <c r="D108" s="36"/>
      <c r="E108" s="36" t="s">
        <v>145</v>
      </c>
      <c r="F108" s="36"/>
      <c r="G108" s="36"/>
      <c r="H108" s="36"/>
    </row>
  </sheetData>
  <mergeCells count="75">
    <mergeCell ref="A1:H1"/>
    <mergeCell ref="A2:H2"/>
    <mergeCell ref="A3:H3"/>
    <mergeCell ref="A4:H4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1:H11"/>
    <mergeCell ref="A13:H13"/>
    <mergeCell ref="A24:H24"/>
    <mergeCell ref="A29:H29"/>
    <mergeCell ref="A37:H37"/>
    <mergeCell ref="A43:H43"/>
    <mergeCell ref="A49:H49"/>
    <mergeCell ref="A55:H55"/>
    <mergeCell ref="A62:H62"/>
    <mergeCell ref="A71:H71"/>
    <mergeCell ref="A78:H78"/>
    <mergeCell ref="A82:H82"/>
    <mergeCell ref="A88:H88"/>
    <mergeCell ref="A89:B89"/>
    <mergeCell ref="D89:E89"/>
    <mergeCell ref="A90:B90"/>
    <mergeCell ref="D90:E90"/>
    <mergeCell ref="A91:B91"/>
    <mergeCell ref="D91:E91"/>
    <mergeCell ref="A92:B92"/>
    <mergeCell ref="D92:E92"/>
    <mergeCell ref="A93:B93"/>
    <mergeCell ref="D93:E93"/>
    <mergeCell ref="A94:B94"/>
    <mergeCell ref="D94:E94"/>
    <mergeCell ref="A95:B95"/>
    <mergeCell ref="D95:E95"/>
    <mergeCell ref="A96:B96"/>
    <mergeCell ref="D96:E96"/>
    <mergeCell ref="A97:B97"/>
    <mergeCell ref="D97:E97"/>
    <mergeCell ref="A99:H99"/>
    <mergeCell ref="A100:B100"/>
    <mergeCell ref="C100:D100"/>
    <mergeCell ref="E100:F100"/>
    <mergeCell ref="G100:H100"/>
    <mergeCell ref="A101:B101"/>
    <mergeCell ref="C101:D101"/>
    <mergeCell ref="E101:F101"/>
    <mergeCell ref="G101:H101"/>
    <mergeCell ref="A102:B102"/>
    <mergeCell ref="C102:D102"/>
    <mergeCell ref="E102:F102"/>
    <mergeCell ref="G102:H102"/>
    <mergeCell ref="A103:B103"/>
    <mergeCell ref="C103:D103"/>
    <mergeCell ref="E103:F103"/>
    <mergeCell ref="G103:H103"/>
    <mergeCell ref="A104:B104"/>
    <mergeCell ref="C104:H104"/>
    <mergeCell ref="A105:B105"/>
    <mergeCell ref="C105:D105"/>
    <mergeCell ref="E105:F105"/>
    <mergeCell ref="G105:H105"/>
    <mergeCell ref="A106:B106"/>
    <mergeCell ref="C106:D106"/>
    <mergeCell ref="E106:F106"/>
    <mergeCell ref="G106:H106"/>
    <mergeCell ref="A108:D108"/>
    <mergeCell ref="E108:H108"/>
  </mergeCells>
  <dataValidations count="10">
    <dataValidation allowBlank="true" errorStyle="stop" operator="between" showDropDown="false" showErrorMessage="false" showInputMessage="false" sqref="F14:F23 F25:F28 F30:F36 F38:F42 F44:F48 F50:F54 F56:F61 F63:F70 F72:F77 F79:F81 F83:F86" type="list">
      <formula1>"سليم,ملاحظة,حرج,لا ينطبق"</formula1>
      <formula2>0</formula2>
    </dataValidation>
    <dataValidation allowBlank="true" errorStyle="stop" operator="between" showDropDown="false" showErrorMessage="false" showInputMessage="false" sqref="D14:D23 D25:D28 D30:D36 D38:D42 D44:D48 D50:D54 D56:D61 D63:D70 D72:D77 D79:D81 D83:D86" type="list">
      <formula1>"فحص نظري,قياس بالأجهزة,تشغيل واختبار,فحص يدوي"</formula1>
      <formula2>0</formula2>
    </dataValidation>
    <dataValidation allowBlank="true" errorStyle="stop" operator="between" showDropDown="false" showErrorMessage="false" showInputMessage="false" sqref="C14:C23 C25:C28 C30:C36 C38:C42 C44:C48 C50:C54 C56:C61 C63:C70 C72:C77 C79:C81 C83:C86" type="list">
      <formula1>"عام,حفّار,قلّاب,دريل,لودر"</formula1>
      <formula2>0</formula2>
    </dataValidation>
    <dataValidation allowBlank="true" errorStyle="stop" operator="between" showDropDown="false" showErrorMessage="false" showInputMessage="false" sqref="C90:C97" type="list">
      <formula1>"نعم,لا"</formula1>
      <formula2>0</formula2>
    </dataValidation>
    <dataValidation allowBlank="true" errorStyle="stop" operator="between" showDropDown="false" showErrorMessage="false" showInputMessage="false" sqref="C102" type="list">
      <formula1>"سليمة,صالحة بملاحظات,غير صالحة / حرجة"</formula1>
      <formula2>0</formula2>
    </dataValidation>
    <dataValidation allowBlank="true" errorStyle="stop" operator="between" showDropDown="false" showErrorMessage="false" showInputMessage="false" sqref="G102" type="list">
      <formula1>"قبول فني,قبول بملاحظات,صيانة فورية,مراقبة,إصلاح جذري (عمرة),استبدال,رفض فني,بيع / تخلّص"</formula1>
      <formula2>0</formula2>
    </dataValidation>
    <dataValidation allowBlank="true" errorStyle="stop" operator="between" showDropDown="false" showErrorMessage="false" showInputMessage="false" sqref="C103" type="list">
      <formula1>"معتمدة فنيًّا,مرفوضة,بانتظار استكمال"</formula1>
      <formula2>0</formula2>
    </dataValidation>
    <dataValidation allowBlank="true" errorStyle="stop" operator="between" showDropDown="false" showErrorMessage="false" showInputMessage="false" sqref="G103" type="list">
      <formula1>"منخفض,متوسط,مرتفع,حرج"</formula1>
      <formula2>0</formula2>
    </dataValidation>
    <dataValidation allowBlank="true" errorStyle="stop" operator="between" showDropDown="false" showErrorMessage="false" showInputMessage="false" sqref="C105" type="list">
      <formula1>"صيانة,تشغيل,مورد,أسطول,مشتريات"</formula1>
      <formula2>0</formula2>
    </dataValidation>
    <dataValidation allowBlank="true" errorStyle="stop" operator="between" showDropDown="false" showErrorMessage="false" showInputMessage="false" sqref="C104" type="list">
      <formula1>"يسمح بالتشغيل,يسمح بالتشغيل مع متابعة,يسمح بالتشغيل حتى موعد محدد,يمنع التشغيل,يحتاج اعتماد استثنائي"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8" min="7" style="0" width="20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7" t="s">
        <v>20</v>
      </c>
      <c r="B2" s="17"/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A3" s="18" t="s">
        <v>290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291</v>
      </c>
      <c r="B4" s="19"/>
      <c r="C4" s="19"/>
      <c r="D4" s="19"/>
      <c r="E4" s="19"/>
      <c r="F4" s="19"/>
      <c r="G4" s="19"/>
      <c r="H4" s="19"/>
    </row>
    <row r="5" customFormat="false" ht="18" hidden="false" customHeight="true" outlineLevel="0" collapsed="false">
      <c r="A5" s="20" t="s">
        <v>74</v>
      </c>
      <c r="B5" s="20"/>
      <c r="C5" s="20"/>
      <c r="D5" s="20"/>
      <c r="E5" s="20"/>
      <c r="F5" s="20"/>
      <c r="G5" s="20"/>
      <c r="H5" s="20"/>
    </row>
    <row r="6" customFormat="false" ht="15.75" hidden="false" customHeight="true" outlineLevel="0" collapsed="false">
      <c r="A6" s="21" t="s">
        <v>292</v>
      </c>
      <c r="B6" s="22" t="s">
        <v>293</v>
      </c>
      <c r="C6" s="22"/>
      <c r="D6" s="22"/>
      <c r="E6" s="21" t="s">
        <v>149</v>
      </c>
      <c r="F6" s="22" t="s">
        <v>294</v>
      </c>
      <c r="G6" s="22"/>
      <c r="H6" s="22"/>
    </row>
    <row r="7" customFormat="false" ht="15.75" hidden="false" customHeight="true" outlineLevel="0" collapsed="false">
      <c r="A7" s="21" t="s">
        <v>79</v>
      </c>
      <c r="B7" s="22" t="s">
        <v>295</v>
      </c>
      <c r="C7" s="22"/>
      <c r="D7" s="22"/>
      <c r="E7" s="21" t="s">
        <v>142</v>
      </c>
      <c r="F7" s="22" t="s">
        <v>152</v>
      </c>
      <c r="G7" s="22"/>
      <c r="H7" s="22"/>
    </row>
    <row r="8" customFormat="false" ht="15.75" hidden="false" customHeight="true" outlineLevel="0" collapsed="false">
      <c r="A8" s="21" t="s">
        <v>296</v>
      </c>
      <c r="B8" s="22" t="s">
        <v>297</v>
      </c>
      <c r="C8" s="22"/>
      <c r="D8" s="22"/>
      <c r="E8" s="21" t="s">
        <v>87</v>
      </c>
      <c r="F8" s="22" t="s">
        <v>155</v>
      </c>
      <c r="G8" s="22"/>
      <c r="H8" s="22"/>
    </row>
    <row r="9" customFormat="false" ht="15.75" hidden="false" customHeight="true" outlineLevel="0" collapsed="false">
      <c r="A9" s="21" t="s">
        <v>298</v>
      </c>
      <c r="B9" s="22" t="s">
        <v>299</v>
      </c>
      <c r="C9" s="22"/>
      <c r="D9" s="22"/>
      <c r="E9" s="21" t="s">
        <v>157</v>
      </c>
      <c r="F9" s="22" t="s">
        <v>158</v>
      </c>
      <c r="G9" s="22"/>
      <c r="H9" s="22"/>
    </row>
    <row r="10" customFormat="false" ht="15.75" hidden="false" customHeight="true" outlineLevel="0" collapsed="false">
      <c r="A10" s="29"/>
      <c r="B10" s="29"/>
      <c r="C10" s="29"/>
      <c r="D10" s="29"/>
      <c r="E10" s="21" t="s">
        <v>159</v>
      </c>
      <c r="F10" s="22" t="s">
        <v>160</v>
      </c>
      <c r="G10" s="22"/>
      <c r="H10" s="22"/>
    </row>
    <row r="11" customFormat="false" ht="24" hidden="false" customHeight="true" outlineLevel="0" collapsed="false">
      <c r="A11" s="23" t="s">
        <v>91</v>
      </c>
      <c r="B11" s="23"/>
      <c r="C11" s="23"/>
      <c r="D11" s="23"/>
      <c r="E11" s="23"/>
      <c r="F11" s="23"/>
      <c r="G11" s="23"/>
      <c r="H11" s="23"/>
    </row>
    <row r="12" customFormat="false" ht="25.5" hidden="false" customHeight="true" outlineLevel="0" collapsed="false">
      <c r="A12" s="24" t="s">
        <v>92</v>
      </c>
      <c r="B12" s="24" t="s">
        <v>93</v>
      </c>
      <c r="C12" s="24" t="s">
        <v>94</v>
      </c>
      <c r="D12" s="24" t="s">
        <v>95</v>
      </c>
      <c r="E12" s="24" t="s">
        <v>96</v>
      </c>
      <c r="F12" s="24" t="s">
        <v>97</v>
      </c>
      <c r="G12" s="24" t="s">
        <v>98</v>
      </c>
      <c r="H12" s="24" t="s">
        <v>99</v>
      </c>
    </row>
    <row r="13" customFormat="false" ht="16.5" hidden="false" customHeight="true" outlineLevel="0" collapsed="false">
      <c r="A13" s="25" t="s">
        <v>161</v>
      </c>
      <c r="B13" s="25"/>
      <c r="C13" s="25"/>
      <c r="D13" s="25"/>
      <c r="E13" s="25"/>
      <c r="F13" s="25"/>
      <c r="G13" s="25"/>
      <c r="H13" s="25"/>
    </row>
    <row r="14" customFormat="false" ht="15" hidden="false" customHeight="true" outlineLevel="0" collapsed="false">
      <c r="A14" s="5" t="n">
        <v>1</v>
      </c>
      <c r="B14" s="26" t="s">
        <v>162</v>
      </c>
      <c r="C14" s="27" t="s">
        <v>102</v>
      </c>
      <c r="D14" s="28"/>
      <c r="E14" s="9" t="s">
        <v>163</v>
      </c>
      <c r="F14" s="28"/>
      <c r="G14" s="29"/>
      <c r="H14" s="29"/>
    </row>
    <row r="15" customFormat="false" ht="15" hidden="false" customHeight="true" outlineLevel="0" collapsed="false">
      <c r="A15" s="5" t="n">
        <v>2</v>
      </c>
      <c r="B15" s="26" t="s">
        <v>164</v>
      </c>
      <c r="C15" s="27" t="s">
        <v>102</v>
      </c>
      <c r="D15" s="28"/>
      <c r="E15" s="9" t="s">
        <v>113</v>
      </c>
      <c r="F15" s="28"/>
      <c r="G15" s="29"/>
      <c r="H15" s="29"/>
    </row>
    <row r="16" customFormat="false" ht="15" hidden="false" customHeight="true" outlineLevel="0" collapsed="false">
      <c r="A16" s="5" t="n">
        <v>3</v>
      </c>
      <c r="B16" s="26" t="s">
        <v>108</v>
      </c>
      <c r="C16" s="27" t="s">
        <v>102</v>
      </c>
      <c r="D16" s="28"/>
      <c r="E16" s="9" t="s">
        <v>105</v>
      </c>
      <c r="F16" s="28"/>
      <c r="G16" s="29"/>
      <c r="H16" s="29"/>
    </row>
    <row r="17" customFormat="false" ht="15" hidden="false" customHeight="true" outlineLevel="0" collapsed="false">
      <c r="A17" s="5" t="n">
        <v>4</v>
      </c>
      <c r="B17" s="26" t="s">
        <v>165</v>
      </c>
      <c r="C17" s="27" t="s">
        <v>102</v>
      </c>
      <c r="D17" s="28"/>
      <c r="E17" s="9" t="s">
        <v>166</v>
      </c>
      <c r="F17" s="28"/>
      <c r="G17" s="29"/>
      <c r="H17" s="29"/>
    </row>
    <row r="18" customFormat="false" ht="15" hidden="false" customHeight="true" outlineLevel="0" collapsed="false">
      <c r="A18" s="5" t="n">
        <v>5</v>
      </c>
      <c r="B18" s="26" t="s">
        <v>167</v>
      </c>
      <c r="C18" s="27" t="s">
        <v>102</v>
      </c>
      <c r="D18" s="28"/>
      <c r="E18" s="9" t="s">
        <v>168</v>
      </c>
      <c r="F18" s="28"/>
      <c r="G18" s="29"/>
      <c r="H18" s="29"/>
    </row>
    <row r="19" customFormat="false" ht="15" hidden="false" customHeight="true" outlineLevel="0" collapsed="false">
      <c r="A19" s="5" t="n">
        <v>6</v>
      </c>
      <c r="B19" s="26" t="s">
        <v>169</v>
      </c>
      <c r="C19" s="27" t="s">
        <v>102</v>
      </c>
      <c r="D19" s="28"/>
      <c r="E19" s="9" t="s">
        <v>170</v>
      </c>
      <c r="F19" s="28"/>
      <c r="G19" s="29"/>
      <c r="H19" s="29"/>
    </row>
    <row r="20" customFormat="false" ht="15" hidden="false" customHeight="true" outlineLevel="0" collapsed="false">
      <c r="A20" s="5" t="n">
        <v>7</v>
      </c>
      <c r="B20" s="26" t="s">
        <v>171</v>
      </c>
      <c r="C20" s="27" t="s">
        <v>102</v>
      </c>
      <c r="D20" s="28"/>
      <c r="E20" s="9" t="s">
        <v>172</v>
      </c>
      <c r="F20" s="28"/>
      <c r="G20" s="29"/>
      <c r="H20" s="29"/>
    </row>
    <row r="21" customFormat="false" ht="15" hidden="false" customHeight="true" outlineLevel="0" collapsed="false">
      <c r="A21" s="5" t="n">
        <v>8</v>
      </c>
      <c r="B21" s="26" t="s">
        <v>173</v>
      </c>
      <c r="C21" s="27" t="s">
        <v>102</v>
      </c>
      <c r="D21" s="28"/>
      <c r="E21" s="9" t="s">
        <v>174</v>
      </c>
      <c r="F21" s="28"/>
      <c r="G21" s="29"/>
      <c r="H21" s="29"/>
    </row>
    <row r="22" customFormat="false" ht="15" hidden="false" customHeight="true" outlineLevel="0" collapsed="false">
      <c r="A22" s="5" t="n">
        <v>9</v>
      </c>
      <c r="B22" s="26" t="s">
        <v>175</v>
      </c>
      <c r="C22" s="27" t="s">
        <v>102</v>
      </c>
      <c r="D22" s="28"/>
      <c r="E22" s="9" t="s">
        <v>176</v>
      </c>
      <c r="F22" s="28"/>
      <c r="G22" s="29"/>
      <c r="H22" s="29"/>
    </row>
    <row r="23" customFormat="false" ht="15" hidden="false" customHeight="true" outlineLevel="0" collapsed="false">
      <c r="A23" s="5" t="n">
        <v>10</v>
      </c>
      <c r="B23" s="26" t="s">
        <v>177</v>
      </c>
      <c r="C23" s="27" t="s">
        <v>102</v>
      </c>
      <c r="D23" s="28"/>
      <c r="E23" s="9" t="s">
        <v>178</v>
      </c>
      <c r="F23" s="28"/>
      <c r="G23" s="29"/>
      <c r="H23" s="29"/>
    </row>
    <row r="24" customFormat="false" ht="16.5" hidden="false" customHeight="true" outlineLevel="0" collapsed="false">
      <c r="A24" s="25" t="s">
        <v>179</v>
      </c>
      <c r="B24" s="25"/>
      <c r="C24" s="25"/>
      <c r="D24" s="25"/>
      <c r="E24" s="25"/>
      <c r="F24" s="25"/>
      <c r="G24" s="25"/>
      <c r="H24" s="25"/>
    </row>
    <row r="25" customFormat="false" ht="15" hidden="false" customHeight="true" outlineLevel="0" collapsed="false">
      <c r="A25" s="5" t="n">
        <v>11</v>
      </c>
      <c r="B25" s="26" t="s">
        <v>180</v>
      </c>
      <c r="C25" s="27" t="s">
        <v>102</v>
      </c>
      <c r="D25" s="28"/>
      <c r="E25" s="9" t="s">
        <v>181</v>
      </c>
      <c r="F25" s="28"/>
      <c r="G25" s="29"/>
      <c r="H25" s="29"/>
    </row>
    <row r="26" customFormat="false" ht="15" hidden="false" customHeight="true" outlineLevel="0" collapsed="false">
      <c r="A26" s="5" t="n">
        <v>12</v>
      </c>
      <c r="B26" s="26" t="s">
        <v>182</v>
      </c>
      <c r="C26" s="27" t="s">
        <v>102</v>
      </c>
      <c r="D26" s="28"/>
      <c r="E26" s="9" t="s">
        <v>113</v>
      </c>
      <c r="F26" s="28"/>
      <c r="G26" s="29"/>
      <c r="H26" s="29"/>
    </row>
    <row r="27" customFormat="false" ht="15" hidden="false" customHeight="true" outlineLevel="0" collapsed="false">
      <c r="A27" s="5" t="n">
        <v>13</v>
      </c>
      <c r="B27" s="26" t="s">
        <v>183</v>
      </c>
      <c r="C27" s="27" t="s">
        <v>102</v>
      </c>
      <c r="D27" s="28"/>
      <c r="E27" s="9" t="s">
        <v>174</v>
      </c>
      <c r="F27" s="28"/>
      <c r="G27" s="29"/>
      <c r="H27" s="29"/>
    </row>
    <row r="28" customFormat="false" ht="15" hidden="false" customHeight="true" outlineLevel="0" collapsed="false">
      <c r="A28" s="5" t="n">
        <v>14</v>
      </c>
      <c r="B28" s="26" t="s">
        <v>184</v>
      </c>
      <c r="C28" s="27" t="s">
        <v>102</v>
      </c>
      <c r="D28" s="28"/>
      <c r="E28" s="9" t="s">
        <v>185</v>
      </c>
      <c r="F28" s="28"/>
      <c r="G28" s="29"/>
      <c r="H28" s="29"/>
    </row>
    <row r="29" customFormat="false" ht="16.5" hidden="false" customHeight="true" outlineLevel="0" collapsed="false">
      <c r="A29" s="25" t="s">
        <v>186</v>
      </c>
      <c r="B29" s="25"/>
      <c r="C29" s="25"/>
      <c r="D29" s="25"/>
      <c r="E29" s="25"/>
      <c r="F29" s="25"/>
      <c r="G29" s="25"/>
      <c r="H29" s="25"/>
    </row>
    <row r="30" customFormat="false" ht="15" hidden="false" customHeight="true" outlineLevel="0" collapsed="false">
      <c r="A30" s="5" t="n">
        <v>15</v>
      </c>
      <c r="B30" s="26" t="s">
        <v>104</v>
      </c>
      <c r="C30" s="27" t="s">
        <v>102</v>
      </c>
      <c r="D30" s="28"/>
      <c r="E30" s="9" t="s">
        <v>105</v>
      </c>
      <c r="F30" s="28"/>
      <c r="G30" s="29"/>
      <c r="H30" s="29"/>
    </row>
    <row r="31" customFormat="false" ht="15" hidden="false" customHeight="true" outlineLevel="0" collapsed="false">
      <c r="A31" s="5" t="n">
        <v>16</v>
      </c>
      <c r="B31" s="26" t="s">
        <v>187</v>
      </c>
      <c r="C31" s="27" t="s">
        <v>102</v>
      </c>
      <c r="D31" s="28"/>
      <c r="E31" s="9" t="s">
        <v>113</v>
      </c>
      <c r="F31" s="28"/>
      <c r="G31" s="29"/>
      <c r="H31" s="29"/>
    </row>
    <row r="32" customFormat="false" ht="15" hidden="false" customHeight="true" outlineLevel="0" collapsed="false">
      <c r="A32" s="5" t="n">
        <v>17</v>
      </c>
      <c r="B32" s="26" t="s">
        <v>188</v>
      </c>
      <c r="C32" s="27" t="s">
        <v>102</v>
      </c>
      <c r="D32" s="28"/>
      <c r="E32" s="9" t="s">
        <v>189</v>
      </c>
      <c r="F32" s="28"/>
      <c r="G32" s="29"/>
      <c r="H32" s="29"/>
    </row>
    <row r="33" customFormat="false" ht="15" hidden="false" customHeight="true" outlineLevel="0" collapsed="false">
      <c r="A33" s="5" t="n">
        <v>18</v>
      </c>
      <c r="B33" s="26" t="s">
        <v>190</v>
      </c>
      <c r="C33" s="27" t="s">
        <v>102</v>
      </c>
      <c r="D33" s="28"/>
      <c r="E33" s="9" t="s">
        <v>191</v>
      </c>
      <c r="F33" s="28"/>
      <c r="G33" s="29"/>
      <c r="H33" s="29"/>
    </row>
    <row r="34" customFormat="false" ht="15" hidden="false" customHeight="true" outlineLevel="0" collapsed="false">
      <c r="A34" s="5" t="n">
        <v>19</v>
      </c>
      <c r="B34" s="26" t="s">
        <v>192</v>
      </c>
      <c r="C34" s="27" t="s">
        <v>102</v>
      </c>
      <c r="D34" s="28"/>
      <c r="E34" s="9" t="s">
        <v>193</v>
      </c>
      <c r="F34" s="28"/>
      <c r="G34" s="29"/>
      <c r="H34" s="29"/>
    </row>
    <row r="35" customFormat="false" ht="15" hidden="false" customHeight="true" outlineLevel="0" collapsed="false">
      <c r="A35" s="5" t="n">
        <v>20</v>
      </c>
      <c r="B35" s="26" t="s">
        <v>194</v>
      </c>
      <c r="C35" s="27" t="s">
        <v>102</v>
      </c>
      <c r="D35" s="28"/>
      <c r="E35" s="9" t="s">
        <v>174</v>
      </c>
      <c r="F35" s="28"/>
      <c r="G35" s="29"/>
      <c r="H35" s="29"/>
    </row>
    <row r="36" customFormat="false" ht="15" hidden="false" customHeight="true" outlineLevel="0" collapsed="false">
      <c r="A36" s="5" t="n">
        <v>21</v>
      </c>
      <c r="B36" s="26" t="s">
        <v>195</v>
      </c>
      <c r="C36" s="27" t="s">
        <v>102</v>
      </c>
      <c r="D36" s="28"/>
      <c r="E36" s="9" t="s">
        <v>196</v>
      </c>
      <c r="F36" s="28"/>
      <c r="G36" s="29"/>
      <c r="H36" s="29"/>
    </row>
    <row r="37" customFormat="false" ht="16.5" hidden="false" customHeight="true" outlineLevel="0" collapsed="false">
      <c r="A37" s="25" t="s">
        <v>197</v>
      </c>
      <c r="B37" s="25"/>
      <c r="C37" s="25"/>
      <c r="D37" s="25"/>
      <c r="E37" s="25"/>
      <c r="F37" s="25"/>
      <c r="G37" s="25"/>
      <c r="H37" s="25"/>
    </row>
    <row r="38" customFormat="false" ht="15" hidden="false" customHeight="true" outlineLevel="0" collapsed="false">
      <c r="A38" s="5" t="n">
        <v>22</v>
      </c>
      <c r="B38" s="26" t="s">
        <v>106</v>
      </c>
      <c r="C38" s="27" t="s">
        <v>102</v>
      </c>
      <c r="D38" s="28"/>
      <c r="E38" s="9" t="s">
        <v>105</v>
      </c>
      <c r="F38" s="28"/>
      <c r="G38" s="29"/>
      <c r="H38" s="29"/>
    </row>
    <row r="39" customFormat="false" ht="15" hidden="false" customHeight="true" outlineLevel="0" collapsed="false">
      <c r="A39" s="5" t="n">
        <v>23</v>
      </c>
      <c r="B39" s="26" t="s">
        <v>198</v>
      </c>
      <c r="C39" s="27" t="s">
        <v>102</v>
      </c>
      <c r="D39" s="28"/>
      <c r="E39" s="9" t="s">
        <v>113</v>
      </c>
      <c r="F39" s="28"/>
      <c r="G39" s="29"/>
      <c r="H39" s="29"/>
    </row>
    <row r="40" customFormat="false" ht="15" hidden="false" customHeight="true" outlineLevel="0" collapsed="false">
      <c r="A40" s="5" t="n">
        <v>24</v>
      </c>
      <c r="B40" s="26" t="s">
        <v>199</v>
      </c>
      <c r="C40" s="27" t="s">
        <v>102</v>
      </c>
      <c r="D40" s="28"/>
      <c r="E40" s="9" t="s">
        <v>174</v>
      </c>
      <c r="F40" s="28"/>
      <c r="G40" s="29"/>
      <c r="H40" s="29"/>
    </row>
    <row r="41" customFormat="false" ht="15" hidden="false" customHeight="true" outlineLevel="0" collapsed="false">
      <c r="A41" s="5" t="n">
        <v>25</v>
      </c>
      <c r="B41" s="26" t="s">
        <v>200</v>
      </c>
      <c r="C41" s="27" t="s">
        <v>102</v>
      </c>
      <c r="D41" s="28"/>
      <c r="E41" s="9" t="s">
        <v>105</v>
      </c>
      <c r="F41" s="28"/>
      <c r="G41" s="29"/>
      <c r="H41" s="29"/>
    </row>
    <row r="42" customFormat="false" ht="15" hidden="false" customHeight="true" outlineLevel="0" collapsed="false">
      <c r="A42" s="5" t="n">
        <v>26</v>
      </c>
      <c r="B42" s="26" t="s">
        <v>201</v>
      </c>
      <c r="C42" s="27" t="s">
        <v>102</v>
      </c>
      <c r="D42" s="28"/>
      <c r="E42" s="9" t="s">
        <v>202</v>
      </c>
      <c r="F42" s="28"/>
      <c r="G42" s="29"/>
      <c r="H42" s="29"/>
    </row>
    <row r="43" customFormat="false" ht="16.5" hidden="false" customHeight="true" outlineLevel="0" collapsed="false">
      <c r="A43" s="25" t="s">
        <v>203</v>
      </c>
      <c r="B43" s="25"/>
      <c r="C43" s="25"/>
      <c r="D43" s="25"/>
      <c r="E43" s="25"/>
      <c r="F43" s="25"/>
      <c r="G43" s="25"/>
      <c r="H43" s="25"/>
    </row>
    <row r="44" customFormat="false" ht="15" hidden="false" customHeight="true" outlineLevel="0" collapsed="false">
      <c r="A44" s="5" t="n">
        <v>27</v>
      </c>
      <c r="B44" s="26" t="s">
        <v>204</v>
      </c>
      <c r="C44" s="27" t="s">
        <v>102</v>
      </c>
      <c r="D44" s="28"/>
      <c r="E44" s="9" t="s">
        <v>174</v>
      </c>
      <c r="F44" s="28"/>
      <c r="G44" s="29"/>
      <c r="H44" s="29"/>
    </row>
    <row r="45" customFormat="false" ht="15" hidden="false" customHeight="true" outlineLevel="0" collapsed="false">
      <c r="A45" s="5" t="n">
        <v>28</v>
      </c>
      <c r="B45" s="26" t="s">
        <v>205</v>
      </c>
      <c r="C45" s="27" t="s">
        <v>102</v>
      </c>
      <c r="D45" s="28"/>
      <c r="E45" s="9" t="s">
        <v>206</v>
      </c>
      <c r="F45" s="28"/>
      <c r="G45" s="29"/>
      <c r="H45" s="29"/>
    </row>
    <row r="46" customFormat="false" ht="15" hidden="false" customHeight="true" outlineLevel="0" collapsed="false">
      <c r="A46" s="5" t="n">
        <v>29</v>
      </c>
      <c r="B46" s="26" t="s">
        <v>207</v>
      </c>
      <c r="C46" s="27" t="s">
        <v>102</v>
      </c>
      <c r="D46" s="28"/>
      <c r="E46" s="9" t="s">
        <v>105</v>
      </c>
      <c r="F46" s="28"/>
      <c r="G46" s="29"/>
      <c r="H46" s="29"/>
    </row>
    <row r="47" customFormat="false" ht="15" hidden="false" customHeight="true" outlineLevel="0" collapsed="false">
      <c r="A47" s="5" t="n">
        <v>30</v>
      </c>
      <c r="B47" s="26" t="s">
        <v>208</v>
      </c>
      <c r="C47" s="27" t="s">
        <v>102</v>
      </c>
      <c r="D47" s="28"/>
      <c r="E47" s="9" t="s">
        <v>113</v>
      </c>
      <c r="F47" s="28"/>
      <c r="G47" s="29"/>
      <c r="H47" s="29"/>
    </row>
    <row r="48" customFormat="false" ht="15" hidden="false" customHeight="true" outlineLevel="0" collapsed="false">
      <c r="A48" s="5" t="n">
        <v>31</v>
      </c>
      <c r="B48" s="26" t="s">
        <v>209</v>
      </c>
      <c r="C48" s="27" t="s">
        <v>102</v>
      </c>
      <c r="D48" s="28"/>
      <c r="E48" s="9" t="s">
        <v>210</v>
      </c>
      <c r="F48" s="28"/>
      <c r="G48" s="29"/>
      <c r="H48" s="29"/>
    </row>
    <row r="49" customFormat="false" ht="16.5" hidden="false" customHeight="true" outlineLevel="0" collapsed="false">
      <c r="A49" s="25" t="s">
        <v>211</v>
      </c>
      <c r="B49" s="25"/>
      <c r="C49" s="25"/>
      <c r="D49" s="25"/>
      <c r="E49" s="25"/>
      <c r="F49" s="25"/>
      <c r="G49" s="25"/>
      <c r="H49" s="25"/>
    </row>
    <row r="50" customFormat="false" ht="15" hidden="false" customHeight="true" outlineLevel="0" collapsed="false">
      <c r="A50" s="5" t="n">
        <v>32</v>
      </c>
      <c r="B50" s="26" t="s">
        <v>212</v>
      </c>
      <c r="C50" s="37" t="s">
        <v>213</v>
      </c>
      <c r="D50" s="28"/>
      <c r="E50" s="9" t="s">
        <v>214</v>
      </c>
      <c r="F50" s="28"/>
      <c r="G50" s="29"/>
      <c r="H50" s="29"/>
    </row>
    <row r="51" customFormat="false" ht="15" hidden="false" customHeight="true" outlineLevel="0" collapsed="false">
      <c r="A51" s="5" t="n">
        <v>33</v>
      </c>
      <c r="B51" s="26" t="s">
        <v>215</v>
      </c>
      <c r="C51" s="37" t="s">
        <v>216</v>
      </c>
      <c r="D51" s="28"/>
      <c r="E51" s="9" t="s">
        <v>217</v>
      </c>
      <c r="F51" s="28"/>
      <c r="G51" s="29"/>
      <c r="H51" s="29"/>
    </row>
    <row r="52" customFormat="false" ht="15" hidden="false" customHeight="true" outlineLevel="0" collapsed="false">
      <c r="A52" s="5" t="n">
        <v>34</v>
      </c>
      <c r="B52" s="26" t="s">
        <v>218</v>
      </c>
      <c r="C52" s="37" t="s">
        <v>216</v>
      </c>
      <c r="D52" s="28"/>
      <c r="E52" s="9" t="s">
        <v>219</v>
      </c>
      <c r="F52" s="28"/>
      <c r="G52" s="29"/>
      <c r="H52" s="29"/>
    </row>
    <row r="53" customFormat="false" ht="15" hidden="false" customHeight="true" outlineLevel="0" collapsed="false">
      <c r="A53" s="5" t="n">
        <v>35</v>
      </c>
      <c r="B53" s="26" t="s">
        <v>220</v>
      </c>
      <c r="C53" s="37" t="s">
        <v>216</v>
      </c>
      <c r="D53" s="28"/>
      <c r="E53" s="9" t="s">
        <v>221</v>
      </c>
      <c r="F53" s="28"/>
      <c r="G53" s="29"/>
      <c r="H53" s="29"/>
    </row>
    <row r="54" customFormat="false" ht="15" hidden="false" customHeight="true" outlineLevel="0" collapsed="false">
      <c r="A54" s="5" t="n">
        <v>36</v>
      </c>
      <c r="B54" s="26" t="s">
        <v>222</v>
      </c>
      <c r="C54" s="37" t="s">
        <v>213</v>
      </c>
      <c r="D54" s="28"/>
      <c r="E54" s="9" t="s">
        <v>223</v>
      </c>
      <c r="F54" s="28"/>
      <c r="G54" s="29"/>
      <c r="H54" s="29"/>
    </row>
    <row r="55" customFormat="false" ht="16.5" hidden="false" customHeight="true" outlineLevel="0" collapsed="false">
      <c r="A55" s="25" t="s">
        <v>224</v>
      </c>
      <c r="B55" s="25"/>
      <c r="C55" s="25"/>
      <c r="D55" s="25"/>
      <c r="E55" s="25"/>
      <c r="F55" s="25"/>
      <c r="G55" s="25"/>
      <c r="H55" s="25"/>
    </row>
    <row r="56" customFormat="false" ht="15" hidden="false" customHeight="true" outlineLevel="0" collapsed="false">
      <c r="A56" s="5" t="n">
        <v>37</v>
      </c>
      <c r="B56" s="26" t="s">
        <v>225</v>
      </c>
      <c r="C56" s="27" t="s">
        <v>102</v>
      </c>
      <c r="D56" s="28"/>
      <c r="E56" s="9" t="s">
        <v>226</v>
      </c>
      <c r="F56" s="28"/>
      <c r="G56" s="29"/>
      <c r="H56" s="29"/>
    </row>
    <row r="57" customFormat="false" ht="15" hidden="false" customHeight="true" outlineLevel="0" collapsed="false">
      <c r="A57" s="5" t="n">
        <v>38</v>
      </c>
      <c r="B57" s="26" t="s">
        <v>227</v>
      </c>
      <c r="C57" s="27" t="s">
        <v>102</v>
      </c>
      <c r="D57" s="28"/>
      <c r="E57" s="9" t="s">
        <v>228</v>
      </c>
      <c r="F57" s="28"/>
      <c r="G57" s="29"/>
      <c r="H57" s="29"/>
    </row>
    <row r="58" customFormat="false" ht="15" hidden="false" customHeight="true" outlineLevel="0" collapsed="false">
      <c r="A58" s="5" t="n">
        <v>39</v>
      </c>
      <c r="B58" s="26" t="s">
        <v>229</v>
      </c>
      <c r="C58" s="27" t="s">
        <v>102</v>
      </c>
      <c r="D58" s="28"/>
      <c r="E58" s="9" t="s">
        <v>121</v>
      </c>
      <c r="F58" s="28"/>
      <c r="G58" s="29"/>
      <c r="H58" s="29"/>
    </row>
    <row r="59" customFormat="false" ht="15" hidden="false" customHeight="true" outlineLevel="0" collapsed="false">
      <c r="A59" s="5" t="n">
        <v>40</v>
      </c>
      <c r="B59" s="26" t="s">
        <v>230</v>
      </c>
      <c r="C59" s="27" t="s">
        <v>102</v>
      </c>
      <c r="D59" s="28"/>
      <c r="E59" s="9" t="s">
        <v>231</v>
      </c>
      <c r="F59" s="28"/>
      <c r="G59" s="29"/>
      <c r="H59" s="29"/>
    </row>
    <row r="60" customFormat="false" ht="15" hidden="false" customHeight="true" outlineLevel="0" collapsed="false">
      <c r="A60" s="5" t="n">
        <v>41</v>
      </c>
      <c r="B60" s="26" t="s">
        <v>232</v>
      </c>
      <c r="C60" s="27" t="s">
        <v>102</v>
      </c>
      <c r="D60" s="28"/>
      <c r="E60" s="9" t="s">
        <v>174</v>
      </c>
      <c r="F60" s="28"/>
      <c r="G60" s="29"/>
      <c r="H60" s="29"/>
    </row>
    <row r="61" customFormat="false" ht="15" hidden="false" customHeight="true" outlineLevel="0" collapsed="false">
      <c r="A61" s="5" t="n">
        <v>42</v>
      </c>
      <c r="B61" s="26" t="s">
        <v>233</v>
      </c>
      <c r="C61" s="27" t="s">
        <v>102</v>
      </c>
      <c r="D61" s="28"/>
      <c r="E61" s="9" t="s">
        <v>234</v>
      </c>
      <c r="F61" s="28"/>
      <c r="G61" s="29"/>
      <c r="H61" s="29"/>
    </row>
    <row r="62" customFormat="false" ht="16.5" hidden="false" customHeight="true" outlineLevel="0" collapsed="false">
      <c r="A62" s="25" t="s">
        <v>235</v>
      </c>
      <c r="B62" s="25"/>
      <c r="C62" s="25"/>
      <c r="D62" s="25"/>
      <c r="E62" s="25"/>
      <c r="F62" s="25"/>
      <c r="G62" s="25"/>
      <c r="H62" s="25"/>
    </row>
    <row r="63" customFormat="false" ht="15" hidden="false" customHeight="true" outlineLevel="0" collapsed="false">
      <c r="A63" s="5" t="n">
        <v>43</v>
      </c>
      <c r="B63" s="26" t="s">
        <v>236</v>
      </c>
      <c r="C63" s="27" t="s">
        <v>102</v>
      </c>
      <c r="D63" s="28"/>
      <c r="E63" s="9" t="s">
        <v>237</v>
      </c>
      <c r="F63" s="28"/>
      <c r="G63" s="29"/>
      <c r="H63" s="29"/>
    </row>
    <row r="64" customFormat="false" ht="15" hidden="false" customHeight="true" outlineLevel="0" collapsed="false">
      <c r="A64" s="5" t="n">
        <v>44</v>
      </c>
      <c r="B64" s="26" t="s">
        <v>238</v>
      </c>
      <c r="C64" s="27" t="s">
        <v>102</v>
      </c>
      <c r="D64" s="28"/>
      <c r="E64" s="9" t="s">
        <v>239</v>
      </c>
      <c r="F64" s="28"/>
      <c r="G64" s="29"/>
      <c r="H64" s="29"/>
    </row>
    <row r="65" customFormat="false" ht="15" hidden="false" customHeight="true" outlineLevel="0" collapsed="false">
      <c r="A65" s="5" t="n">
        <v>45</v>
      </c>
      <c r="B65" s="26" t="s">
        <v>240</v>
      </c>
      <c r="C65" s="37" t="s">
        <v>241</v>
      </c>
      <c r="D65" s="28"/>
      <c r="E65" s="9" t="s">
        <v>242</v>
      </c>
      <c r="F65" s="28"/>
      <c r="G65" s="29"/>
      <c r="H65" s="29"/>
    </row>
    <row r="66" customFormat="false" ht="15" hidden="false" customHeight="true" outlineLevel="0" collapsed="false">
      <c r="A66" s="5" t="n">
        <v>46</v>
      </c>
      <c r="B66" s="26" t="s">
        <v>243</v>
      </c>
      <c r="C66" s="37" t="s">
        <v>244</v>
      </c>
      <c r="D66" s="28"/>
      <c r="E66" s="9" t="s">
        <v>245</v>
      </c>
      <c r="F66" s="28"/>
      <c r="G66" s="29"/>
      <c r="H66" s="29"/>
    </row>
    <row r="67" customFormat="false" ht="15" hidden="false" customHeight="true" outlineLevel="0" collapsed="false">
      <c r="A67" s="5" t="n">
        <v>47</v>
      </c>
      <c r="B67" s="26" t="s">
        <v>246</v>
      </c>
      <c r="C67" s="37" t="s">
        <v>247</v>
      </c>
      <c r="D67" s="28"/>
      <c r="E67" s="9" t="s">
        <v>248</v>
      </c>
      <c r="F67" s="28"/>
      <c r="G67" s="29"/>
      <c r="H67" s="29"/>
    </row>
    <row r="68" customFormat="false" ht="15" hidden="false" customHeight="true" outlineLevel="0" collapsed="false">
      <c r="A68" s="5" t="n">
        <v>48</v>
      </c>
      <c r="B68" s="26" t="s">
        <v>249</v>
      </c>
      <c r="C68" s="37" t="s">
        <v>250</v>
      </c>
      <c r="D68" s="28"/>
      <c r="E68" s="9" t="s">
        <v>251</v>
      </c>
      <c r="F68" s="28"/>
      <c r="G68" s="29"/>
      <c r="H68" s="29"/>
    </row>
    <row r="69" customFormat="false" ht="15" hidden="false" customHeight="true" outlineLevel="0" collapsed="false">
      <c r="A69" s="5" t="n">
        <v>49</v>
      </c>
      <c r="B69" s="26" t="s">
        <v>252</v>
      </c>
      <c r="C69" s="27" t="s">
        <v>102</v>
      </c>
      <c r="D69" s="28"/>
      <c r="E69" s="9" t="s">
        <v>116</v>
      </c>
      <c r="F69" s="28"/>
      <c r="G69" s="29"/>
      <c r="H69" s="29"/>
    </row>
    <row r="70" customFormat="false" ht="15" hidden="false" customHeight="true" outlineLevel="0" collapsed="false">
      <c r="A70" s="5" t="n">
        <v>50</v>
      </c>
      <c r="B70" s="26" t="s">
        <v>253</v>
      </c>
      <c r="C70" s="27" t="s">
        <v>102</v>
      </c>
      <c r="D70" s="28"/>
      <c r="E70" s="9" t="s">
        <v>254</v>
      </c>
      <c r="F70" s="28"/>
      <c r="G70" s="29"/>
      <c r="H70" s="29"/>
    </row>
    <row r="71" customFormat="false" ht="16.5" hidden="false" customHeight="true" outlineLevel="0" collapsed="false">
      <c r="A71" s="25" t="s">
        <v>255</v>
      </c>
      <c r="B71" s="25"/>
      <c r="C71" s="25"/>
      <c r="D71" s="25"/>
      <c r="E71" s="25"/>
      <c r="F71" s="25"/>
      <c r="G71" s="25"/>
      <c r="H71" s="25"/>
    </row>
    <row r="72" customFormat="false" ht="15" hidden="false" customHeight="true" outlineLevel="0" collapsed="false">
      <c r="A72" s="5" t="n">
        <v>51</v>
      </c>
      <c r="B72" s="26" t="s">
        <v>256</v>
      </c>
      <c r="C72" s="27" t="s">
        <v>102</v>
      </c>
      <c r="D72" s="28"/>
      <c r="E72" s="9" t="s">
        <v>257</v>
      </c>
      <c r="F72" s="28"/>
      <c r="G72" s="29"/>
      <c r="H72" s="29"/>
    </row>
    <row r="73" customFormat="false" ht="15" hidden="false" customHeight="true" outlineLevel="0" collapsed="false">
      <c r="A73" s="5" t="n">
        <v>52</v>
      </c>
      <c r="B73" s="26" t="s">
        <v>258</v>
      </c>
      <c r="C73" s="27" t="s">
        <v>102</v>
      </c>
      <c r="D73" s="28"/>
      <c r="E73" s="9" t="s">
        <v>259</v>
      </c>
      <c r="F73" s="28"/>
      <c r="G73" s="29"/>
      <c r="H73" s="29"/>
    </row>
    <row r="74" customFormat="false" ht="15" hidden="false" customHeight="true" outlineLevel="0" collapsed="false">
      <c r="A74" s="5" t="n">
        <v>53</v>
      </c>
      <c r="B74" s="26" t="s">
        <v>260</v>
      </c>
      <c r="C74" s="27" t="s">
        <v>102</v>
      </c>
      <c r="D74" s="28"/>
      <c r="E74" s="9" t="s">
        <v>261</v>
      </c>
      <c r="F74" s="28"/>
      <c r="G74" s="29"/>
      <c r="H74" s="29"/>
    </row>
    <row r="75" customFormat="false" ht="15" hidden="false" customHeight="true" outlineLevel="0" collapsed="false">
      <c r="A75" s="5" t="n">
        <v>54</v>
      </c>
      <c r="B75" s="26" t="s">
        <v>262</v>
      </c>
      <c r="C75" s="27" t="s">
        <v>102</v>
      </c>
      <c r="D75" s="28"/>
      <c r="E75" s="9" t="s">
        <v>121</v>
      </c>
      <c r="F75" s="28"/>
      <c r="G75" s="29"/>
      <c r="H75" s="29"/>
    </row>
    <row r="76" customFormat="false" ht="15" hidden="false" customHeight="true" outlineLevel="0" collapsed="false">
      <c r="A76" s="5" t="n">
        <v>55</v>
      </c>
      <c r="B76" s="26" t="s">
        <v>263</v>
      </c>
      <c r="C76" s="27" t="s">
        <v>102</v>
      </c>
      <c r="D76" s="28"/>
      <c r="E76" s="9" t="s">
        <v>264</v>
      </c>
      <c r="F76" s="28"/>
      <c r="G76" s="29"/>
      <c r="H76" s="29"/>
    </row>
    <row r="77" customFormat="false" ht="15" hidden="false" customHeight="true" outlineLevel="0" collapsed="false">
      <c r="A77" s="5" t="n">
        <v>56</v>
      </c>
      <c r="B77" s="26" t="s">
        <v>265</v>
      </c>
      <c r="C77" s="27" t="s">
        <v>102</v>
      </c>
      <c r="D77" s="28"/>
      <c r="E77" s="9" t="s">
        <v>266</v>
      </c>
      <c r="F77" s="28"/>
      <c r="G77" s="29"/>
      <c r="H77" s="29"/>
    </row>
    <row r="78" customFormat="false" ht="16.5" hidden="false" customHeight="true" outlineLevel="0" collapsed="false">
      <c r="A78" s="25" t="s">
        <v>267</v>
      </c>
      <c r="B78" s="25"/>
      <c r="C78" s="25"/>
      <c r="D78" s="25"/>
      <c r="E78" s="25"/>
      <c r="F78" s="25"/>
      <c r="G78" s="25"/>
      <c r="H78" s="25"/>
    </row>
    <row r="79" customFormat="false" ht="15" hidden="false" customHeight="true" outlineLevel="0" collapsed="false">
      <c r="A79" s="5" t="n">
        <v>57</v>
      </c>
      <c r="B79" s="26" t="s">
        <v>268</v>
      </c>
      <c r="C79" s="27" t="s">
        <v>102</v>
      </c>
      <c r="D79" s="28"/>
      <c r="E79" s="9" t="s">
        <v>269</v>
      </c>
      <c r="F79" s="28"/>
      <c r="G79" s="29"/>
      <c r="H79" s="29"/>
    </row>
    <row r="80" customFormat="false" ht="15" hidden="false" customHeight="true" outlineLevel="0" collapsed="false">
      <c r="A80" s="5" t="n">
        <v>58</v>
      </c>
      <c r="B80" s="26" t="s">
        <v>128</v>
      </c>
      <c r="C80" s="27" t="s">
        <v>102</v>
      </c>
      <c r="D80" s="28"/>
      <c r="E80" s="9" t="s">
        <v>129</v>
      </c>
      <c r="F80" s="28"/>
      <c r="G80" s="29"/>
      <c r="H80" s="29"/>
    </row>
    <row r="81" customFormat="false" ht="15" hidden="false" customHeight="true" outlineLevel="0" collapsed="false">
      <c r="A81" s="5" t="n">
        <v>59</v>
      </c>
      <c r="B81" s="26" t="s">
        <v>270</v>
      </c>
      <c r="C81" s="27" t="s">
        <v>102</v>
      </c>
      <c r="D81" s="28"/>
      <c r="E81" s="9" t="s">
        <v>261</v>
      </c>
      <c r="F81" s="28"/>
      <c r="G81" s="29"/>
      <c r="H81" s="29"/>
    </row>
    <row r="82" customFormat="false" ht="16.5" hidden="false" customHeight="true" outlineLevel="0" collapsed="false">
      <c r="A82" s="25" t="s">
        <v>300</v>
      </c>
      <c r="B82" s="25"/>
      <c r="C82" s="25"/>
      <c r="D82" s="25"/>
      <c r="E82" s="25"/>
      <c r="F82" s="25"/>
      <c r="G82" s="25"/>
      <c r="H82" s="25"/>
    </row>
    <row r="83" customFormat="false" ht="15" hidden="false" customHeight="true" outlineLevel="0" collapsed="false">
      <c r="A83" s="5" t="n">
        <v>60</v>
      </c>
      <c r="B83" s="26" t="s">
        <v>301</v>
      </c>
      <c r="C83" s="27" t="s">
        <v>102</v>
      </c>
      <c r="D83" s="28"/>
      <c r="E83" s="9" t="s">
        <v>302</v>
      </c>
      <c r="F83" s="28"/>
      <c r="G83" s="29"/>
      <c r="H83" s="29"/>
    </row>
    <row r="84" customFormat="false" ht="15" hidden="false" customHeight="true" outlineLevel="0" collapsed="false">
      <c r="A84" s="5" t="n">
        <v>61</v>
      </c>
      <c r="B84" s="26" t="s">
        <v>303</v>
      </c>
      <c r="C84" s="27" t="s">
        <v>102</v>
      </c>
      <c r="D84" s="28"/>
      <c r="E84" s="9" t="s">
        <v>87</v>
      </c>
      <c r="F84" s="28"/>
      <c r="G84" s="29"/>
      <c r="H84" s="29"/>
    </row>
    <row r="85" customFormat="false" ht="15" hidden="false" customHeight="true" outlineLevel="0" collapsed="false">
      <c r="A85" s="5" t="n">
        <v>62</v>
      </c>
      <c r="B85" s="26" t="s">
        <v>304</v>
      </c>
      <c r="C85" s="27" t="s">
        <v>102</v>
      </c>
      <c r="D85" s="28"/>
      <c r="E85" s="9" t="s">
        <v>305</v>
      </c>
      <c r="F85" s="28"/>
      <c r="G85" s="29"/>
      <c r="H85" s="29"/>
    </row>
    <row r="86" customFormat="false" ht="15" hidden="false" customHeight="true" outlineLevel="0" collapsed="false">
      <c r="A86" s="5" t="n">
        <v>63</v>
      </c>
      <c r="B86" s="26" t="s">
        <v>306</v>
      </c>
      <c r="C86" s="27" t="s">
        <v>102</v>
      </c>
      <c r="D86" s="28"/>
      <c r="E86" s="9" t="s">
        <v>307</v>
      </c>
      <c r="F86" s="28"/>
      <c r="G86" s="29"/>
      <c r="H86" s="29"/>
    </row>
    <row r="87" customFormat="false" ht="15" hidden="false" customHeight="true" outlineLevel="0" collapsed="false">
      <c r="A87" s="5" t="n">
        <v>64</v>
      </c>
      <c r="B87" s="26" t="s">
        <v>308</v>
      </c>
      <c r="C87" s="27" t="s">
        <v>102</v>
      </c>
      <c r="D87" s="28"/>
      <c r="E87" s="9" t="s">
        <v>309</v>
      </c>
      <c r="F87" s="28"/>
      <c r="G87" s="29"/>
      <c r="H87" s="29"/>
    </row>
    <row r="89" customFormat="false" ht="18" hidden="false" customHeight="true" outlineLevel="0" collapsed="false">
      <c r="A89" s="38" t="s">
        <v>271</v>
      </c>
      <c r="B89" s="38"/>
      <c r="C89" s="38"/>
      <c r="D89" s="38"/>
      <c r="E89" s="38"/>
      <c r="F89" s="38"/>
      <c r="G89" s="38"/>
      <c r="H89" s="38"/>
    </row>
    <row r="90" customFormat="false" ht="24" hidden="false" customHeight="true" outlineLevel="0" collapsed="false">
      <c r="A90" s="39" t="s">
        <v>272</v>
      </c>
      <c r="B90" s="39"/>
      <c r="C90" s="39" t="s">
        <v>273</v>
      </c>
      <c r="D90" s="39" t="s">
        <v>274</v>
      </c>
      <c r="E90" s="39"/>
      <c r="F90" s="39" t="s">
        <v>275</v>
      </c>
      <c r="G90" s="39" t="s">
        <v>276</v>
      </c>
      <c r="H90" s="39" t="s">
        <v>277</v>
      </c>
    </row>
    <row r="91" customFormat="false" ht="15.75" hidden="false" customHeight="true" outlineLevel="0" collapsed="false">
      <c r="A91" s="29"/>
      <c r="B91" s="29"/>
      <c r="C91" s="28"/>
      <c r="D91" s="29"/>
      <c r="E91" s="29"/>
      <c r="F91" s="29"/>
      <c r="G91" s="29"/>
      <c r="H91" s="29"/>
    </row>
    <row r="92" customFormat="false" ht="15.75" hidden="false" customHeight="true" outlineLevel="0" collapsed="false">
      <c r="A92" s="29"/>
      <c r="B92" s="29"/>
      <c r="C92" s="28"/>
      <c r="D92" s="29"/>
      <c r="E92" s="29"/>
      <c r="F92" s="29"/>
      <c r="G92" s="29"/>
      <c r="H92" s="29"/>
    </row>
    <row r="93" customFormat="false" ht="15.75" hidden="false" customHeight="true" outlineLevel="0" collapsed="false">
      <c r="A93" s="29"/>
      <c r="B93" s="29"/>
      <c r="C93" s="28"/>
      <c r="D93" s="29"/>
      <c r="E93" s="29"/>
      <c r="F93" s="29"/>
      <c r="G93" s="29"/>
      <c r="H93" s="29"/>
    </row>
    <row r="94" customFormat="false" ht="15.75" hidden="false" customHeight="true" outlineLevel="0" collapsed="false">
      <c r="A94" s="29"/>
      <c r="B94" s="29"/>
      <c r="C94" s="28"/>
      <c r="D94" s="29"/>
      <c r="E94" s="29"/>
      <c r="F94" s="29"/>
      <c r="G94" s="29"/>
      <c r="H94" s="29"/>
    </row>
    <row r="95" customFormat="false" ht="15.75" hidden="false" customHeight="true" outlineLevel="0" collapsed="false">
      <c r="A95" s="29"/>
      <c r="B95" s="29"/>
      <c r="C95" s="28"/>
      <c r="D95" s="29"/>
      <c r="E95" s="29"/>
      <c r="F95" s="29"/>
      <c r="G95" s="29"/>
      <c r="H95" s="29"/>
    </row>
    <row r="96" customFormat="false" ht="15.75" hidden="false" customHeight="true" outlineLevel="0" collapsed="false">
      <c r="A96" s="29"/>
      <c r="B96" s="29"/>
      <c r="C96" s="28"/>
      <c r="D96" s="29"/>
      <c r="E96" s="29"/>
      <c r="F96" s="29"/>
      <c r="G96" s="29"/>
      <c r="H96" s="29"/>
    </row>
    <row r="97" customFormat="false" ht="15.75" hidden="false" customHeight="true" outlineLevel="0" collapsed="false">
      <c r="A97" s="29"/>
      <c r="B97" s="29"/>
      <c r="C97" s="28"/>
      <c r="D97" s="29"/>
      <c r="E97" s="29"/>
      <c r="F97" s="29"/>
      <c r="G97" s="29"/>
      <c r="H97" s="29"/>
    </row>
    <row r="98" customFormat="false" ht="15.75" hidden="false" customHeight="true" outlineLevel="0" collapsed="false">
      <c r="A98" s="29"/>
      <c r="B98" s="29"/>
      <c r="C98" s="28"/>
      <c r="D98" s="29"/>
      <c r="E98" s="29"/>
      <c r="F98" s="29"/>
      <c r="G98" s="29"/>
      <c r="H98" s="29"/>
    </row>
    <row r="100" customFormat="false" ht="18" hidden="false" customHeight="true" outlineLevel="0" collapsed="false">
      <c r="A100" s="20" t="s">
        <v>130</v>
      </c>
      <c r="B100" s="20"/>
      <c r="C100" s="20"/>
      <c r="D100" s="20"/>
      <c r="E100" s="20"/>
      <c r="F100" s="20"/>
      <c r="G100" s="20"/>
      <c r="H100" s="20"/>
    </row>
    <row r="101" customFormat="false" ht="15.75" hidden="false" customHeight="true" outlineLevel="0" collapsed="false">
      <c r="A101" s="30" t="s">
        <v>131</v>
      </c>
      <c r="B101" s="30"/>
      <c r="C101" s="31" t="n">
        <f aca="false">COUNTIF(F14:F87,"سليم")</f>
        <v>0</v>
      </c>
      <c r="D101" s="31"/>
      <c r="E101" s="30" t="s">
        <v>132</v>
      </c>
      <c r="F101" s="30"/>
      <c r="G101" s="31" t="n">
        <f aca="false">COUNTIF(F14:F87,"ملاحظة")</f>
        <v>0</v>
      </c>
      <c r="H101" s="31"/>
    </row>
    <row r="102" customFormat="false" ht="15.75" hidden="false" customHeight="true" outlineLevel="0" collapsed="false">
      <c r="A102" s="30" t="s">
        <v>133</v>
      </c>
      <c r="B102" s="30"/>
      <c r="C102" s="31" t="n">
        <f aca="false">COUNTIF(F14:F87,"حرج")</f>
        <v>0</v>
      </c>
      <c r="D102" s="31"/>
      <c r="E102" s="30" t="s">
        <v>134</v>
      </c>
      <c r="F102" s="30"/>
      <c r="G102" s="32" t="str">
        <f aca="false">IFERROR((COUNTIF(F14:F87,"سليم"))/(COUNTIF(F14:F87,"سليم")+COUNTIF(F14:F87,"ملاحظة")+COUNTIF(F14:F87,"حرج")),"")</f>
        <v/>
      </c>
      <c r="H102" s="32"/>
    </row>
    <row r="103" customFormat="false" ht="15.75" hidden="false" customHeight="true" outlineLevel="0" collapsed="false">
      <c r="A103" s="30" t="s">
        <v>135</v>
      </c>
      <c r="B103" s="30"/>
      <c r="C103" s="33"/>
      <c r="D103" s="33"/>
      <c r="E103" s="30" t="s">
        <v>136</v>
      </c>
      <c r="F103" s="30"/>
      <c r="G103" s="33"/>
      <c r="H103" s="33"/>
    </row>
    <row r="104" customFormat="false" ht="15.75" hidden="false" customHeight="true" outlineLevel="0" collapsed="false">
      <c r="A104" s="30" t="s">
        <v>137</v>
      </c>
      <c r="B104" s="30"/>
      <c r="C104" s="33"/>
      <c r="D104" s="33"/>
      <c r="E104" s="30" t="s">
        <v>138</v>
      </c>
      <c r="F104" s="30"/>
      <c r="G104" s="33"/>
      <c r="H104" s="33"/>
    </row>
    <row r="105" customFormat="false" ht="19.5" hidden="false" customHeight="true" outlineLevel="0" collapsed="false">
      <c r="A105" s="34" t="s">
        <v>139</v>
      </c>
      <c r="B105" s="34"/>
      <c r="C105" s="35"/>
      <c r="D105" s="35"/>
      <c r="E105" s="35"/>
      <c r="F105" s="35"/>
      <c r="G105" s="35"/>
      <c r="H105" s="35"/>
    </row>
    <row r="106" customFormat="false" ht="15.75" hidden="false" customHeight="true" outlineLevel="0" collapsed="false">
      <c r="A106" s="30" t="s">
        <v>140</v>
      </c>
      <c r="B106" s="30"/>
      <c r="C106" s="33"/>
      <c r="D106" s="33"/>
      <c r="E106" s="30" t="s">
        <v>141</v>
      </c>
      <c r="F106" s="30"/>
      <c r="G106" s="31"/>
      <c r="H106" s="31"/>
    </row>
    <row r="107" customFormat="false" ht="15.75" hidden="false" customHeight="true" outlineLevel="0" collapsed="false">
      <c r="A107" s="30" t="s">
        <v>142</v>
      </c>
      <c r="B107" s="30"/>
      <c r="C107" s="31"/>
      <c r="D107" s="31"/>
      <c r="E107" s="30" t="s">
        <v>143</v>
      </c>
      <c r="F107" s="30"/>
      <c r="G107" s="31"/>
      <c r="H107" s="31"/>
    </row>
    <row r="109" customFormat="false" ht="19.5" hidden="false" customHeight="true" outlineLevel="0" collapsed="false">
      <c r="A109" s="36" t="s">
        <v>144</v>
      </c>
      <c r="B109" s="36"/>
      <c r="C109" s="36"/>
      <c r="D109" s="36"/>
      <c r="E109" s="36" t="s">
        <v>145</v>
      </c>
      <c r="F109" s="36"/>
      <c r="G109" s="36"/>
      <c r="H109" s="36"/>
    </row>
  </sheetData>
  <mergeCells count="75">
    <mergeCell ref="A1:H1"/>
    <mergeCell ref="A2:H2"/>
    <mergeCell ref="A3:H3"/>
    <mergeCell ref="A4:H4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1:H11"/>
    <mergeCell ref="A13:H13"/>
    <mergeCell ref="A24:H24"/>
    <mergeCell ref="A29:H29"/>
    <mergeCell ref="A37:H37"/>
    <mergeCell ref="A43:H43"/>
    <mergeCell ref="A49:H49"/>
    <mergeCell ref="A55:H55"/>
    <mergeCell ref="A62:H62"/>
    <mergeCell ref="A71:H71"/>
    <mergeCell ref="A78:H78"/>
    <mergeCell ref="A82:H82"/>
    <mergeCell ref="A89:H89"/>
    <mergeCell ref="A90:B90"/>
    <mergeCell ref="D90:E90"/>
    <mergeCell ref="A91:B91"/>
    <mergeCell ref="D91:E91"/>
    <mergeCell ref="A92:B92"/>
    <mergeCell ref="D92:E92"/>
    <mergeCell ref="A93:B93"/>
    <mergeCell ref="D93:E93"/>
    <mergeCell ref="A94:B94"/>
    <mergeCell ref="D94:E94"/>
    <mergeCell ref="A95:B95"/>
    <mergeCell ref="D95:E95"/>
    <mergeCell ref="A96:B96"/>
    <mergeCell ref="D96:E96"/>
    <mergeCell ref="A97:B97"/>
    <mergeCell ref="D97:E97"/>
    <mergeCell ref="A98:B98"/>
    <mergeCell ref="D98:E98"/>
    <mergeCell ref="A100:H100"/>
    <mergeCell ref="A101:B101"/>
    <mergeCell ref="C101:D101"/>
    <mergeCell ref="E101:F101"/>
    <mergeCell ref="G101:H101"/>
    <mergeCell ref="A102:B102"/>
    <mergeCell ref="C102:D102"/>
    <mergeCell ref="E102:F102"/>
    <mergeCell ref="G102:H102"/>
    <mergeCell ref="A103:B103"/>
    <mergeCell ref="C103:D103"/>
    <mergeCell ref="E103:F103"/>
    <mergeCell ref="G103:H103"/>
    <mergeCell ref="A104:B104"/>
    <mergeCell ref="C104:D104"/>
    <mergeCell ref="E104:F104"/>
    <mergeCell ref="G104:H104"/>
    <mergeCell ref="A105:B105"/>
    <mergeCell ref="C105:H105"/>
    <mergeCell ref="A106:B106"/>
    <mergeCell ref="C106:D106"/>
    <mergeCell ref="E106:F106"/>
    <mergeCell ref="G106:H106"/>
    <mergeCell ref="A107:B107"/>
    <mergeCell ref="C107:D107"/>
    <mergeCell ref="E107:F107"/>
    <mergeCell ref="G107:H107"/>
    <mergeCell ref="A109:D109"/>
    <mergeCell ref="E109:H109"/>
  </mergeCells>
  <dataValidations count="10">
    <dataValidation allowBlank="true" errorStyle="stop" operator="between" showDropDown="false" showErrorMessage="false" showInputMessage="false" sqref="F14:F23 F25:F28 F30:F36 F38:F42 F44:F48 F50:F54 F56:F61 F63:F70 F72:F77 F79:F81 F83:F87" type="list">
      <formula1>"سليم,ملاحظة,حرج,لا ينطبق"</formula1>
      <formula2>0</formula2>
    </dataValidation>
    <dataValidation allowBlank="true" errorStyle="stop" operator="between" showDropDown="false" showErrorMessage="false" showInputMessage="false" sqref="D14:D23 D25:D28 D30:D36 D38:D42 D44:D48 D50:D54 D56:D61 D63:D70 D72:D77 D79:D81 D83:D87" type="list">
      <formula1>"فحص نظري,قياس بالأجهزة,تشغيل واختبار,فحص يدوي"</formula1>
      <formula2>0</formula2>
    </dataValidation>
    <dataValidation allowBlank="true" errorStyle="stop" operator="between" showDropDown="false" showErrorMessage="false" showInputMessage="false" sqref="C14:C23 C25:C28 C30:C36 C38:C42 C44:C48 C50:C54 C56:C61 C63:C70 C72:C77 C79:C81 C83:C87" type="list">
      <formula1>"عام,حفّار,قلّاب,دريل,لودر"</formula1>
      <formula2>0</formula2>
    </dataValidation>
    <dataValidation allowBlank="true" errorStyle="stop" operator="between" showDropDown="false" showErrorMessage="false" showInputMessage="false" sqref="C91:C98" type="list">
      <formula1>"نعم,لا"</formula1>
      <formula2>0</formula2>
    </dataValidation>
    <dataValidation allowBlank="true" errorStyle="stop" operator="between" showDropDown="false" showErrorMessage="false" showInputMessage="false" sqref="C103" type="list">
      <formula1>"سليمة,صالحة بملاحظات,غير صالحة / حرجة"</formula1>
      <formula2>0</formula2>
    </dataValidation>
    <dataValidation allowBlank="true" errorStyle="stop" operator="between" showDropDown="false" showErrorMessage="false" showInputMessage="false" sqref="G103" type="list">
      <formula1>"قبول فني,قبول بملاحظات,صيانة فورية,مراقبة,إصلاح جذري (عمرة),استبدال,رفض فني,بيع / تخلّص"</formula1>
      <formula2>0</formula2>
    </dataValidation>
    <dataValidation allowBlank="true" errorStyle="stop" operator="between" showDropDown="false" showErrorMessage="false" showInputMessage="false" sqref="C104" type="list">
      <formula1>"معتمدة فنيًّا,مرفوضة,بانتظار استكمال"</formula1>
      <formula2>0</formula2>
    </dataValidation>
    <dataValidation allowBlank="true" errorStyle="stop" operator="between" showDropDown="false" showErrorMessage="false" showInputMessage="false" sqref="G104" type="list">
      <formula1>"منخفض,متوسط,مرتفع,حرج"</formula1>
      <formula2>0</formula2>
    </dataValidation>
    <dataValidation allowBlank="true" errorStyle="stop" operator="between" showDropDown="false" showErrorMessage="false" showInputMessage="false" sqref="C106" type="list">
      <formula1>"صيانة,تشغيل,مورد,أسطول,مشتريات"</formula1>
      <formula2>0</formula2>
    </dataValidation>
    <dataValidation allowBlank="true" errorStyle="stop" operator="between" showDropDown="false" showErrorMessage="false" showInputMessage="false" sqref="C105" type="list">
      <formula1>"يسمح بالتشغيل,يسمح بالتشغيل مع متابعة,يسمح بالتشغيل حتى موعد محدد,يمنع التشغيل,يحتاج اعتماد استثنائي"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8" min="7" style="0" width="20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7" t="s">
        <v>24</v>
      </c>
      <c r="B2" s="17"/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A3" s="18" t="s">
        <v>310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311</v>
      </c>
      <c r="B4" s="19"/>
      <c r="C4" s="19"/>
      <c r="D4" s="19"/>
      <c r="E4" s="19"/>
      <c r="F4" s="19"/>
      <c r="G4" s="19"/>
      <c r="H4" s="19"/>
    </row>
    <row r="5" customFormat="false" ht="18" hidden="false" customHeight="true" outlineLevel="0" collapsed="false">
      <c r="A5" s="20" t="s">
        <v>74</v>
      </c>
      <c r="B5" s="20"/>
      <c r="C5" s="20"/>
      <c r="D5" s="20"/>
      <c r="E5" s="20"/>
      <c r="F5" s="20"/>
      <c r="G5" s="20"/>
      <c r="H5" s="20"/>
    </row>
    <row r="6" customFormat="false" ht="15.75" hidden="false" customHeight="true" outlineLevel="0" collapsed="false">
      <c r="A6" s="21" t="s">
        <v>312</v>
      </c>
      <c r="B6" s="22" t="s">
        <v>297</v>
      </c>
      <c r="C6" s="22"/>
      <c r="D6" s="22"/>
      <c r="E6" s="21" t="s">
        <v>149</v>
      </c>
      <c r="F6" s="22" t="s">
        <v>313</v>
      </c>
      <c r="G6" s="22"/>
      <c r="H6" s="22"/>
    </row>
    <row r="7" customFormat="false" ht="15.75" hidden="false" customHeight="true" outlineLevel="0" collapsed="false">
      <c r="A7" s="21" t="s">
        <v>314</v>
      </c>
      <c r="B7" s="22" t="s">
        <v>315</v>
      </c>
      <c r="C7" s="22"/>
      <c r="D7" s="22"/>
      <c r="E7" s="21" t="s">
        <v>316</v>
      </c>
      <c r="F7" s="22" t="s">
        <v>317</v>
      </c>
      <c r="G7" s="22"/>
      <c r="H7" s="22"/>
    </row>
    <row r="8" customFormat="false" ht="15.75" hidden="false" customHeight="true" outlineLevel="0" collapsed="false">
      <c r="A8" s="21" t="s">
        <v>318</v>
      </c>
      <c r="B8" s="22" t="s">
        <v>319</v>
      </c>
      <c r="C8" s="22"/>
      <c r="D8" s="22"/>
      <c r="E8" s="21" t="s">
        <v>320</v>
      </c>
      <c r="F8" s="22" t="s">
        <v>321</v>
      </c>
      <c r="G8" s="22"/>
      <c r="H8" s="22"/>
    </row>
    <row r="9" customFormat="false" ht="15.75" hidden="false" customHeight="true" outlineLevel="0" collapsed="false">
      <c r="A9" s="21" t="s">
        <v>322</v>
      </c>
      <c r="B9" s="22" t="s">
        <v>323</v>
      </c>
      <c r="C9" s="22"/>
      <c r="D9" s="22"/>
      <c r="E9" s="21" t="s">
        <v>157</v>
      </c>
      <c r="F9" s="22" t="s">
        <v>324</v>
      </c>
      <c r="G9" s="22"/>
      <c r="H9" s="22"/>
    </row>
    <row r="10" customFormat="false" ht="15.75" hidden="false" customHeight="true" outlineLevel="0" collapsed="false">
      <c r="A10" s="29"/>
      <c r="B10" s="29"/>
      <c r="C10" s="29"/>
      <c r="D10" s="29"/>
      <c r="E10" s="21" t="s">
        <v>159</v>
      </c>
      <c r="F10" s="22" t="s">
        <v>325</v>
      </c>
      <c r="G10" s="22"/>
      <c r="H10" s="22"/>
    </row>
    <row r="11" customFormat="false" ht="24" hidden="false" customHeight="true" outlineLevel="0" collapsed="false">
      <c r="A11" s="23" t="s">
        <v>91</v>
      </c>
      <c r="B11" s="23"/>
      <c r="C11" s="23"/>
      <c r="D11" s="23"/>
      <c r="E11" s="23"/>
      <c r="F11" s="23"/>
      <c r="G11" s="23"/>
      <c r="H11" s="23"/>
    </row>
    <row r="12" customFormat="false" ht="25.5" hidden="false" customHeight="true" outlineLevel="0" collapsed="false">
      <c r="A12" s="24" t="s">
        <v>92</v>
      </c>
      <c r="B12" s="24" t="s">
        <v>93</v>
      </c>
      <c r="C12" s="24" t="s">
        <v>94</v>
      </c>
      <c r="D12" s="24" t="s">
        <v>95</v>
      </c>
      <c r="E12" s="24" t="s">
        <v>96</v>
      </c>
      <c r="F12" s="24" t="s">
        <v>97</v>
      </c>
      <c r="G12" s="24" t="s">
        <v>98</v>
      </c>
      <c r="H12" s="24" t="s">
        <v>99</v>
      </c>
    </row>
    <row r="13" customFormat="false" ht="16.5" hidden="false" customHeight="true" outlineLevel="0" collapsed="false">
      <c r="A13" s="25" t="s">
        <v>326</v>
      </c>
      <c r="B13" s="25"/>
      <c r="C13" s="25"/>
      <c r="D13" s="25"/>
      <c r="E13" s="25"/>
      <c r="F13" s="25"/>
      <c r="G13" s="25"/>
      <c r="H13" s="25"/>
    </row>
    <row r="14" customFormat="false" ht="15" hidden="false" customHeight="true" outlineLevel="0" collapsed="false">
      <c r="A14" s="5" t="n">
        <v>1</v>
      </c>
      <c r="B14" s="26" t="s">
        <v>327</v>
      </c>
      <c r="C14" s="27" t="s">
        <v>102</v>
      </c>
      <c r="D14" s="28"/>
      <c r="E14" s="9" t="s">
        <v>328</v>
      </c>
      <c r="F14" s="28"/>
      <c r="G14" s="29"/>
      <c r="H14" s="29"/>
    </row>
    <row r="15" customFormat="false" ht="15" hidden="false" customHeight="true" outlineLevel="0" collapsed="false">
      <c r="A15" s="5" t="n">
        <v>2</v>
      </c>
      <c r="B15" s="26" t="s">
        <v>329</v>
      </c>
      <c r="C15" s="27" t="s">
        <v>102</v>
      </c>
      <c r="D15" s="28"/>
      <c r="E15" s="9" t="s">
        <v>330</v>
      </c>
      <c r="F15" s="28"/>
      <c r="G15" s="29"/>
      <c r="H15" s="29"/>
    </row>
    <row r="16" customFormat="false" ht="15" hidden="false" customHeight="true" outlineLevel="0" collapsed="false">
      <c r="A16" s="5" t="n">
        <v>3</v>
      </c>
      <c r="B16" s="26" t="s">
        <v>331</v>
      </c>
      <c r="C16" s="27" t="s">
        <v>102</v>
      </c>
      <c r="D16" s="28"/>
      <c r="E16" s="9" t="s">
        <v>332</v>
      </c>
      <c r="F16" s="28"/>
      <c r="G16" s="29"/>
      <c r="H16" s="29"/>
    </row>
    <row r="17" customFormat="false" ht="15" hidden="false" customHeight="true" outlineLevel="0" collapsed="false">
      <c r="A17" s="5" t="n">
        <v>4</v>
      </c>
      <c r="B17" s="26" t="s">
        <v>333</v>
      </c>
      <c r="C17" s="27" t="s">
        <v>102</v>
      </c>
      <c r="D17" s="28"/>
      <c r="E17" s="9" t="s">
        <v>334</v>
      </c>
      <c r="F17" s="28"/>
      <c r="G17" s="29"/>
      <c r="H17" s="29"/>
    </row>
    <row r="18" customFormat="false" ht="16.5" hidden="false" customHeight="true" outlineLevel="0" collapsed="false">
      <c r="A18" s="25" t="s">
        <v>335</v>
      </c>
      <c r="B18" s="25"/>
      <c r="C18" s="25"/>
      <c r="D18" s="25"/>
      <c r="E18" s="25"/>
      <c r="F18" s="25"/>
      <c r="G18" s="25"/>
      <c r="H18" s="25"/>
    </row>
    <row r="19" customFormat="false" ht="15" hidden="false" customHeight="true" outlineLevel="0" collapsed="false">
      <c r="A19" s="5" t="n">
        <v>5</v>
      </c>
      <c r="B19" s="26" t="s">
        <v>336</v>
      </c>
      <c r="C19" s="27" t="s">
        <v>102</v>
      </c>
      <c r="D19" s="28"/>
      <c r="E19" s="9" t="s">
        <v>337</v>
      </c>
      <c r="F19" s="28"/>
      <c r="G19" s="29"/>
      <c r="H19" s="29"/>
    </row>
    <row r="20" customFormat="false" ht="15" hidden="false" customHeight="true" outlineLevel="0" collapsed="false">
      <c r="A20" s="5" t="n">
        <v>6</v>
      </c>
      <c r="B20" s="26" t="s">
        <v>338</v>
      </c>
      <c r="C20" s="27" t="s">
        <v>102</v>
      </c>
      <c r="D20" s="28"/>
      <c r="E20" s="9" t="s">
        <v>339</v>
      </c>
      <c r="F20" s="28"/>
      <c r="G20" s="29"/>
      <c r="H20" s="29"/>
    </row>
    <row r="21" customFormat="false" ht="15" hidden="false" customHeight="true" outlineLevel="0" collapsed="false">
      <c r="A21" s="5" t="n">
        <v>7</v>
      </c>
      <c r="B21" s="26" t="s">
        <v>340</v>
      </c>
      <c r="C21" s="27" t="s">
        <v>102</v>
      </c>
      <c r="D21" s="28"/>
      <c r="E21" s="9" t="s">
        <v>341</v>
      </c>
      <c r="F21" s="28"/>
      <c r="G21" s="29"/>
      <c r="H21" s="29"/>
    </row>
    <row r="22" customFormat="false" ht="15" hidden="false" customHeight="true" outlineLevel="0" collapsed="false">
      <c r="A22" s="5" t="n">
        <v>8</v>
      </c>
      <c r="B22" s="26" t="s">
        <v>342</v>
      </c>
      <c r="C22" s="27" t="s">
        <v>102</v>
      </c>
      <c r="D22" s="28"/>
      <c r="E22" s="9" t="s">
        <v>343</v>
      </c>
      <c r="F22" s="28"/>
      <c r="G22" s="29"/>
      <c r="H22" s="29"/>
    </row>
    <row r="23" customFormat="false" ht="15" hidden="false" customHeight="true" outlineLevel="0" collapsed="false">
      <c r="A23" s="5" t="n">
        <v>9</v>
      </c>
      <c r="B23" s="26" t="s">
        <v>344</v>
      </c>
      <c r="C23" s="27" t="s">
        <v>102</v>
      </c>
      <c r="D23" s="28"/>
      <c r="E23" s="9" t="s">
        <v>345</v>
      </c>
      <c r="F23" s="28"/>
      <c r="G23" s="29"/>
      <c r="H23" s="29"/>
    </row>
    <row r="24" customFormat="false" ht="16.5" hidden="false" customHeight="true" outlineLevel="0" collapsed="false">
      <c r="A24" s="25" t="s">
        <v>346</v>
      </c>
      <c r="B24" s="25"/>
      <c r="C24" s="25"/>
      <c r="D24" s="25"/>
      <c r="E24" s="25"/>
      <c r="F24" s="25"/>
      <c r="G24" s="25"/>
      <c r="H24" s="25"/>
    </row>
    <row r="25" customFormat="false" ht="15" hidden="false" customHeight="true" outlineLevel="0" collapsed="false">
      <c r="A25" s="5" t="n">
        <v>10</v>
      </c>
      <c r="B25" s="26" t="s">
        <v>347</v>
      </c>
      <c r="C25" s="27" t="s">
        <v>102</v>
      </c>
      <c r="D25" s="28"/>
      <c r="E25" s="9" t="s">
        <v>348</v>
      </c>
      <c r="F25" s="28"/>
      <c r="G25" s="29"/>
      <c r="H25" s="29"/>
    </row>
    <row r="26" customFormat="false" ht="15" hidden="false" customHeight="true" outlineLevel="0" collapsed="false">
      <c r="A26" s="5" t="n">
        <v>11</v>
      </c>
      <c r="B26" s="26" t="s">
        <v>349</v>
      </c>
      <c r="C26" s="27" t="s">
        <v>102</v>
      </c>
      <c r="D26" s="28"/>
      <c r="E26" s="9" t="s">
        <v>350</v>
      </c>
      <c r="F26" s="28"/>
      <c r="G26" s="29"/>
      <c r="H26" s="29"/>
    </row>
    <row r="27" customFormat="false" ht="15" hidden="false" customHeight="true" outlineLevel="0" collapsed="false">
      <c r="A27" s="5" t="n">
        <v>12</v>
      </c>
      <c r="B27" s="26" t="s">
        <v>351</v>
      </c>
      <c r="C27" s="27" t="s">
        <v>102</v>
      </c>
      <c r="D27" s="28"/>
      <c r="E27" s="9" t="s">
        <v>352</v>
      </c>
      <c r="F27" s="28"/>
      <c r="G27" s="29"/>
      <c r="H27" s="29"/>
    </row>
    <row r="28" customFormat="false" ht="15" hidden="false" customHeight="true" outlineLevel="0" collapsed="false">
      <c r="A28" s="5" t="n">
        <v>13</v>
      </c>
      <c r="B28" s="26" t="s">
        <v>353</v>
      </c>
      <c r="C28" s="27" t="s">
        <v>102</v>
      </c>
      <c r="D28" s="28"/>
      <c r="E28" s="9" t="s">
        <v>354</v>
      </c>
      <c r="F28" s="28"/>
      <c r="G28" s="29"/>
      <c r="H28" s="29"/>
    </row>
    <row r="29" customFormat="false" ht="15" hidden="false" customHeight="true" outlineLevel="0" collapsed="false">
      <c r="A29" s="5" t="n">
        <v>14</v>
      </c>
      <c r="B29" s="26" t="s">
        <v>355</v>
      </c>
      <c r="C29" s="27" t="s">
        <v>102</v>
      </c>
      <c r="D29" s="28"/>
      <c r="E29" s="9" t="s">
        <v>356</v>
      </c>
      <c r="F29" s="28"/>
      <c r="G29" s="29"/>
      <c r="H29" s="29"/>
    </row>
    <row r="30" customFormat="false" ht="16.5" hidden="false" customHeight="true" outlineLevel="0" collapsed="false">
      <c r="A30" s="25" t="s">
        <v>357</v>
      </c>
      <c r="B30" s="25"/>
      <c r="C30" s="25"/>
      <c r="D30" s="25"/>
      <c r="E30" s="25"/>
      <c r="F30" s="25"/>
      <c r="G30" s="25"/>
      <c r="H30" s="25"/>
    </row>
    <row r="31" customFormat="false" ht="15" hidden="false" customHeight="true" outlineLevel="0" collapsed="false">
      <c r="A31" s="5" t="n">
        <v>15</v>
      </c>
      <c r="B31" s="26" t="s">
        <v>358</v>
      </c>
      <c r="C31" s="27" t="s">
        <v>102</v>
      </c>
      <c r="D31" s="28"/>
      <c r="E31" s="9" t="s">
        <v>359</v>
      </c>
      <c r="F31" s="28"/>
      <c r="G31" s="29"/>
      <c r="H31" s="29"/>
    </row>
    <row r="32" customFormat="false" ht="15" hidden="false" customHeight="true" outlineLevel="0" collapsed="false">
      <c r="A32" s="5" t="n">
        <v>16</v>
      </c>
      <c r="B32" s="26" t="s">
        <v>360</v>
      </c>
      <c r="C32" s="27" t="s">
        <v>102</v>
      </c>
      <c r="D32" s="28"/>
      <c r="E32" s="9" t="s">
        <v>361</v>
      </c>
      <c r="F32" s="28"/>
      <c r="G32" s="29"/>
      <c r="H32" s="29"/>
    </row>
    <row r="33" customFormat="false" ht="15" hidden="false" customHeight="true" outlineLevel="0" collapsed="false">
      <c r="A33" s="5" t="n">
        <v>17</v>
      </c>
      <c r="B33" s="26" t="s">
        <v>362</v>
      </c>
      <c r="C33" s="27" t="s">
        <v>102</v>
      </c>
      <c r="D33" s="28"/>
      <c r="E33" s="9" t="s">
        <v>363</v>
      </c>
      <c r="F33" s="28"/>
      <c r="G33" s="29"/>
      <c r="H33" s="29"/>
    </row>
    <row r="35" customFormat="false" ht="18" hidden="false" customHeight="true" outlineLevel="0" collapsed="false">
      <c r="A35" s="38" t="s">
        <v>271</v>
      </c>
      <c r="B35" s="38"/>
      <c r="C35" s="38"/>
      <c r="D35" s="38"/>
      <c r="E35" s="38"/>
      <c r="F35" s="38"/>
      <c r="G35" s="38"/>
      <c r="H35" s="38"/>
    </row>
    <row r="36" customFormat="false" ht="24" hidden="false" customHeight="true" outlineLevel="0" collapsed="false">
      <c r="A36" s="39" t="s">
        <v>272</v>
      </c>
      <c r="B36" s="39"/>
      <c r="C36" s="39" t="s">
        <v>273</v>
      </c>
      <c r="D36" s="39" t="s">
        <v>274</v>
      </c>
      <c r="E36" s="39"/>
      <c r="F36" s="39" t="s">
        <v>275</v>
      </c>
      <c r="G36" s="39" t="s">
        <v>276</v>
      </c>
      <c r="H36" s="39" t="s">
        <v>277</v>
      </c>
    </row>
    <row r="37" customFormat="false" ht="15.75" hidden="false" customHeight="true" outlineLevel="0" collapsed="false">
      <c r="A37" s="29"/>
      <c r="B37" s="29"/>
      <c r="C37" s="28"/>
      <c r="D37" s="29"/>
      <c r="E37" s="29"/>
      <c r="F37" s="29"/>
      <c r="G37" s="29"/>
      <c r="H37" s="29"/>
    </row>
    <row r="38" customFormat="false" ht="15.75" hidden="false" customHeight="true" outlineLevel="0" collapsed="false">
      <c r="A38" s="29"/>
      <c r="B38" s="29"/>
      <c r="C38" s="28"/>
      <c r="D38" s="29"/>
      <c r="E38" s="29"/>
      <c r="F38" s="29"/>
      <c r="G38" s="29"/>
      <c r="H38" s="29"/>
    </row>
    <row r="39" customFormat="false" ht="15.75" hidden="false" customHeight="true" outlineLevel="0" collapsed="false">
      <c r="A39" s="29"/>
      <c r="B39" s="29"/>
      <c r="C39" s="28"/>
      <c r="D39" s="29"/>
      <c r="E39" s="29"/>
      <c r="F39" s="29"/>
      <c r="G39" s="29"/>
      <c r="H39" s="29"/>
    </row>
    <row r="40" customFormat="false" ht="15.75" hidden="false" customHeight="true" outlineLevel="0" collapsed="false">
      <c r="A40" s="29"/>
      <c r="B40" s="29"/>
      <c r="C40" s="28"/>
      <c r="D40" s="29"/>
      <c r="E40" s="29"/>
      <c r="F40" s="29"/>
      <c r="G40" s="29"/>
      <c r="H40" s="29"/>
    </row>
    <row r="41" customFormat="false" ht="15.75" hidden="false" customHeight="true" outlineLevel="0" collapsed="false">
      <c r="A41" s="29"/>
      <c r="B41" s="29"/>
      <c r="C41" s="28"/>
      <c r="D41" s="29"/>
      <c r="E41" s="29"/>
      <c r="F41" s="29"/>
      <c r="G41" s="29"/>
      <c r="H41" s="29"/>
    </row>
    <row r="42" customFormat="false" ht="15.75" hidden="false" customHeight="true" outlineLevel="0" collapsed="false">
      <c r="A42" s="29"/>
      <c r="B42" s="29"/>
      <c r="C42" s="28"/>
      <c r="D42" s="29"/>
      <c r="E42" s="29"/>
      <c r="F42" s="29"/>
      <c r="G42" s="29"/>
      <c r="H42" s="29"/>
    </row>
    <row r="43" customFormat="false" ht="15.75" hidden="false" customHeight="true" outlineLevel="0" collapsed="false">
      <c r="A43" s="29"/>
      <c r="B43" s="29"/>
      <c r="C43" s="28"/>
      <c r="D43" s="29"/>
      <c r="E43" s="29"/>
      <c r="F43" s="29"/>
      <c r="G43" s="29"/>
      <c r="H43" s="29"/>
    </row>
    <row r="44" customFormat="false" ht="15.75" hidden="false" customHeight="true" outlineLevel="0" collapsed="false">
      <c r="A44" s="29"/>
      <c r="B44" s="29"/>
      <c r="C44" s="28"/>
      <c r="D44" s="29"/>
      <c r="E44" s="29"/>
      <c r="F44" s="29"/>
      <c r="G44" s="29"/>
      <c r="H44" s="29"/>
    </row>
    <row r="46" customFormat="false" ht="18" hidden="false" customHeight="true" outlineLevel="0" collapsed="false">
      <c r="A46" s="20" t="s">
        <v>130</v>
      </c>
      <c r="B46" s="20"/>
      <c r="C46" s="20"/>
      <c r="D46" s="20"/>
      <c r="E46" s="20"/>
      <c r="F46" s="20"/>
      <c r="G46" s="20"/>
      <c r="H46" s="20"/>
    </row>
    <row r="47" customFormat="false" ht="15.75" hidden="false" customHeight="true" outlineLevel="0" collapsed="false">
      <c r="A47" s="30" t="s">
        <v>131</v>
      </c>
      <c r="B47" s="30"/>
      <c r="C47" s="31" t="n">
        <f aca="false">COUNTIF(F14:F33,"سليم")</f>
        <v>0</v>
      </c>
      <c r="D47" s="31"/>
      <c r="E47" s="30" t="s">
        <v>132</v>
      </c>
      <c r="F47" s="30"/>
      <c r="G47" s="31" t="n">
        <f aca="false">COUNTIF(F14:F33,"ملاحظة")</f>
        <v>0</v>
      </c>
      <c r="H47" s="31"/>
    </row>
    <row r="48" customFormat="false" ht="15.75" hidden="false" customHeight="true" outlineLevel="0" collapsed="false">
      <c r="A48" s="30" t="s">
        <v>133</v>
      </c>
      <c r="B48" s="30"/>
      <c r="C48" s="31" t="n">
        <f aca="false">COUNTIF(F14:F33,"حرج")</f>
        <v>0</v>
      </c>
      <c r="D48" s="31"/>
      <c r="E48" s="30" t="s">
        <v>134</v>
      </c>
      <c r="F48" s="30"/>
      <c r="G48" s="32" t="str">
        <f aca="false">IFERROR((COUNTIF(F14:F33,"سليم"))/(COUNTIF(F14:F33,"سليم")+COUNTIF(F14:F33,"ملاحظة")+COUNTIF(F14:F33,"حرج")),"")</f>
        <v/>
      </c>
      <c r="H48" s="32"/>
    </row>
    <row r="49" customFormat="false" ht="15.75" hidden="false" customHeight="true" outlineLevel="0" collapsed="false">
      <c r="A49" s="30" t="s">
        <v>135</v>
      </c>
      <c r="B49" s="30"/>
      <c r="C49" s="33"/>
      <c r="D49" s="33"/>
      <c r="E49" s="30" t="s">
        <v>136</v>
      </c>
      <c r="F49" s="30"/>
      <c r="G49" s="33"/>
      <c r="H49" s="33"/>
    </row>
    <row r="50" customFormat="false" ht="15.75" hidden="false" customHeight="true" outlineLevel="0" collapsed="false">
      <c r="A50" s="30" t="s">
        <v>137</v>
      </c>
      <c r="B50" s="30"/>
      <c r="C50" s="33"/>
      <c r="D50" s="33"/>
      <c r="E50" s="30" t="s">
        <v>138</v>
      </c>
      <c r="F50" s="30"/>
      <c r="G50" s="33"/>
      <c r="H50" s="33"/>
    </row>
    <row r="51" customFormat="false" ht="19.5" hidden="false" customHeight="true" outlineLevel="0" collapsed="false">
      <c r="A51" s="34" t="s">
        <v>139</v>
      </c>
      <c r="B51" s="34"/>
      <c r="C51" s="35"/>
      <c r="D51" s="35"/>
      <c r="E51" s="35"/>
      <c r="F51" s="35"/>
      <c r="G51" s="35"/>
      <c r="H51" s="35"/>
    </row>
    <row r="52" customFormat="false" ht="15.75" hidden="false" customHeight="true" outlineLevel="0" collapsed="false">
      <c r="A52" s="30" t="s">
        <v>140</v>
      </c>
      <c r="B52" s="30"/>
      <c r="C52" s="33"/>
      <c r="D52" s="33"/>
      <c r="E52" s="30" t="s">
        <v>141</v>
      </c>
      <c r="F52" s="30"/>
      <c r="G52" s="31"/>
      <c r="H52" s="31"/>
    </row>
    <row r="53" customFormat="false" ht="15.75" hidden="false" customHeight="true" outlineLevel="0" collapsed="false">
      <c r="A53" s="30" t="s">
        <v>142</v>
      </c>
      <c r="B53" s="30"/>
      <c r="C53" s="31"/>
      <c r="D53" s="31"/>
      <c r="E53" s="30" t="s">
        <v>143</v>
      </c>
      <c r="F53" s="30"/>
      <c r="G53" s="31"/>
      <c r="H53" s="31"/>
    </row>
    <row r="55" customFormat="false" ht="19.5" hidden="false" customHeight="true" outlineLevel="0" collapsed="false">
      <c r="A55" s="36" t="s">
        <v>144</v>
      </c>
      <c r="B55" s="36"/>
      <c r="C55" s="36"/>
      <c r="D55" s="36"/>
      <c r="E55" s="36" t="s">
        <v>145</v>
      </c>
      <c r="F55" s="36"/>
      <c r="G55" s="36"/>
      <c r="H55" s="36"/>
    </row>
  </sheetData>
  <mergeCells count="68">
    <mergeCell ref="A1:H1"/>
    <mergeCell ref="A2:H2"/>
    <mergeCell ref="A3:H3"/>
    <mergeCell ref="A4:H4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1:H11"/>
    <mergeCell ref="A13:H13"/>
    <mergeCell ref="A18:H18"/>
    <mergeCell ref="A24:H24"/>
    <mergeCell ref="A30:H30"/>
    <mergeCell ref="A35:H35"/>
    <mergeCell ref="A36:B36"/>
    <mergeCell ref="D36:E36"/>
    <mergeCell ref="A37:B37"/>
    <mergeCell ref="D37:E37"/>
    <mergeCell ref="A38:B38"/>
    <mergeCell ref="D38:E38"/>
    <mergeCell ref="A39:B39"/>
    <mergeCell ref="D39:E39"/>
    <mergeCell ref="A40:B40"/>
    <mergeCell ref="D40:E40"/>
    <mergeCell ref="A41:B41"/>
    <mergeCell ref="D41:E41"/>
    <mergeCell ref="A42:B42"/>
    <mergeCell ref="D42:E42"/>
    <mergeCell ref="A43:B43"/>
    <mergeCell ref="D43:E43"/>
    <mergeCell ref="A44:B44"/>
    <mergeCell ref="D44:E44"/>
    <mergeCell ref="A46:H46"/>
    <mergeCell ref="A47:B47"/>
    <mergeCell ref="C47:D47"/>
    <mergeCell ref="E47:F47"/>
    <mergeCell ref="G47:H47"/>
    <mergeCell ref="A48:B48"/>
    <mergeCell ref="C48:D48"/>
    <mergeCell ref="E48:F48"/>
    <mergeCell ref="G48:H48"/>
    <mergeCell ref="A49:B49"/>
    <mergeCell ref="C49:D49"/>
    <mergeCell ref="E49:F49"/>
    <mergeCell ref="G49:H49"/>
    <mergeCell ref="A50:B50"/>
    <mergeCell ref="C50:D50"/>
    <mergeCell ref="E50:F50"/>
    <mergeCell ref="G50:H50"/>
    <mergeCell ref="A51:B51"/>
    <mergeCell ref="C51:H51"/>
    <mergeCell ref="A52:B52"/>
    <mergeCell ref="C52:D52"/>
    <mergeCell ref="E52:F52"/>
    <mergeCell ref="G52:H52"/>
    <mergeCell ref="A53:B53"/>
    <mergeCell ref="C53:D53"/>
    <mergeCell ref="E53:F53"/>
    <mergeCell ref="G53:H53"/>
    <mergeCell ref="A55:D55"/>
    <mergeCell ref="E55:H55"/>
  </mergeCells>
  <dataValidations count="10">
    <dataValidation allowBlank="true" errorStyle="stop" operator="between" showDropDown="false" showErrorMessage="false" showInputMessage="false" sqref="F14:F17 F19:F23 F25:F29 F31:F33" type="list">
      <formula1>"سليم,ملاحظة,حرج,لا ينطبق"</formula1>
      <formula2>0</formula2>
    </dataValidation>
    <dataValidation allowBlank="true" errorStyle="stop" operator="between" showDropDown="false" showErrorMessage="false" showInputMessage="false" sqref="D14:D17 D19:D23 D25:D29 D31:D33" type="list">
      <formula1>"فحص نظري,قياس بالأجهزة,تشغيل واختبار,فحص يدوي"</formula1>
      <formula2>0</formula2>
    </dataValidation>
    <dataValidation allowBlank="true" errorStyle="stop" operator="between" showDropDown="false" showErrorMessage="false" showInputMessage="false" sqref="C14:C17 C19:C23 C25:C29 C31:C33" type="list">
      <formula1>"عام,حفّار,قلّاب,دريل,لودر"</formula1>
      <formula2>0</formula2>
    </dataValidation>
    <dataValidation allowBlank="true" errorStyle="stop" operator="between" showDropDown="false" showErrorMessage="false" showInputMessage="false" sqref="C37:C44" type="list">
      <formula1>"نعم,لا"</formula1>
      <formula2>0</formula2>
    </dataValidation>
    <dataValidation allowBlank="true" errorStyle="stop" operator="between" showDropDown="false" showErrorMessage="false" showInputMessage="false" sqref="C49" type="list">
      <formula1>"سليمة,صالحة بملاحظات,غير صالحة / حرجة"</formula1>
      <formula2>0</formula2>
    </dataValidation>
    <dataValidation allowBlank="true" errorStyle="stop" operator="between" showDropDown="false" showErrorMessage="false" showInputMessage="false" sqref="G49" type="list">
      <formula1>"قبول فني,قبول بملاحظات,صيانة فورية,مراقبة,إصلاح جذري (عمرة),استبدال,رفض فني,بيع / تخلّص"</formula1>
      <formula2>0</formula2>
    </dataValidation>
    <dataValidation allowBlank="true" errorStyle="stop" operator="between" showDropDown="false" showErrorMessage="false" showInputMessage="false" sqref="C50" type="list">
      <formula1>"معتمدة فنيًّا,مرفوضة,بانتظار استكمال"</formula1>
      <formula2>0</formula2>
    </dataValidation>
    <dataValidation allowBlank="true" errorStyle="stop" operator="between" showDropDown="false" showErrorMessage="false" showInputMessage="false" sqref="G50" type="list">
      <formula1>"منخفض,متوسط,مرتفع,حرج"</formula1>
      <formula2>0</formula2>
    </dataValidation>
    <dataValidation allowBlank="true" errorStyle="stop" operator="between" showDropDown="false" showErrorMessage="false" showInputMessage="false" sqref="C52" type="list">
      <formula1>"صيانة,تشغيل,مورد,أسطول,مشتريات"</formula1>
      <formula2>0</formula2>
    </dataValidation>
    <dataValidation allowBlank="true" errorStyle="stop" operator="between" showDropDown="false" showErrorMessage="false" showInputMessage="false" sqref="C51" type="list">
      <formula1>"يسمح بالتشغيل,يسمح بالتشغيل مع متابعة,يسمح بالتشغيل حتى موعد محدد,يمنع التشغيل,يحتاج اعتماد استثنائي"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8" min="7" style="0" width="20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7" t="s">
        <v>28</v>
      </c>
      <c r="B2" s="17"/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A3" s="18" t="s">
        <v>364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365</v>
      </c>
      <c r="B4" s="19"/>
      <c r="C4" s="19"/>
      <c r="D4" s="19"/>
      <c r="E4" s="19"/>
      <c r="F4" s="19"/>
      <c r="G4" s="19"/>
      <c r="H4" s="19"/>
    </row>
    <row r="5" customFormat="false" ht="18" hidden="false" customHeight="true" outlineLevel="0" collapsed="false">
      <c r="A5" s="20" t="s">
        <v>74</v>
      </c>
      <c r="B5" s="20"/>
      <c r="C5" s="20"/>
      <c r="D5" s="20"/>
      <c r="E5" s="20"/>
      <c r="F5" s="20"/>
      <c r="G5" s="20"/>
      <c r="H5" s="20"/>
    </row>
    <row r="6" customFormat="false" ht="15.75" hidden="false" customHeight="true" outlineLevel="0" collapsed="false">
      <c r="A6" s="21" t="s">
        <v>75</v>
      </c>
      <c r="B6" s="22" t="s">
        <v>148</v>
      </c>
      <c r="C6" s="22"/>
      <c r="D6" s="22"/>
      <c r="E6" s="21" t="s">
        <v>149</v>
      </c>
      <c r="F6" s="22" t="s">
        <v>366</v>
      </c>
      <c r="G6" s="22"/>
      <c r="H6" s="22"/>
    </row>
    <row r="7" customFormat="false" ht="15.75" hidden="false" customHeight="true" outlineLevel="0" collapsed="false">
      <c r="A7" s="21" t="s">
        <v>79</v>
      </c>
      <c r="B7" s="22" t="s">
        <v>151</v>
      </c>
      <c r="C7" s="22"/>
      <c r="D7" s="22"/>
      <c r="E7" s="21" t="s">
        <v>142</v>
      </c>
      <c r="F7" s="22" t="s">
        <v>152</v>
      </c>
      <c r="G7" s="22"/>
      <c r="H7" s="22"/>
    </row>
    <row r="8" customFormat="false" ht="15.75" hidden="false" customHeight="true" outlineLevel="0" collapsed="false">
      <c r="A8" s="21" t="s">
        <v>153</v>
      </c>
      <c r="B8" s="22" t="s">
        <v>154</v>
      </c>
      <c r="C8" s="22"/>
      <c r="D8" s="22"/>
      <c r="E8" s="21" t="s">
        <v>87</v>
      </c>
      <c r="F8" s="22" t="s">
        <v>155</v>
      </c>
      <c r="G8" s="22"/>
      <c r="H8" s="22"/>
    </row>
    <row r="9" customFormat="false" ht="15.75" hidden="false" customHeight="true" outlineLevel="0" collapsed="false">
      <c r="A9" s="21" t="s">
        <v>83</v>
      </c>
      <c r="B9" s="22" t="s">
        <v>156</v>
      </c>
      <c r="C9" s="22"/>
      <c r="D9" s="22"/>
      <c r="E9" s="21" t="s">
        <v>157</v>
      </c>
      <c r="F9" s="22" t="s">
        <v>158</v>
      </c>
      <c r="G9" s="22"/>
      <c r="H9" s="22"/>
    </row>
    <row r="10" customFormat="false" ht="15.75" hidden="false" customHeight="true" outlineLevel="0" collapsed="false">
      <c r="A10" s="29"/>
      <c r="B10" s="29"/>
      <c r="C10" s="29"/>
      <c r="D10" s="29"/>
      <c r="E10" s="21" t="s">
        <v>159</v>
      </c>
      <c r="F10" s="22" t="s">
        <v>160</v>
      </c>
      <c r="G10" s="22"/>
      <c r="H10" s="22"/>
    </row>
    <row r="11" customFormat="false" ht="24" hidden="false" customHeight="true" outlineLevel="0" collapsed="false">
      <c r="A11" s="23" t="s">
        <v>91</v>
      </c>
      <c r="B11" s="23"/>
      <c r="C11" s="23"/>
      <c r="D11" s="23"/>
      <c r="E11" s="23"/>
      <c r="F11" s="23"/>
      <c r="G11" s="23"/>
      <c r="H11" s="23"/>
    </row>
    <row r="12" customFormat="false" ht="25.5" hidden="false" customHeight="true" outlineLevel="0" collapsed="false">
      <c r="A12" s="24" t="s">
        <v>92</v>
      </c>
      <c r="B12" s="24" t="s">
        <v>93</v>
      </c>
      <c r="C12" s="24" t="s">
        <v>94</v>
      </c>
      <c r="D12" s="24" t="s">
        <v>95</v>
      </c>
      <c r="E12" s="24" t="s">
        <v>96</v>
      </c>
      <c r="F12" s="24" t="s">
        <v>97</v>
      </c>
      <c r="G12" s="24" t="s">
        <v>98</v>
      </c>
      <c r="H12" s="24" t="s">
        <v>99</v>
      </c>
    </row>
    <row r="13" customFormat="false" ht="16.5" hidden="false" customHeight="true" outlineLevel="0" collapsed="false">
      <c r="A13" s="25" t="s">
        <v>367</v>
      </c>
      <c r="B13" s="25"/>
      <c r="C13" s="25"/>
      <c r="D13" s="25"/>
      <c r="E13" s="25"/>
      <c r="F13" s="25"/>
      <c r="G13" s="25"/>
      <c r="H13" s="25"/>
    </row>
    <row r="14" customFormat="false" ht="15" hidden="false" customHeight="true" outlineLevel="0" collapsed="false">
      <c r="A14" s="5" t="n">
        <v>1</v>
      </c>
      <c r="B14" s="26" t="s">
        <v>368</v>
      </c>
      <c r="C14" s="27" t="s">
        <v>102</v>
      </c>
      <c r="D14" s="28"/>
      <c r="E14" s="9" t="s">
        <v>369</v>
      </c>
      <c r="F14" s="28"/>
      <c r="G14" s="29"/>
      <c r="H14" s="29"/>
    </row>
    <row r="15" customFormat="false" ht="15" hidden="false" customHeight="true" outlineLevel="0" collapsed="false">
      <c r="A15" s="5" t="n">
        <v>2</v>
      </c>
      <c r="B15" s="26" t="s">
        <v>370</v>
      </c>
      <c r="C15" s="27" t="s">
        <v>102</v>
      </c>
      <c r="D15" s="28"/>
      <c r="E15" s="9" t="s">
        <v>371</v>
      </c>
      <c r="F15" s="28"/>
      <c r="G15" s="29"/>
      <c r="H15" s="29"/>
    </row>
    <row r="16" customFormat="false" ht="15" hidden="false" customHeight="true" outlineLevel="0" collapsed="false">
      <c r="A16" s="5" t="n">
        <v>3</v>
      </c>
      <c r="B16" s="26" t="s">
        <v>372</v>
      </c>
      <c r="C16" s="27" t="s">
        <v>102</v>
      </c>
      <c r="D16" s="28"/>
      <c r="E16" s="9" t="s">
        <v>373</v>
      </c>
      <c r="F16" s="28"/>
      <c r="G16" s="29"/>
      <c r="H16" s="29"/>
    </row>
    <row r="17" customFormat="false" ht="16.5" hidden="false" customHeight="true" outlineLevel="0" collapsed="false">
      <c r="A17" s="25" t="s">
        <v>374</v>
      </c>
      <c r="B17" s="25"/>
      <c r="C17" s="25"/>
      <c r="D17" s="25"/>
      <c r="E17" s="25"/>
      <c r="F17" s="25"/>
      <c r="G17" s="25"/>
      <c r="H17" s="25"/>
    </row>
    <row r="18" customFormat="false" ht="15" hidden="false" customHeight="true" outlineLevel="0" collapsed="false">
      <c r="A18" s="5" t="n">
        <v>4</v>
      </c>
      <c r="B18" s="26" t="s">
        <v>375</v>
      </c>
      <c r="C18" s="27" t="s">
        <v>102</v>
      </c>
      <c r="D18" s="28"/>
      <c r="E18" s="9" t="s">
        <v>376</v>
      </c>
      <c r="F18" s="28"/>
      <c r="G18" s="29"/>
      <c r="H18" s="29"/>
    </row>
    <row r="19" customFormat="false" ht="15" hidden="false" customHeight="true" outlineLevel="0" collapsed="false">
      <c r="A19" s="5" t="n">
        <v>5</v>
      </c>
      <c r="B19" s="26" t="s">
        <v>377</v>
      </c>
      <c r="C19" s="27" t="s">
        <v>102</v>
      </c>
      <c r="D19" s="28"/>
      <c r="E19" s="9" t="s">
        <v>174</v>
      </c>
      <c r="F19" s="28"/>
      <c r="G19" s="29"/>
      <c r="H19" s="29"/>
    </row>
    <row r="20" customFormat="false" ht="15" hidden="false" customHeight="true" outlineLevel="0" collapsed="false">
      <c r="A20" s="5" t="n">
        <v>6</v>
      </c>
      <c r="B20" s="26" t="s">
        <v>378</v>
      </c>
      <c r="C20" s="27" t="s">
        <v>102</v>
      </c>
      <c r="D20" s="28"/>
      <c r="E20" s="9" t="s">
        <v>379</v>
      </c>
      <c r="F20" s="28"/>
      <c r="G20" s="29"/>
      <c r="H20" s="29"/>
    </row>
    <row r="21" customFormat="false" ht="15" hidden="false" customHeight="true" outlineLevel="0" collapsed="false">
      <c r="A21" s="5" t="n">
        <v>7</v>
      </c>
      <c r="B21" s="26" t="s">
        <v>380</v>
      </c>
      <c r="C21" s="27" t="s">
        <v>102</v>
      </c>
      <c r="D21" s="28"/>
      <c r="E21" s="9" t="s">
        <v>381</v>
      </c>
      <c r="F21" s="28"/>
      <c r="G21" s="29"/>
      <c r="H21" s="29"/>
    </row>
    <row r="22" customFormat="false" ht="16.5" hidden="false" customHeight="true" outlineLevel="0" collapsed="false">
      <c r="A22" s="25" t="s">
        <v>382</v>
      </c>
      <c r="B22" s="25"/>
      <c r="C22" s="25"/>
      <c r="D22" s="25"/>
      <c r="E22" s="25"/>
      <c r="F22" s="25"/>
      <c r="G22" s="25"/>
      <c r="H22" s="25"/>
    </row>
    <row r="23" customFormat="false" ht="15" hidden="false" customHeight="true" outlineLevel="0" collapsed="false">
      <c r="A23" s="5" t="n">
        <v>8</v>
      </c>
      <c r="B23" s="26" t="s">
        <v>383</v>
      </c>
      <c r="C23" s="27" t="s">
        <v>102</v>
      </c>
      <c r="D23" s="28"/>
      <c r="E23" s="9" t="s">
        <v>384</v>
      </c>
      <c r="F23" s="28"/>
      <c r="G23" s="29"/>
      <c r="H23" s="29"/>
    </row>
    <row r="24" customFormat="false" ht="15" hidden="false" customHeight="true" outlineLevel="0" collapsed="false">
      <c r="A24" s="5" t="n">
        <v>9</v>
      </c>
      <c r="B24" s="26" t="s">
        <v>385</v>
      </c>
      <c r="C24" s="27" t="s">
        <v>102</v>
      </c>
      <c r="D24" s="28"/>
      <c r="E24" s="9" t="s">
        <v>386</v>
      </c>
      <c r="F24" s="28"/>
      <c r="G24" s="29"/>
      <c r="H24" s="29"/>
    </row>
    <row r="25" customFormat="false" ht="15" hidden="false" customHeight="true" outlineLevel="0" collapsed="false">
      <c r="A25" s="5" t="n">
        <v>10</v>
      </c>
      <c r="B25" s="26" t="s">
        <v>387</v>
      </c>
      <c r="C25" s="27" t="s">
        <v>102</v>
      </c>
      <c r="D25" s="28"/>
      <c r="E25" s="9" t="s">
        <v>363</v>
      </c>
      <c r="F25" s="28"/>
      <c r="G25" s="29"/>
      <c r="H25" s="29"/>
    </row>
    <row r="27" customFormat="false" ht="18" hidden="false" customHeight="true" outlineLevel="0" collapsed="false">
      <c r="A27" s="38" t="s">
        <v>271</v>
      </c>
      <c r="B27" s="38"/>
      <c r="C27" s="38"/>
      <c r="D27" s="38"/>
      <c r="E27" s="38"/>
      <c r="F27" s="38"/>
      <c r="G27" s="38"/>
      <c r="H27" s="38"/>
    </row>
    <row r="28" customFormat="false" ht="24" hidden="false" customHeight="true" outlineLevel="0" collapsed="false">
      <c r="A28" s="39" t="s">
        <v>272</v>
      </c>
      <c r="B28" s="39"/>
      <c r="C28" s="39" t="s">
        <v>273</v>
      </c>
      <c r="D28" s="39" t="s">
        <v>274</v>
      </c>
      <c r="E28" s="39"/>
      <c r="F28" s="39" t="s">
        <v>275</v>
      </c>
      <c r="G28" s="39" t="s">
        <v>276</v>
      </c>
      <c r="H28" s="39" t="s">
        <v>277</v>
      </c>
    </row>
    <row r="29" customFormat="false" ht="15.75" hidden="false" customHeight="true" outlineLevel="0" collapsed="false">
      <c r="A29" s="29"/>
      <c r="B29" s="29"/>
      <c r="C29" s="28"/>
      <c r="D29" s="29"/>
      <c r="E29" s="29"/>
      <c r="F29" s="29"/>
      <c r="G29" s="29"/>
      <c r="H29" s="29"/>
    </row>
    <row r="30" customFormat="false" ht="15.75" hidden="false" customHeight="true" outlineLevel="0" collapsed="false">
      <c r="A30" s="29"/>
      <c r="B30" s="29"/>
      <c r="C30" s="28"/>
      <c r="D30" s="29"/>
      <c r="E30" s="29"/>
      <c r="F30" s="29"/>
      <c r="G30" s="29"/>
      <c r="H30" s="29"/>
    </row>
    <row r="31" customFormat="false" ht="15.75" hidden="false" customHeight="true" outlineLevel="0" collapsed="false">
      <c r="A31" s="29"/>
      <c r="B31" s="29"/>
      <c r="C31" s="28"/>
      <c r="D31" s="29"/>
      <c r="E31" s="29"/>
      <c r="F31" s="29"/>
      <c r="G31" s="29"/>
      <c r="H31" s="29"/>
    </row>
    <row r="32" customFormat="false" ht="15.75" hidden="false" customHeight="true" outlineLevel="0" collapsed="false">
      <c r="A32" s="29"/>
      <c r="B32" s="29"/>
      <c r="C32" s="28"/>
      <c r="D32" s="29"/>
      <c r="E32" s="29"/>
      <c r="F32" s="29"/>
      <c r="G32" s="29"/>
      <c r="H32" s="29"/>
    </row>
    <row r="33" customFormat="false" ht="15.75" hidden="false" customHeight="true" outlineLevel="0" collapsed="false">
      <c r="A33" s="29"/>
      <c r="B33" s="29"/>
      <c r="C33" s="28"/>
      <c r="D33" s="29"/>
      <c r="E33" s="29"/>
      <c r="F33" s="29"/>
      <c r="G33" s="29"/>
      <c r="H33" s="29"/>
    </row>
    <row r="34" customFormat="false" ht="15.75" hidden="false" customHeight="true" outlineLevel="0" collapsed="false">
      <c r="A34" s="29"/>
      <c r="B34" s="29"/>
      <c r="C34" s="28"/>
      <c r="D34" s="29"/>
      <c r="E34" s="29"/>
      <c r="F34" s="29"/>
      <c r="G34" s="29"/>
      <c r="H34" s="29"/>
    </row>
    <row r="35" customFormat="false" ht="15.75" hidden="false" customHeight="true" outlineLevel="0" collapsed="false">
      <c r="A35" s="29"/>
      <c r="B35" s="29"/>
      <c r="C35" s="28"/>
      <c r="D35" s="29"/>
      <c r="E35" s="29"/>
      <c r="F35" s="29"/>
      <c r="G35" s="29"/>
      <c r="H35" s="29"/>
    </row>
    <row r="36" customFormat="false" ht="15.75" hidden="false" customHeight="true" outlineLevel="0" collapsed="false">
      <c r="A36" s="29"/>
      <c r="B36" s="29"/>
      <c r="C36" s="28"/>
      <c r="D36" s="29"/>
      <c r="E36" s="29"/>
      <c r="F36" s="29"/>
      <c r="G36" s="29"/>
      <c r="H36" s="29"/>
    </row>
    <row r="38" customFormat="false" ht="18" hidden="false" customHeight="true" outlineLevel="0" collapsed="false">
      <c r="A38" s="20" t="s">
        <v>130</v>
      </c>
      <c r="B38" s="20"/>
      <c r="C38" s="20"/>
      <c r="D38" s="20"/>
      <c r="E38" s="20"/>
      <c r="F38" s="20"/>
      <c r="G38" s="20"/>
      <c r="H38" s="20"/>
    </row>
    <row r="39" customFormat="false" ht="15.75" hidden="false" customHeight="true" outlineLevel="0" collapsed="false">
      <c r="A39" s="30" t="s">
        <v>131</v>
      </c>
      <c r="B39" s="30"/>
      <c r="C39" s="31" t="n">
        <f aca="false">COUNTIF(F14:F25,"سليم")</f>
        <v>0</v>
      </c>
      <c r="D39" s="31"/>
      <c r="E39" s="30" t="s">
        <v>132</v>
      </c>
      <c r="F39" s="30"/>
      <c r="G39" s="31" t="n">
        <f aca="false">COUNTIF(F14:F25,"ملاحظة")</f>
        <v>0</v>
      </c>
      <c r="H39" s="31"/>
    </row>
    <row r="40" customFormat="false" ht="15.75" hidden="false" customHeight="true" outlineLevel="0" collapsed="false">
      <c r="A40" s="30" t="s">
        <v>133</v>
      </c>
      <c r="B40" s="30"/>
      <c r="C40" s="31" t="n">
        <f aca="false">COUNTIF(F14:F25,"حرج")</f>
        <v>0</v>
      </c>
      <c r="D40" s="31"/>
      <c r="E40" s="30" t="s">
        <v>134</v>
      </c>
      <c r="F40" s="30"/>
      <c r="G40" s="32" t="str">
        <f aca="false">IFERROR((COUNTIF(F14:F25,"سليم"))/(COUNTIF(F14:F25,"سليم")+COUNTIF(F14:F25,"ملاحظة")+COUNTIF(F14:F25,"حرج")),"")</f>
        <v/>
      </c>
      <c r="H40" s="32"/>
    </row>
    <row r="41" customFormat="false" ht="15.75" hidden="false" customHeight="true" outlineLevel="0" collapsed="false">
      <c r="A41" s="30" t="s">
        <v>135</v>
      </c>
      <c r="B41" s="30"/>
      <c r="C41" s="33"/>
      <c r="D41" s="33"/>
      <c r="E41" s="30" t="s">
        <v>136</v>
      </c>
      <c r="F41" s="30"/>
      <c r="G41" s="33"/>
      <c r="H41" s="33"/>
    </row>
    <row r="42" customFormat="false" ht="15.75" hidden="false" customHeight="true" outlineLevel="0" collapsed="false">
      <c r="A42" s="30" t="s">
        <v>137</v>
      </c>
      <c r="B42" s="30"/>
      <c r="C42" s="33"/>
      <c r="D42" s="33"/>
      <c r="E42" s="30" t="s">
        <v>138</v>
      </c>
      <c r="F42" s="30"/>
      <c r="G42" s="33"/>
      <c r="H42" s="33"/>
    </row>
    <row r="43" customFormat="false" ht="19.5" hidden="false" customHeight="true" outlineLevel="0" collapsed="false">
      <c r="A43" s="34" t="s">
        <v>139</v>
      </c>
      <c r="B43" s="34"/>
      <c r="C43" s="35"/>
      <c r="D43" s="35"/>
      <c r="E43" s="35"/>
      <c r="F43" s="35"/>
      <c r="G43" s="35"/>
      <c r="H43" s="35"/>
    </row>
    <row r="44" customFormat="false" ht="15.75" hidden="false" customHeight="true" outlineLevel="0" collapsed="false">
      <c r="A44" s="30" t="s">
        <v>140</v>
      </c>
      <c r="B44" s="30"/>
      <c r="C44" s="33"/>
      <c r="D44" s="33"/>
      <c r="E44" s="30" t="s">
        <v>141</v>
      </c>
      <c r="F44" s="30"/>
      <c r="G44" s="31"/>
      <c r="H44" s="31"/>
    </row>
    <row r="45" customFormat="false" ht="15.75" hidden="false" customHeight="true" outlineLevel="0" collapsed="false">
      <c r="A45" s="30" t="s">
        <v>142</v>
      </c>
      <c r="B45" s="30"/>
      <c r="C45" s="31"/>
      <c r="D45" s="31"/>
      <c r="E45" s="30" t="s">
        <v>143</v>
      </c>
      <c r="F45" s="30"/>
      <c r="G45" s="31"/>
      <c r="H45" s="31"/>
    </row>
    <row r="47" customFormat="false" ht="19.5" hidden="false" customHeight="true" outlineLevel="0" collapsed="false">
      <c r="A47" s="36" t="s">
        <v>144</v>
      </c>
      <c r="B47" s="36"/>
      <c r="C47" s="36"/>
      <c r="D47" s="36"/>
      <c r="E47" s="36" t="s">
        <v>145</v>
      </c>
      <c r="F47" s="36"/>
      <c r="G47" s="36"/>
      <c r="H47" s="36"/>
    </row>
  </sheetData>
  <mergeCells count="67">
    <mergeCell ref="A1:H1"/>
    <mergeCell ref="A2:H2"/>
    <mergeCell ref="A3:H3"/>
    <mergeCell ref="A4:H4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1:H11"/>
    <mergeCell ref="A13:H13"/>
    <mergeCell ref="A17:H17"/>
    <mergeCell ref="A22:H22"/>
    <mergeCell ref="A27:H27"/>
    <mergeCell ref="A28:B28"/>
    <mergeCell ref="D28:E28"/>
    <mergeCell ref="A29:B29"/>
    <mergeCell ref="D29:E29"/>
    <mergeCell ref="A30:B30"/>
    <mergeCell ref="D30:E30"/>
    <mergeCell ref="A31:B31"/>
    <mergeCell ref="D31:E31"/>
    <mergeCell ref="A32:B32"/>
    <mergeCell ref="D32:E32"/>
    <mergeCell ref="A33:B33"/>
    <mergeCell ref="D33:E33"/>
    <mergeCell ref="A34:B34"/>
    <mergeCell ref="D34:E34"/>
    <mergeCell ref="A35:B35"/>
    <mergeCell ref="D35:E35"/>
    <mergeCell ref="A36:B36"/>
    <mergeCell ref="D36:E36"/>
    <mergeCell ref="A38:H38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7:D47"/>
    <mergeCell ref="E47:H47"/>
  </mergeCells>
  <dataValidations count="10">
    <dataValidation allowBlank="true" errorStyle="stop" operator="between" showDropDown="false" showErrorMessage="false" showInputMessage="false" sqref="F14:F16 F18:F21 F23:F25" type="list">
      <formula1>"سليم,ملاحظة,حرج,لا ينطبق"</formula1>
      <formula2>0</formula2>
    </dataValidation>
    <dataValidation allowBlank="true" errorStyle="stop" operator="between" showDropDown="false" showErrorMessage="false" showInputMessage="false" sqref="D14:D16 D18:D21 D23:D25" type="list">
      <formula1>"فحص نظري,قياس بالأجهزة,تشغيل واختبار,فحص يدوي"</formula1>
      <formula2>0</formula2>
    </dataValidation>
    <dataValidation allowBlank="true" errorStyle="stop" operator="between" showDropDown="false" showErrorMessage="false" showInputMessage="false" sqref="C14:C16 C18:C21 C23:C25" type="list">
      <formula1>"عام,حفّار,قلّاب,دريل,لودر"</formula1>
      <formula2>0</formula2>
    </dataValidation>
    <dataValidation allowBlank="true" errorStyle="stop" operator="between" showDropDown="false" showErrorMessage="false" showInputMessage="false" sqref="C29:C36" type="list">
      <formula1>"نعم,لا"</formula1>
      <formula2>0</formula2>
    </dataValidation>
    <dataValidation allowBlank="true" errorStyle="stop" operator="between" showDropDown="false" showErrorMessage="false" showInputMessage="false" sqref="C41" type="list">
      <formula1>"سليمة,صالحة بملاحظات,غير صالحة / حرجة"</formula1>
      <formula2>0</formula2>
    </dataValidation>
    <dataValidation allowBlank="true" errorStyle="stop" operator="between" showDropDown="false" showErrorMessage="false" showInputMessage="false" sqref="G41" type="list">
      <formula1>"قبول فني,قبول بملاحظات,صيانة فورية,مراقبة,إصلاح جذري (عمرة),استبدال,رفض فني,بيع / تخلّص"</formula1>
      <formula2>0</formula2>
    </dataValidation>
    <dataValidation allowBlank="true" errorStyle="stop" operator="between" showDropDown="false" showErrorMessage="false" showInputMessage="false" sqref="C42" type="list">
      <formula1>"معتمدة فنيًّا,مرفوضة,بانتظار استكمال"</formula1>
      <formula2>0</formula2>
    </dataValidation>
    <dataValidation allowBlank="true" errorStyle="stop" operator="between" showDropDown="false" showErrorMessage="false" showInputMessage="false" sqref="G42" type="list">
      <formula1>"منخفض,متوسط,مرتفع,حرج"</formula1>
      <formula2>0</formula2>
    </dataValidation>
    <dataValidation allowBlank="true" errorStyle="stop" operator="between" showDropDown="false" showErrorMessage="false" showInputMessage="false" sqref="C44" type="list">
      <formula1>"صيانة,تشغيل,مورد,أسطول,مشتريات"</formula1>
      <formula2>0</formula2>
    </dataValidation>
    <dataValidation allowBlank="true" errorStyle="stop" operator="between" showDropDown="false" showErrorMessage="false" showInputMessage="false" sqref="C43" type="list">
      <formula1>"يسمح بالتشغيل,يسمح بالتشغيل مع متابعة,يسمح بالتشغيل حتى موعد محدد,يمنع التشغيل,يحتاج اعتماد استثنائي"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8" min="7" style="0" width="20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7" t="s">
        <v>388</v>
      </c>
      <c r="B2" s="17"/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A3" s="18" t="s">
        <v>389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390</v>
      </c>
      <c r="B4" s="19"/>
      <c r="C4" s="19"/>
      <c r="D4" s="19"/>
      <c r="E4" s="19"/>
      <c r="F4" s="19"/>
      <c r="G4" s="19"/>
      <c r="H4" s="19"/>
    </row>
    <row r="5" customFormat="false" ht="18" hidden="false" customHeight="true" outlineLevel="0" collapsed="false">
      <c r="A5" s="20" t="s">
        <v>74</v>
      </c>
      <c r="B5" s="20"/>
      <c r="C5" s="20"/>
      <c r="D5" s="20"/>
      <c r="E5" s="20"/>
      <c r="F5" s="20"/>
      <c r="G5" s="20"/>
      <c r="H5" s="20"/>
    </row>
    <row r="6" customFormat="false" ht="15.75" hidden="false" customHeight="true" outlineLevel="0" collapsed="false">
      <c r="A6" s="21" t="s">
        <v>75</v>
      </c>
      <c r="B6" s="22" t="s">
        <v>148</v>
      </c>
      <c r="C6" s="22"/>
      <c r="D6" s="22"/>
      <c r="E6" s="21" t="s">
        <v>149</v>
      </c>
      <c r="F6" s="22" t="s">
        <v>391</v>
      </c>
      <c r="G6" s="22"/>
      <c r="H6" s="22"/>
    </row>
    <row r="7" customFormat="false" ht="15.75" hidden="false" customHeight="true" outlineLevel="0" collapsed="false">
      <c r="A7" s="21" t="s">
        <v>79</v>
      </c>
      <c r="B7" s="22" t="s">
        <v>151</v>
      </c>
      <c r="C7" s="22"/>
      <c r="D7" s="22"/>
      <c r="E7" s="21" t="s">
        <v>392</v>
      </c>
      <c r="F7" s="22" t="s">
        <v>393</v>
      </c>
      <c r="G7" s="22"/>
      <c r="H7" s="22"/>
    </row>
    <row r="8" customFormat="false" ht="15.75" hidden="false" customHeight="true" outlineLevel="0" collapsed="false">
      <c r="A8" s="21" t="s">
        <v>153</v>
      </c>
      <c r="B8" s="22" t="s">
        <v>154</v>
      </c>
      <c r="C8" s="22"/>
      <c r="D8" s="22"/>
      <c r="E8" s="21" t="s">
        <v>87</v>
      </c>
      <c r="F8" s="22" t="s">
        <v>88</v>
      </c>
      <c r="G8" s="22"/>
      <c r="H8" s="22"/>
    </row>
    <row r="9" customFormat="false" ht="15.75" hidden="false" customHeight="true" outlineLevel="0" collapsed="false">
      <c r="A9" s="21" t="s">
        <v>83</v>
      </c>
      <c r="B9" s="22" t="s">
        <v>156</v>
      </c>
      <c r="C9" s="22"/>
      <c r="D9" s="22"/>
      <c r="E9" s="21" t="s">
        <v>157</v>
      </c>
      <c r="F9" s="22" t="s">
        <v>394</v>
      </c>
      <c r="G9" s="22"/>
      <c r="H9" s="22"/>
    </row>
    <row r="10" customFormat="false" ht="15.75" hidden="false" customHeight="true" outlineLevel="0" collapsed="false">
      <c r="A10" s="29"/>
      <c r="B10" s="29"/>
      <c r="C10" s="29"/>
      <c r="D10" s="29"/>
      <c r="E10" s="21" t="s">
        <v>395</v>
      </c>
      <c r="F10" s="22" t="s">
        <v>396</v>
      </c>
      <c r="G10" s="22"/>
      <c r="H10" s="22"/>
    </row>
    <row r="11" customFormat="false" ht="24" hidden="false" customHeight="true" outlineLevel="0" collapsed="false">
      <c r="A11" s="23" t="s">
        <v>91</v>
      </c>
      <c r="B11" s="23"/>
      <c r="C11" s="23"/>
      <c r="D11" s="23"/>
      <c r="E11" s="23"/>
      <c r="F11" s="23"/>
      <c r="G11" s="23"/>
      <c r="H11" s="23"/>
    </row>
    <row r="12" customFormat="false" ht="25.5" hidden="false" customHeight="true" outlineLevel="0" collapsed="false">
      <c r="A12" s="24" t="s">
        <v>92</v>
      </c>
      <c r="B12" s="24" t="s">
        <v>93</v>
      </c>
      <c r="C12" s="24" t="s">
        <v>94</v>
      </c>
      <c r="D12" s="24" t="s">
        <v>95</v>
      </c>
      <c r="E12" s="24" t="s">
        <v>96</v>
      </c>
      <c r="F12" s="24" t="s">
        <v>97</v>
      </c>
      <c r="G12" s="24" t="s">
        <v>98</v>
      </c>
      <c r="H12" s="24" t="s">
        <v>99</v>
      </c>
    </row>
    <row r="13" customFormat="false" ht="16.5" hidden="false" customHeight="true" outlineLevel="0" collapsed="false">
      <c r="A13" s="25" t="s">
        <v>397</v>
      </c>
      <c r="B13" s="25"/>
      <c r="C13" s="25"/>
      <c r="D13" s="25"/>
      <c r="E13" s="25"/>
      <c r="F13" s="25"/>
      <c r="G13" s="25"/>
      <c r="H13" s="25"/>
    </row>
    <row r="14" customFormat="false" ht="15" hidden="false" customHeight="true" outlineLevel="0" collapsed="false">
      <c r="A14" s="5" t="n">
        <v>1</v>
      </c>
      <c r="B14" s="26" t="s">
        <v>398</v>
      </c>
      <c r="C14" s="27" t="s">
        <v>102</v>
      </c>
      <c r="D14" s="28"/>
      <c r="E14" s="9" t="s">
        <v>399</v>
      </c>
      <c r="F14" s="28"/>
      <c r="G14" s="29"/>
      <c r="H14" s="29"/>
    </row>
    <row r="15" customFormat="false" ht="15" hidden="false" customHeight="true" outlineLevel="0" collapsed="false">
      <c r="A15" s="5" t="n">
        <v>2</v>
      </c>
      <c r="B15" s="26" t="s">
        <v>400</v>
      </c>
      <c r="C15" s="27" t="s">
        <v>102</v>
      </c>
      <c r="D15" s="28"/>
      <c r="E15" s="9" t="s">
        <v>369</v>
      </c>
      <c r="F15" s="28"/>
      <c r="G15" s="29"/>
      <c r="H15" s="29"/>
    </row>
    <row r="16" customFormat="false" ht="15" hidden="false" customHeight="true" outlineLevel="0" collapsed="false">
      <c r="A16" s="5" t="n">
        <v>3</v>
      </c>
      <c r="B16" s="26" t="s">
        <v>401</v>
      </c>
      <c r="C16" s="27" t="s">
        <v>102</v>
      </c>
      <c r="D16" s="28"/>
      <c r="E16" s="9" t="s">
        <v>369</v>
      </c>
      <c r="F16" s="28"/>
      <c r="G16" s="29"/>
      <c r="H16" s="29"/>
    </row>
    <row r="17" customFormat="false" ht="16.5" hidden="false" customHeight="true" outlineLevel="0" collapsed="false">
      <c r="A17" s="25" t="s">
        <v>402</v>
      </c>
      <c r="B17" s="25"/>
      <c r="C17" s="25"/>
      <c r="D17" s="25"/>
      <c r="E17" s="25"/>
      <c r="F17" s="25"/>
      <c r="G17" s="25"/>
      <c r="H17" s="25"/>
    </row>
    <row r="18" customFormat="false" ht="15" hidden="false" customHeight="true" outlineLevel="0" collapsed="false">
      <c r="A18" s="5" t="n">
        <v>4</v>
      </c>
      <c r="B18" s="26" t="s">
        <v>161</v>
      </c>
      <c r="C18" s="27" t="s">
        <v>102</v>
      </c>
      <c r="D18" s="28"/>
      <c r="E18" s="9" t="s">
        <v>403</v>
      </c>
      <c r="F18" s="28"/>
      <c r="G18" s="29"/>
      <c r="H18" s="29"/>
    </row>
    <row r="19" customFormat="false" ht="15" hidden="false" customHeight="true" outlineLevel="0" collapsed="false">
      <c r="A19" s="5" t="n">
        <v>5</v>
      </c>
      <c r="B19" s="26" t="s">
        <v>404</v>
      </c>
      <c r="C19" s="27" t="s">
        <v>102</v>
      </c>
      <c r="D19" s="28"/>
      <c r="E19" s="9" t="s">
        <v>405</v>
      </c>
      <c r="F19" s="28"/>
      <c r="G19" s="29"/>
      <c r="H19" s="29"/>
    </row>
    <row r="20" customFormat="false" ht="15" hidden="false" customHeight="true" outlineLevel="0" collapsed="false">
      <c r="A20" s="5" t="n">
        <v>6</v>
      </c>
      <c r="B20" s="26" t="s">
        <v>406</v>
      </c>
      <c r="C20" s="27" t="s">
        <v>102</v>
      </c>
      <c r="D20" s="28"/>
      <c r="E20" s="9" t="s">
        <v>407</v>
      </c>
      <c r="F20" s="28"/>
      <c r="G20" s="29"/>
      <c r="H20" s="29"/>
    </row>
    <row r="21" customFormat="false" ht="15" hidden="false" customHeight="true" outlineLevel="0" collapsed="false">
      <c r="A21" s="5" t="n">
        <v>7</v>
      </c>
      <c r="B21" s="26" t="s">
        <v>203</v>
      </c>
      <c r="C21" s="27" t="s">
        <v>102</v>
      </c>
      <c r="D21" s="28"/>
      <c r="E21" s="9" t="s">
        <v>174</v>
      </c>
      <c r="F21" s="28"/>
      <c r="G21" s="29"/>
      <c r="H21" s="29"/>
    </row>
    <row r="22" customFormat="false" ht="15" hidden="false" customHeight="true" outlineLevel="0" collapsed="false">
      <c r="A22" s="5" t="n">
        <v>8</v>
      </c>
      <c r="B22" s="26" t="s">
        <v>408</v>
      </c>
      <c r="C22" s="27" t="s">
        <v>102</v>
      </c>
      <c r="D22" s="28"/>
      <c r="E22" s="9" t="s">
        <v>405</v>
      </c>
      <c r="F22" s="28"/>
      <c r="G22" s="29"/>
      <c r="H22" s="29"/>
    </row>
    <row r="23" customFormat="false" ht="15" hidden="false" customHeight="true" outlineLevel="0" collapsed="false">
      <c r="A23" s="5" t="n">
        <v>9</v>
      </c>
      <c r="B23" s="26" t="s">
        <v>409</v>
      </c>
      <c r="C23" s="27" t="s">
        <v>102</v>
      </c>
      <c r="D23" s="28"/>
      <c r="E23" s="9" t="s">
        <v>174</v>
      </c>
      <c r="F23" s="28"/>
      <c r="G23" s="29"/>
      <c r="H23" s="29"/>
    </row>
    <row r="24" customFormat="false" ht="15" hidden="false" customHeight="true" outlineLevel="0" collapsed="false">
      <c r="A24" s="5" t="n">
        <v>10</v>
      </c>
      <c r="B24" s="26" t="s">
        <v>235</v>
      </c>
      <c r="C24" s="27" t="s">
        <v>102</v>
      </c>
      <c r="D24" s="28"/>
      <c r="E24" s="9" t="s">
        <v>405</v>
      </c>
      <c r="F24" s="28"/>
      <c r="G24" s="29"/>
      <c r="H24" s="29"/>
    </row>
    <row r="25" customFormat="false" ht="15" hidden="false" customHeight="true" outlineLevel="0" collapsed="false">
      <c r="A25" s="5" t="n">
        <v>11</v>
      </c>
      <c r="B25" s="26" t="s">
        <v>255</v>
      </c>
      <c r="C25" s="27" t="s">
        <v>102</v>
      </c>
      <c r="D25" s="28"/>
      <c r="E25" s="9" t="s">
        <v>405</v>
      </c>
      <c r="F25" s="28"/>
      <c r="G25" s="29"/>
      <c r="H25" s="29"/>
    </row>
    <row r="26" customFormat="false" ht="16.5" hidden="false" customHeight="true" outlineLevel="0" collapsed="false">
      <c r="A26" s="25" t="s">
        <v>410</v>
      </c>
      <c r="B26" s="25"/>
      <c r="C26" s="25"/>
      <c r="D26" s="25"/>
      <c r="E26" s="25"/>
      <c r="F26" s="25"/>
      <c r="G26" s="25"/>
      <c r="H26" s="25"/>
    </row>
    <row r="27" customFormat="false" ht="15" hidden="false" customHeight="true" outlineLevel="0" collapsed="false">
      <c r="A27" s="5" t="n">
        <v>12</v>
      </c>
      <c r="B27" s="26" t="s">
        <v>411</v>
      </c>
      <c r="C27" s="27" t="s">
        <v>102</v>
      </c>
      <c r="D27" s="28"/>
      <c r="E27" s="9" t="s">
        <v>412</v>
      </c>
      <c r="F27" s="28"/>
      <c r="G27" s="29"/>
      <c r="H27" s="29"/>
    </row>
    <row r="28" customFormat="false" ht="15" hidden="false" customHeight="true" outlineLevel="0" collapsed="false">
      <c r="A28" s="5" t="n">
        <v>13</v>
      </c>
      <c r="B28" s="26" t="s">
        <v>413</v>
      </c>
      <c r="C28" s="27" t="s">
        <v>102</v>
      </c>
      <c r="D28" s="28"/>
      <c r="E28" s="9" t="s">
        <v>356</v>
      </c>
      <c r="F28" s="28"/>
      <c r="G28" s="29"/>
      <c r="H28" s="29"/>
    </row>
    <row r="29" customFormat="false" ht="15" hidden="false" customHeight="true" outlineLevel="0" collapsed="false">
      <c r="A29" s="5" t="n">
        <v>14</v>
      </c>
      <c r="B29" s="26" t="s">
        <v>414</v>
      </c>
      <c r="C29" s="27" t="s">
        <v>102</v>
      </c>
      <c r="D29" s="28"/>
      <c r="E29" s="9" t="s">
        <v>415</v>
      </c>
      <c r="F29" s="28"/>
      <c r="G29" s="29"/>
      <c r="H29" s="29"/>
    </row>
    <row r="31" customFormat="false" ht="18" hidden="false" customHeight="true" outlineLevel="0" collapsed="false">
      <c r="A31" s="38" t="s">
        <v>271</v>
      </c>
      <c r="B31" s="38"/>
      <c r="C31" s="38"/>
      <c r="D31" s="38"/>
      <c r="E31" s="38"/>
      <c r="F31" s="38"/>
      <c r="G31" s="38"/>
      <c r="H31" s="38"/>
    </row>
    <row r="32" customFormat="false" ht="24" hidden="false" customHeight="true" outlineLevel="0" collapsed="false">
      <c r="A32" s="39" t="s">
        <v>272</v>
      </c>
      <c r="B32" s="39"/>
      <c r="C32" s="39" t="s">
        <v>273</v>
      </c>
      <c r="D32" s="39" t="s">
        <v>274</v>
      </c>
      <c r="E32" s="39"/>
      <c r="F32" s="39" t="s">
        <v>275</v>
      </c>
      <c r="G32" s="39" t="s">
        <v>276</v>
      </c>
      <c r="H32" s="39" t="s">
        <v>277</v>
      </c>
    </row>
    <row r="33" customFormat="false" ht="15.75" hidden="false" customHeight="true" outlineLevel="0" collapsed="false">
      <c r="A33" s="29"/>
      <c r="B33" s="29"/>
      <c r="C33" s="28"/>
      <c r="D33" s="29"/>
      <c r="E33" s="29"/>
      <c r="F33" s="29"/>
      <c r="G33" s="29"/>
      <c r="H33" s="29"/>
    </row>
    <row r="34" customFormat="false" ht="15.75" hidden="false" customHeight="true" outlineLevel="0" collapsed="false">
      <c r="A34" s="29"/>
      <c r="B34" s="29"/>
      <c r="C34" s="28"/>
      <c r="D34" s="29"/>
      <c r="E34" s="29"/>
      <c r="F34" s="29"/>
      <c r="G34" s="29"/>
      <c r="H34" s="29"/>
    </row>
    <row r="35" customFormat="false" ht="15.75" hidden="false" customHeight="true" outlineLevel="0" collapsed="false">
      <c r="A35" s="29"/>
      <c r="B35" s="29"/>
      <c r="C35" s="28"/>
      <c r="D35" s="29"/>
      <c r="E35" s="29"/>
      <c r="F35" s="29"/>
      <c r="G35" s="29"/>
      <c r="H35" s="29"/>
    </row>
    <row r="36" customFormat="false" ht="15.75" hidden="false" customHeight="true" outlineLevel="0" collapsed="false">
      <c r="A36" s="29"/>
      <c r="B36" s="29"/>
      <c r="C36" s="28"/>
      <c r="D36" s="29"/>
      <c r="E36" s="29"/>
      <c r="F36" s="29"/>
      <c r="G36" s="29"/>
      <c r="H36" s="29"/>
    </row>
    <row r="37" customFormat="false" ht="15.75" hidden="false" customHeight="true" outlineLevel="0" collapsed="false">
      <c r="A37" s="29"/>
      <c r="B37" s="29"/>
      <c r="C37" s="28"/>
      <c r="D37" s="29"/>
      <c r="E37" s="29"/>
      <c r="F37" s="29"/>
      <c r="G37" s="29"/>
      <c r="H37" s="29"/>
    </row>
    <row r="38" customFormat="false" ht="15.75" hidden="false" customHeight="true" outlineLevel="0" collapsed="false">
      <c r="A38" s="29"/>
      <c r="B38" s="29"/>
      <c r="C38" s="28"/>
      <c r="D38" s="29"/>
      <c r="E38" s="29"/>
      <c r="F38" s="29"/>
      <c r="G38" s="29"/>
      <c r="H38" s="29"/>
    </row>
    <row r="39" customFormat="false" ht="15.75" hidden="false" customHeight="true" outlineLevel="0" collapsed="false">
      <c r="A39" s="29"/>
      <c r="B39" s="29"/>
      <c r="C39" s="28"/>
      <c r="D39" s="29"/>
      <c r="E39" s="29"/>
      <c r="F39" s="29"/>
      <c r="G39" s="29"/>
      <c r="H39" s="29"/>
    </row>
    <row r="40" customFormat="false" ht="15.75" hidden="false" customHeight="true" outlineLevel="0" collapsed="false">
      <c r="A40" s="29"/>
      <c r="B40" s="29"/>
      <c r="C40" s="28"/>
      <c r="D40" s="29"/>
      <c r="E40" s="29"/>
      <c r="F40" s="29"/>
      <c r="G40" s="29"/>
      <c r="H40" s="29"/>
    </row>
    <row r="42" customFormat="false" ht="18" hidden="false" customHeight="true" outlineLevel="0" collapsed="false">
      <c r="A42" s="20" t="s">
        <v>130</v>
      </c>
      <c r="B42" s="20"/>
      <c r="C42" s="20"/>
      <c r="D42" s="20"/>
      <c r="E42" s="20"/>
      <c r="F42" s="20"/>
      <c r="G42" s="20"/>
      <c r="H42" s="20"/>
    </row>
    <row r="43" customFormat="false" ht="15.75" hidden="false" customHeight="true" outlineLevel="0" collapsed="false">
      <c r="A43" s="30" t="s">
        <v>131</v>
      </c>
      <c r="B43" s="30"/>
      <c r="C43" s="31" t="n">
        <f aca="false">COUNTIF(F14:F29,"سليم")</f>
        <v>0</v>
      </c>
      <c r="D43" s="31"/>
      <c r="E43" s="30" t="s">
        <v>132</v>
      </c>
      <c r="F43" s="30"/>
      <c r="G43" s="31" t="n">
        <f aca="false">COUNTIF(F14:F29,"ملاحظة")</f>
        <v>0</v>
      </c>
      <c r="H43" s="31"/>
    </row>
    <row r="44" customFormat="false" ht="15.75" hidden="false" customHeight="true" outlineLevel="0" collapsed="false">
      <c r="A44" s="30" t="s">
        <v>133</v>
      </c>
      <c r="B44" s="30"/>
      <c r="C44" s="31" t="n">
        <f aca="false">COUNTIF(F14:F29,"حرج")</f>
        <v>0</v>
      </c>
      <c r="D44" s="31"/>
      <c r="E44" s="30" t="s">
        <v>134</v>
      </c>
      <c r="F44" s="30"/>
      <c r="G44" s="32" t="str">
        <f aca="false">IFERROR((COUNTIF(F14:F29,"سليم"))/(COUNTIF(F14:F29,"سليم")+COUNTIF(F14:F29,"ملاحظة")+COUNTIF(F14:F29,"حرج")),"")</f>
        <v/>
      </c>
      <c r="H44" s="32"/>
    </row>
    <row r="45" customFormat="false" ht="15.75" hidden="false" customHeight="true" outlineLevel="0" collapsed="false">
      <c r="A45" s="30" t="s">
        <v>135</v>
      </c>
      <c r="B45" s="30"/>
      <c r="C45" s="33"/>
      <c r="D45" s="33"/>
      <c r="E45" s="30" t="s">
        <v>136</v>
      </c>
      <c r="F45" s="30"/>
      <c r="G45" s="33"/>
      <c r="H45" s="33"/>
    </row>
    <row r="46" customFormat="false" ht="15.75" hidden="false" customHeight="true" outlineLevel="0" collapsed="false">
      <c r="A46" s="30" t="s">
        <v>137</v>
      </c>
      <c r="B46" s="30"/>
      <c r="C46" s="33"/>
      <c r="D46" s="33"/>
      <c r="E46" s="30" t="s">
        <v>138</v>
      </c>
      <c r="F46" s="30"/>
      <c r="G46" s="33"/>
      <c r="H46" s="33"/>
    </row>
    <row r="47" customFormat="false" ht="19.5" hidden="false" customHeight="true" outlineLevel="0" collapsed="false">
      <c r="A47" s="34" t="s">
        <v>139</v>
      </c>
      <c r="B47" s="34"/>
      <c r="C47" s="35"/>
      <c r="D47" s="35"/>
      <c r="E47" s="35"/>
      <c r="F47" s="35"/>
      <c r="G47" s="35"/>
      <c r="H47" s="35"/>
    </row>
    <row r="48" customFormat="false" ht="15.75" hidden="false" customHeight="true" outlineLevel="0" collapsed="false">
      <c r="A48" s="30" t="s">
        <v>140</v>
      </c>
      <c r="B48" s="30"/>
      <c r="C48" s="33"/>
      <c r="D48" s="33"/>
      <c r="E48" s="30" t="s">
        <v>141</v>
      </c>
      <c r="F48" s="30"/>
      <c r="G48" s="31"/>
      <c r="H48" s="31"/>
    </row>
    <row r="49" customFormat="false" ht="15.75" hidden="false" customHeight="true" outlineLevel="0" collapsed="false">
      <c r="A49" s="30" t="s">
        <v>142</v>
      </c>
      <c r="B49" s="30"/>
      <c r="C49" s="31"/>
      <c r="D49" s="31"/>
      <c r="E49" s="30" t="s">
        <v>143</v>
      </c>
      <c r="F49" s="30"/>
      <c r="G49" s="31"/>
      <c r="H49" s="31"/>
    </row>
    <row r="51" customFormat="false" ht="19.5" hidden="false" customHeight="true" outlineLevel="0" collapsed="false">
      <c r="A51" s="36" t="s">
        <v>144</v>
      </c>
      <c r="B51" s="36"/>
      <c r="C51" s="36"/>
      <c r="D51" s="36"/>
      <c r="E51" s="36" t="s">
        <v>145</v>
      </c>
      <c r="F51" s="36"/>
      <c r="G51" s="36"/>
      <c r="H51" s="36"/>
    </row>
  </sheetData>
  <mergeCells count="67">
    <mergeCell ref="A1:H1"/>
    <mergeCell ref="A2:H2"/>
    <mergeCell ref="A3:H3"/>
    <mergeCell ref="A4:H4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1:H11"/>
    <mergeCell ref="A13:H13"/>
    <mergeCell ref="A17:H17"/>
    <mergeCell ref="A26:H26"/>
    <mergeCell ref="A31:H31"/>
    <mergeCell ref="A32:B32"/>
    <mergeCell ref="D32:E32"/>
    <mergeCell ref="A33:B33"/>
    <mergeCell ref="D33:E33"/>
    <mergeCell ref="A34:B34"/>
    <mergeCell ref="D34:E34"/>
    <mergeCell ref="A35:B35"/>
    <mergeCell ref="D35:E35"/>
    <mergeCell ref="A36:B36"/>
    <mergeCell ref="D36:E36"/>
    <mergeCell ref="A37:B37"/>
    <mergeCell ref="D37:E37"/>
    <mergeCell ref="A38:B38"/>
    <mergeCell ref="D38:E38"/>
    <mergeCell ref="A39:B39"/>
    <mergeCell ref="D39:E39"/>
    <mergeCell ref="A40:B40"/>
    <mergeCell ref="D40:E40"/>
    <mergeCell ref="A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B47"/>
    <mergeCell ref="C47:H47"/>
    <mergeCell ref="A48:B48"/>
    <mergeCell ref="C48:D48"/>
    <mergeCell ref="E48:F48"/>
    <mergeCell ref="G48:H48"/>
    <mergeCell ref="A49:B49"/>
    <mergeCell ref="C49:D49"/>
    <mergeCell ref="E49:F49"/>
    <mergeCell ref="G49:H49"/>
    <mergeCell ref="A51:D51"/>
    <mergeCell ref="E51:H51"/>
  </mergeCells>
  <dataValidations count="10">
    <dataValidation allowBlank="true" errorStyle="stop" operator="between" showDropDown="false" showErrorMessage="false" showInputMessage="false" sqref="F14:F16 F18:F25 F27:F29" type="list">
      <formula1>"سليم,ملاحظة,حرج,لا ينطبق"</formula1>
      <formula2>0</formula2>
    </dataValidation>
    <dataValidation allowBlank="true" errorStyle="stop" operator="between" showDropDown="false" showErrorMessage="false" showInputMessage="false" sqref="D14:D16 D18:D25 D27:D29" type="list">
      <formula1>"فحص نظري,قياس بالأجهزة,تشغيل واختبار,فحص يدوي"</formula1>
      <formula2>0</formula2>
    </dataValidation>
    <dataValidation allowBlank="true" errorStyle="stop" operator="between" showDropDown="false" showErrorMessage="false" showInputMessage="false" sqref="C14:C16 C18:C25 C27:C29" type="list">
      <formula1>"عام,حفّار,قلّاب,دريل,لودر"</formula1>
      <formula2>0</formula2>
    </dataValidation>
    <dataValidation allowBlank="true" errorStyle="stop" operator="between" showDropDown="false" showErrorMessage="false" showInputMessage="false" sqref="C33:C40" type="list">
      <formula1>"نعم,لا"</formula1>
      <formula2>0</formula2>
    </dataValidation>
    <dataValidation allowBlank="true" errorStyle="stop" operator="between" showDropDown="false" showErrorMessage="false" showInputMessage="false" sqref="C45" type="list">
      <formula1>"سليمة,صالحة بملاحظات,غير صالحة / حرجة"</formula1>
      <formula2>0</formula2>
    </dataValidation>
    <dataValidation allowBlank="true" errorStyle="stop" operator="between" showDropDown="false" showErrorMessage="false" showInputMessage="false" sqref="G45" type="list">
      <formula1>"قبول فني,قبول بملاحظات,صيانة فورية,مراقبة,إصلاح جذري (عمرة),استبدال,رفض فني,بيع / تخلّص"</formula1>
      <formula2>0</formula2>
    </dataValidation>
    <dataValidation allowBlank="true" errorStyle="stop" operator="between" showDropDown="false" showErrorMessage="false" showInputMessage="false" sqref="C46" type="list">
      <formula1>"معتمدة فنيًّا,مرفوضة,بانتظار استكمال"</formula1>
      <formula2>0</formula2>
    </dataValidation>
    <dataValidation allowBlank="true" errorStyle="stop" operator="between" showDropDown="false" showErrorMessage="false" showInputMessage="false" sqref="G46" type="list">
      <formula1>"منخفض,متوسط,مرتفع,حرج"</formula1>
      <formula2>0</formula2>
    </dataValidation>
    <dataValidation allowBlank="true" errorStyle="stop" operator="between" showDropDown="false" showErrorMessage="false" showInputMessage="false" sqref="C48" type="list">
      <formula1>"صيانة,تشغيل,مورد,أسطول,مشتريات"</formula1>
      <formula2>0</formula2>
    </dataValidation>
    <dataValidation allowBlank="true" errorStyle="stop" operator="between" showDropDown="false" showErrorMessage="false" showInputMessage="false" sqref="C47" type="list">
      <formula1>"يسمح بالتشغيل,يسمح بالتشغيل مع متابعة,يسمح بالتشغيل حتى موعد محدد,يمنع التشغيل,يحتاج اعتماد استثنائي"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8" min="7" style="0" width="20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7" t="s">
        <v>36</v>
      </c>
      <c r="B2" s="17"/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A3" s="18" t="s">
        <v>416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417</v>
      </c>
      <c r="B4" s="19"/>
      <c r="C4" s="19"/>
      <c r="D4" s="19"/>
      <c r="E4" s="19"/>
      <c r="F4" s="19"/>
      <c r="G4" s="19"/>
      <c r="H4" s="19"/>
    </row>
    <row r="5" customFormat="false" ht="18" hidden="false" customHeight="true" outlineLevel="0" collapsed="false">
      <c r="A5" s="20" t="s">
        <v>74</v>
      </c>
      <c r="B5" s="20"/>
      <c r="C5" s="20"/>
      <c r="D5" s="20"/>
      <c r="E5" s="20"/>
      <c r="F5" s="20"/>
      <c r="G5" s="20"/>
      <c r="H5" s="20"/>
    </row>
    <row r="6" customFormat="false" ht="15.75" hidden="false" customHeight="true" outlineLevel="0" collapsed="false">
      <c r="A6" s="21" t="s">
        <v>75</v>
      </c>
      <c r="B6" s="22" t="s">
        <v>148</v>
      </c>
      <c r="C6" s="22"/>
      <c r="D6" s="22"/>
      <c r="E6" s="21" t="s">
        <v>149</v>
      </c>
      <c r="F6" s="22" t="s">
        <v>418</v>
      </c>
      <c r="G6" s="22"/>
      <c r="H6" s="22"/>
    </row>
    <row r="7" customFormat="false" ht="15.75" hidden="false" customHeight="true" outlineLevel="0" collapsed="false">
      <c r="A7" s="21" t="s">
        <v>79</v>
      </c>
      <c r="B7" s="22" t="s">
        <v>151</v>
      </c>
      <c r="C7" s="22"/>
      <c r="D7" s="22"/>
      <c r="E7" s="21" t="s">
        <v>142</v>
      </c>
      <c r="F7" s="22" t="s">
        <v>152</v>
      </c>
      <c r="G7" s="22"/>
      <c r="H7" s="22"/>
    </row>
    <row r="8" customFormat="false" ht="15.75" hidden="false" customHeight="true" outlineLevel="0" collapsed="false">
      <c r="A8" s="21" t="s">
        <v>153</v>
      </c>
      <c r="B8" s="22" t="s">
        <v>154</v>
      </c>
      <c r="C8" s="22"/>
      <c r="D8" s="22"/>
      <c r="E8" s="21" t="s">
        <v>87</v>
      </c>
      <c r="F8" s="22" t="s">
        <v>155</v>
      </c>
      <c r="G8" s="22"/>
      <c r="H8" s="22"/>
    </row>
    <row r="9" customFormat="false" ht="15.75" hidden="false" customHeight="true" outlineLevel="0" collapsed="false">
      <c r="A9" s="21" t="s">
        <v>83</v>
      </c>
      <c r="B9" s="22" t="s">
        <v>156</v>
      </c>
      <c r="C9" s="22"/>
      <c r="D9" s="22"/>
      <c r="E9" s="21" t="s">
        <v>157</v>
      </c>
      <c r="F9" s="22" t="s">
        <v>158</v>
      </c>
      <c r="G9" s="22"/>
      <c r="H9" s="22"/>
    </row>
    <row r="10" customFormat="false" ht="15.75" hidden="false" customHeight="true" outlineLevel="0" collapsed="false">
      <c r="A10" s="29"/>
      <c r="B10" s="29"/>
      <c r="C10" s="29"/>
      <c r="D10" s="29"/>
      <c r="E10" s="21" t="s">
        <v>159</v>
      </c>
      <c r="F10" s="22" t="s">
        <v>160</v>
      </c>
      <c r="G10" s="22"/>
      <c r="H10" s="22"/>
    </row>
    <row r="11" customFormat="false" ht="24" hidden="false" customHeight="true" outlineLevel="0" collapsed="false">
      <c r="A11" s="23" t="s">
        <v>419</v>
      </c>
      <c r="B11" s="23"/>
      <c r="C11" s="23"/>
      <c r="D11" s="23"/>
      <c r="E11" s="23"/>
      <c r="F11" s="23"/>
      <c r="G11" s="23"/>
      <c r="H11" s="23"/>
    </row>
    <row r="12" customFormat="false" ht="25.5" hidden="false" customHeight="true" outlineLevel="0" collapsed="false">
      <c r="A12" s="24" t="s">
        <v>92</v>
      </c>
      <c r="B12" s="24" t="s">
        <v>93</v>
      </c>
      <c r="C12" s="24" t="s">
        <v>94</v>
      </c>
      <c r="D12" s="24" t="s">
        <v>95</v>
      </c>
      <c r="E12" s="24" t="s">
        <v>96</v>
      </c>
      <c r="F12" s="24" t="s">
        <v>97</v>
      </c>
      <c r="G12" s="24" t="s">
        <v>98</v>
      </c>
      <c r="H12" s="24" t="s">
        <v>99</v>
      </c>
    </row>
    <row r="13" customFormat="false" ht="16.5" hidden="false" customHeight="true" outlineLevel="0" collapsed="false">
      <c r="A13" s="25" t="s">
        <v>420</v>
      </c>
      <c r="B13" s="25"/>
      <c r="C13" s="25"/>
      <c r="D13" s="25"/>
      <c r="E13" s="25"/>
      <c r="F13" s="25"/>
      <c r="G13" s="25"/>
      <c r="H13" s="25"/>
    </row>
    <row r="14" customFormat="false" ht="15" hidden="false" customHeight="true" outlineLevel="0" collapsed="false">
      <c r="A14" s="5" t="n">
        <v>1</v>
      </c>
      <c r="B14" s="26" t="s">
        <v>161</v>
      </c>
      <c r="C14" s="27" t="s">
        <v>102</v>
      </c>
      <c r="D14" s="28"/>
      <c r="E14" s="9" t="s">
        <v>421</v>
      </c>
      <c r="F14" s="28"/>
      <c r="G14" s="29"/>
      <c r="H14" s="29"/>
    </row>
    <row r="15" customFormat="false" ht="15" hidden="false" customHeight="true" outlineLevel="0" collapsed="false">
      <c r="A15" s="5" t="n">
        <v>2</v>
      </c>
      <c r="B15" s="26" t="s">
        <v>186</v>
      </c>
      <c r="C15" s="27" t="s">
        <v>102</v>
      </c>
      <c r="D15" s="28"/>
      <c r="E15" s="9" t="s">
        <v>421</v>
      </c>
      <c r="F15" s="28"/>
      <c r="G15" s="29"/>
      <c r="H15" s="29"/>
    </row>
    <row r="16" customFormat="false" ht="15" hidden="false" customHeight="true" outlineLevel="0" collapsed="false">
      <c r="A16" s="5" t="n">
        <v>3</v>
      </c>
      <c r="B16" s="26" t="s">
        <v>406</v>
      </c>
      <c r="C16" s="27" t="s">
        <v>102</v>
      </c>
      <c r="D16" s="28"/>
      <c r="E16" s="9" t="s">
        <v>421</v>
      </c>
      <c r="F16" s="28"/>
      <c r="G16" s="29"/>
      <c r="H16" s="29"/>
    </row>
    <row r="17" customFormat="false" ht="15" hidden="false" customHeight="true" outlineLevel="0" collapsed="false">
      <c r="A17" s="5" t="n">
        <v>4</v>
      </c>
      <c r="B17" s="26" t="s">
        <v>203</v>
      </c>
      <c r="C17" s="27" t="s">
        <v>102</v>
      </c>
      <c r="D17" s="28"/>
      <c r="E17" s="9" t="s">
        <v>421</v>
      </c>
      <c r="F17" s="28"/>
      <c r="G17" s="29"/>
      <c r="H17" s="29"/>
    </row>
    <row r="18" customFormat="false" ht="15" hidden="false" customHeight="true" outlineLevel="0" collapsed="false">
      <c r="A18" s="5" t="n">
        <v>5</v>
      </c>
      <c r="B18" s="26" t="s">
        <v>408</v>
      </c>
      <c r="C18" s="27" t="s">
        <v>102</v>
      </c>
      <c r="D18" s="28"/>
      <c r="E18" s="9" t="s">
        <v>421</v>
      </c>
      <c r="F18" s="28"/>
      <c r="G18" s="29"/>
      <c r="H18" s="29"/>
    </row>
    <row r="19" customFormat="false" ht="15" hidden="false" customHeight="true" outlineLevel="0" collapsed="false">
      <c r="A19" s="5" t="n">
        <v>6</v>
      </c>
      <c r="B19" s="26" t="s">
        <v>224</v>
      </c>
      <c r="C19" s="27" t="s">
        <v>102</v>
      </c>
      <c r="D19" s="28"/>
      <c r="E19" s="9" t="s">
        <v>421</v>
      </c>
      <c r="F19" s="28"/>
      <c r="G19" s="29"/>
      <c r="H19" s="29"/>
    </row>
    <row r="20" customFormat="false" ht="15" hidden="false" customHeight="true" outlineLevel="0" collapsed="false">
      <c r="A20" s="5" t="n">
        <v>7</v>
      </c>
      <c r="B20" s="26" t="s">
        <v>422</v>
      </c>
      <c r="C20" s="27" t="s">
        <v>102</v>
      </c>
      <c r="D20" s="28"/>
      <c r="E20" s="9" t="s">
        <v>423</v>
      </c>
      <c r="F20" s="28"/>
      <c r="G20" s="29"/>
      <c r="H20" s="29"/>
    </row>
    <row r="21" customFormat="false" ht="15" hidden="false" customHeight="true" outlineLevel="0" collapsed="false">
      <c r="A21" s="5" t="n">
        <v>8</v>
      </c>
      <c r="B21" s="26" t="s">
        <v>424</v>
      </c>
      <c r="C21" s="27" t="s">
        <v>102</v>
      </c>
      <c r="D21" s="28"/>
      <c r="E21" s="9" t="s">
        <v>421</v>
      </c>
      <c r="F21" s="28"/>
      <c r="G21" s="29"/>
      <c r="H21" s="29"/>
    </row>
    <row r="22" customFormat="false" ht="15" hidden="false" customHeight="true" outlineLevel="0" collapsed="false">
      <c r="A22" s="5" t="n">
        <v>9</v>
      </c>
      <c r="B22" s="26" t="s">
        <v>425</v>
      </c>
      <c r="C22" s="37" t="s">
        <v>244</v>
      </c>
      <c r="D22" s="28"/>
      <c r="E22" s="9" t="s">
        <v>421</v>
      </c>
      <c r="F22" s="28"/>
      <c r="G22" s="29"/>
      <c r="H22" s="29"/>
    </row>
    <row r="23" customFormat="false" ht="15" hidden="false" customHeight="true" outlineLevel="0" collapsed="false">
      <c r="A23" s="5" t="n">
        <v>10</v>
      </c>
      <c r="B23" s="26" t="s">
        <v>426</v>
      </c>
      <c r="C23" s="37" t="s">
        <v>247</v>
      </c>
      <c r="D23" s="28"/>
      <c r="E23" s="9" t="s">
        <v>421</v>
      </c>
      <c r="F23" s="28"/>
      <c r="G23" s="29"/>
      <c r="H23" s="29"/>
    </row>
    <row r="24" customFormat="false" ht="15" hidden="false" customHeight="true" outlineLevel="0" collapsed="false">
      <c r="A24" s="5" t="n">
        <v>11</v>
      </c>
      <c r="B24" s="26" t="s">
        <v>255</v>
      </c>
      <c r="C24" s="27" t="s">
        <v>102</v>
      </c>
      <c r="D24" s="28"/>
      <c r="E24" s="9" t="s">
        <v>421</v>
      </c>
      <c r="F24" s="28"/>
      <c r="G24" s="29"/>
      <c r="H24" s="29"/>
    </row>
    <row r="25" customFormat="false" ht="16.5" hidden="false" customHeight="true" outlineLevel="0" collapsed="false">
      <c r="A25" s="25" t="s">
        <v>427</v>
      </c>
      <c r="B25" s="25"/>
      <c r="C25" s="25"/>
      <c r="D25" s="25"/>
      <c r="E25" s="25"/>
      <c r="F25" s="25"/>
      <c r="G25" s="25"/>
      <c r="H25" s="25"/>
    </row>
    <row r="26" customFormat="false" ht="15" hidden="false" customHeight="true" outlineLevel="0" collapsed="false">
      <c r="A26" s="5" t="n">
        <v>12</v>
      </c>
      <c r="B26" s="26" t="s">
        <v>428</v>
      </c>
      <c r="C26" s="27" t="s">
        <v>102</v>
      </c>
      <c r="D26" s="28"/>
      <c r="E26" s="9" t="s">
        <v>181</v>
      </c>
      <c r="F26" s="28"/>
      <c r="G26" s="29"/>
      <c r="H26" s="29"/>
    </row>
    <row r="27" customFormat="false" ht="15" hidden="false" customHeight="true" outlineLevel="0" collapsed="false">
      <c r="A27" s="5" t="n">
        <v>13</v>
      </c>
      <c r="B27" s="26" t="s">
        <v>429</v>
      </c>
      <c r="C27" s="27" t="s">
        <v>102</v>
      </c>
      <c r="D27" s="28"/>
      <c r="E27" s="9" t="s">
        <v>369</v>
      </c>
      <c r="F27" s="28"/>
      <c r="G27" s="29"/>
      <c r="H27" s="29"/>
    </row>
    <row r="28" customFormat="false" ht="15" hidden="false" customHeight="true" outlineLevel="0" collapsed="false">
      <c r="A28" s="5" t="n">
        <v>14</v>
      </c>
      <c r="B28" s="26" t="s">
        <v>430</v>
      </c>
      <c r="C28" s="27" t="s">
        <v>102</v>
      </c>
      <c r="D28" s="28"/>
      <c r="E28" s="9" t="s">
        <v>431</v>
      </c>
      <c r="F28" s="28"/>
      <c r="G28" s="29"/>
      <c r="H28" s="29"/>
    </row>
    <row r="29" customFormat="false" ht="15" hidden="false" customHeight="true" outlineLevel="0" collapsed="false">
      <c r="A29" s="5" t="n">
        <v>15</v>
      </c>
      <c r="B29" s="26" t="s">
        <v>432</v>
      </c>
      <c r="C29" s="27" t="s">
        <v>102</v>
      </c>
      <c r="D29" s="28"/>
      <c r="E29" s="9" t="s">
        <v>433</v>
      </c>
      <c r="F29" s="28"/>
      <c r="G29" s="29"/>
      <c r="H29" s="29"/>
    </row>
    <row r="31" customFormat="false" ht="18" hidden="false" customHeight="true" outlineLevel="0" collapsed="false">
      <c r="A31" s="38" t="s">
        <v>271</v>
      </c>
      <c r="B31" s="38"/>
      <c r="C31" s="38"/>
      <c r="D31" s="38"/>
      <c r="E31" s="38"/>
      <c r="F31" s="38"/>
      <c r="G31" s="38"/>
      <c r="H31" s="38"/>
    </row>
    <row r="32" customFormat="false" ht="24" hidden="false" customHeight="true" outlineLevel="0" collapsed="false">
      <c r="A32" s="39" t="s">
        <v>272</v>
      </c>
      <c r="B32" s="39"/>
      <c r="C32" s="39" t="s">
        <v>273</v>
      </c>
      <c r="D32" s="39" t="s">
        <v>274</v>
      </c>
      <c r="E32" s="39"/>
      <c r="F32" s="39" t="s">
        <v>275</v>
      </c>
      <c r="G32" s="39" t="s">
        <v>276</v>
      </c>
      <c r="H32" s="39" t="s">
        <v>277</v>
      </c>
    </row>
    <row r="33" customFormat="false" ht="15.75" hidden="false" customHeight="true" outlineLevel="0" collapsed="false">
      <c r="A33" s="29"/>
      <c r="B33" s="29"/>
      <c r="C33" s="28"/>
      <c r="D33" s="29"/>
      <c r="E33" s="29"/>
      <c r="F33" s="29"/>
      <c r="G33" s="29"/>
      <c r="H33" s="29"/>
    </row>
    <row r="34" customFormat="false" ht="15.75" hidden="false" customHeight="true" outlineLevel="0" collapsed="false">
      <c r="A34" s="29"/>
      <c r="B34" s="29"/>
      <c r="C34" s="28"/>
      <c r="D34" s="29"/>
      <c r="E34" s="29"/>
      <c r="F34" s="29"/>
      <c r="G34" s="29"/>
      <c r="H34" s="29"/>
    </row>
    <row r="35" customFormat="false" ht="15.75" hidden="false" customHeight="true" outlineLevel="0" collapsed="false">
      <c r="A35" s="29"/>
      <c r="B35" s="29"/>
      <c r="C35" s="28"/>
      <c r="D35" s="29"/>
      <c r="E35" s="29"/>
      <c r="F35" s="29"/>
      <c r="G35" s="29"/>
      <c r="H35" s="29"/>
    </row>
    <row r="36" customFormat="false" ht="15.75" hidden="false" customHeight="true" outlineLevel="0" collapsed="false">
      <c r="A36" s="29"/>
      <c r="B36" s="29"/>
      <c r="C36" s="28"/>
      <c r="D36" s="29"/>
      <c r="E36" s="29"/>
      <c r="F36" s="29"/>
      <c r="G36" s="29"/>
      <c r="H36" s="29"/>
    </row>
    <row r="37" customFormat="false" ht="15.75" hidden="false" customHeight="true" outlineLevel="0" collapsed="false">
      <c r="A37" s="29"/>
      <c r="B37" s="29"/>
      <c r="C37" s="28"/>
      <c r="D37" s="29"/>
      <c r="E37" s="29"/>
      <c r="F37" s="29"/>
      <c r="G37" s="29"/>
      <c r="H37" s="29"/>
    </row>
    <row r="38" customFormat="false" ht="15.75" hidden="false" customHeight="true" outlineLevel="0" collapsed="false">
      <c r="A38" s="29"/>
      <c r="B38" s="29"/>
      <c r="C38" s="28"/>
      <c r="D38" s="29"/>
      <c r="E38" s="29"/>
      <c r="F38" s="29"/>
      <c r="G38" s="29"/>
      <c r="H38" s="29"/>
    </row>
    <row r="39" customFormat="false" ht="15.75" hidden="false" customHeight="true" outlineLevel="0" collapsed="false">
      <c r="A39" s="29"/>
      <c r="B39" s="29"/>
      <c r="C39" s="28"/>
      <c r="D39" s="29"/>
      <c r="E39" s="29"/>
      <c r="F39" s="29"/>
      <c r="G39" s="29"/>
      <c r="H39" s="29"/>
    </row>
    <row r="40" customFormat="false" ht="15.75" hidden="false" customHeight="true" outlineLevel="0" collapsed="false">
      <c r="A40" s="29"/>
      <c r="B40" s="29"/>
      <c r="C40" s="28"/>
      <c r="D40" s="29"/>
      <c r="E40" s="29"/>
      <c r="F40" s="29"/>
      <c r="G40" s="29"/>
      <c r="H40" s="29"/>
    </row>
    <row r="42" customFormat="false" ht="18" hidden="false" customHeight="true" outlineLevel="0" collapsed="false">
      <c r="A42" s="20" t="s">
        <v>130</v>
      </c>
      <c r="B42" s="20"/>
      <c r="C42" s="20"/>
      <c r="D42" s="20"/>
      <c r="E42" s="20"/>
      <c r="F42" s="20"/>
      <c r="G42" s="20"/>
      <c r="H42" s="20"/>
    </row>
    <row r="43" customFormat="false" ht="15.75" hidden="false" customHeight="true" outlineLevel="0" collapsed="false">
      <c r="A43" s="30" t="s">
        <v>116</v>
      </c>
      <c r="B43" s="30"/>
      <c r="C43" s="31" t="n">
        <f aca="false">COUNTIF(F14:F29,"سليم")</f>
        <v>0</v>
      </c>
      <c r="D43" s="31"/>
      <c r="E43" s="30" t="s">
        <v>434</v>
      </c>
      <c r="F43" s="30"/>
      <c r="G43" s="31" t="n">
        <f aca="false">COUNTIF(F14:F29,"ضرر طفيف")</f>
        <v>0</v>
      </c>
      <c r="H43" s="31"/>
    </row>
    <row r="44" customFormat="false" ht="15.75" hidden="false" customHeight="true" outlineLevel="0" collapsed="false">
      <c r="A44" s="30" t="s">
        <v>435</v>
      </c>
      <c r="B44" s="30"/>
      <c r="C44" s="31" t="n">
        <f aca="false">COUNTIF(F14:F29,"ضرر متوسط")</f>
        <v>0</v>
      </c>
      <c r="D44" s="31"/>
      <c r="E44" s="30" t="s">
        <v>436</v>
      </c>
      <c r="F44" s="30"/>
      <c r="G44" s="31" t="n">
        <f aca="false">COUNTIF(F14:F29,"ضرر بالغ")</f>
        <v>0</v>
      </c>
      <c r="H44" s="31"/>
    </row>
    <row r="45" customFormat="false" ht="15.75" hidden="false" customHeight="true" outlineLevel="0" collapsed="false">
      <c r="A45" s="30" t="s">
        <v>437</v>
      </c>
      <c r="B45" s="30"/>
      <c r="C45" s="31" t="n">
        <f aca="false">COUNTIF(F14:F29,"يحتاج استبدال")</f>
        <v>0</v>
      </c>
      <c r="D45" s="31"/>
      <c r="E45" s="30" t="s">
        <v>438</v>
      </c>
      <c r="F45" s="30"/>
      <c r="G45" s="32" t="str">
        <f aca="false">IFERROR((COUNTIF(F14:F29,"سليم"))/(COUNTIF(F14:F29,"سليم")+COUNTIF(F14:F29,"ضرر طفيف")+COUNTIF(F14:F29,"ضرر متوسط")+COUNTIF(F14:F29,"ضرر بالغ")+COUNTIF(F14:F29,"يحتاج استبدال")),"")</f>
        <v/>
      </c>
      <c r="H45" s="32"/>
    </row>
    <row r="46" customFormat="false" ht="15.75" hidden="false" customHeight="true" outlineLevel="0" collapsed="false">
      <c r="A46" s="30" t="s">
        <v>135</v>
      </c>
      <c r="B46" s="30"/>
      <c r="C46" s="33"/>
      <c r="D46" s="33"/>
      <c r="E46" s="30" t="s">
        <v>136</v>
      </c>
      <c r="F46" s="30"/>
      <c r="G46" s="33"/>
      <c r="H46" s="33"/>
    </row>
    <row r="47" customFormat="false" ht="15.75" hidden="false" customHeight="true" outlineLevel="0" collapsed="false">
      <c r="A47" s="30" t="s">
        <v>137</v>
      </c>
      <c r="B47" s="30"/>
      <c r="C47" s="33"/>
      <c r="D47" s="33"/>
      <c r="E47" s="30" t="s">
        <v>138</v>
      </c>
      <c r="F47" s="30"/>
      <c r="G47" s="33"/>
      <c r="H47" s="33"/>
    </row>
    <row r="48" customFormat="false" ht="19.5" hidden="false" customHeight="true" outlineLevel="0" collapsed="false">
      <c r="A48" s="34" t="s">
        <v>139</v>
      </c>
      <c r="B48" s="34"/>
      <c r="C48" s="35"/>
      <c r="D48" s="35"/>
      <c r="E48" s="35"/>
      <c r="F48" s="35"/>
      <c r="G48" s="35"/>
      <c r="H48" s="35"/>
    </row>
    <row r="49" customFormat="false" ht="15.75" hidden="false" customHeight="true" outlineLevel="0" collapsed="false">
      <c r="A49" s="30" t="s">
        <v>140</v>
      </c>
      <c r="B49" s="30"/>
      <c r="C49" s="33"/>
      <c r="D49" s="33"/>
      <c r="E49" s="30" t="s">
        <v>141</v>
      </c>
      <c r="F49" s="30"/>
      <c r="G49" s="31"/>
      <c r="H49" s="31"/>
    </row>
    <row r="50" customFormat="false" ht="15.75" hidden="false" customHeight="true" outlineLevel="0" collapsed="false">
      <c r="A50" s="30" t="s">
        <v>142</v>
      </c>
      <c r="B50" s="30"/>
      <c r="C50" s="31"/>
      <c r="D50" s="31"/>
      <c r="E50" s="30" t="s">
        <v>143</v>
      </c>
      <c r="F50" s="30"/>
      <c r="G50" s="31"/>
      <c r="H50" s="31"/>
    </row>
    <row r="52" customFormat="false" ht="19.5" hidden="false" customHeight="true" outlineLevel="0" collapsed="false">
      <c r="A52" s="36" t="s">
        <v>144</v>
      </c>
      <c r="B52" s="36"/>
      <c r="C52" s="36"/>
      <c r="D52" s="36"/>
      <c r="E52" s="36" t="s">
        <v>145</v>
      </c>
      <c r="F52" s="36"/>
      <c r="G52" s="36"/>
      <c r="H52" s="36"/>
    </row>
  </sheetData>
  <mergeCells count="70">
    <mergeCell ref="A1:H1"/>
    <mergeCell ref="A2:H2"/>
    <mergeCell ref="A3:H3"/>
    <mergeCell ref="A4:H4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1:H11"/>
    <mergeCell ref="A13:H13"/>
    <mergeCell ref="A25:H25"/>
    <mergeCell ref="A31:H31"/>
    <mergeCell ref="A32:B32"/>
    <mergeCell ref="D32:E32"/>
    <mergeCell ref="A33:B33"/>
    <mergeCell ref="D33:E33"/>
    <mergeCell ref="A34:B34"/>
    <mergeCell ref="D34:E34"/>
    <mergeCell ref="A35:B35"/>
    <mergeCell ref="D35:E35"/>
    <mergeCell ref="A36:B36"/>
    <mergeCell ref="D36:E36"/>
    <mergeCell ref="A37:B37"/>
    <mergeCell ref="D37:E37"/>
    <mergeCell ref="A38:B38"/>
    <mergeCell ref="D38:E38"/>
    <mergeCell ref="A39:B39"/>
    <mergeCell ref="D39:E39"/>
    <mergeCell ref="A40:B40"/>
    <mergeCell ref="D40:E40"/>
    <mergeCell ref="A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B47"/>
    <mergeCell ref="C47:D47"/>
    <mergeCell ref="E47:F47"/>
    <mergeCell ref="G47:H47"/>
    <mergeCell ref="A48:B48"/>
    <mergeCell ref="C48:H48"/>
    <mergeCell ref="A49:B49"/>
    <mergeCell ref="C49:D49"/>
    <mergeCell ref="E49:F49"/>
    <mergeCell ref="G49:H49"/>
    <mergeCell ref="A50:B50"/>
    <mergeCell ref="C50:D50"/>
    <mergeCell ref="E50:F50"/>
    <mergeCell ref="G50:H50"/>
    <mergeCell ref="A52:D52"/>
    <mergeCell ref="E52:H52"/>
  </mergeCells>
  <dataValidations count="10">
    <dataValidation allowBlank="true" errorStyle="stop" operator="between" showDropDown="false" showErrorMessage="false" showInputMessage="false" sqref="F14:F24 F26:F29" type="list">
      <formula1>"سليم,ضرر طفيف,ضرر متوسط,ضرر بالغ,يحتاج استبدال"</formula1>
      <formula2>0</formula2>
    </dataValidation>
    <dataValidation allowBlank="true" errorStyle="stop" operator="between" showDropDown="false" showErrorMessage="false" showInputMessage="false" sqref="D14:D24 D26:D29" type="list">
      <formula1>"فحص نظري,قياس بالأجهزة,تشغيل واختبار,فحص يدوي"</formula1>
      <formula2>0</formula2>
    </dataValidation>
    <dataValidation allowBlank="true" errorStyle="stop" operator="between" showDropDown="false" showErrorMessage="false" showInputMessage="false" sqref="C14:C24 C26:C29" type="list">
      <formula1>"عام,حفّار,قلّاب,دريل,لودر"</formula1>
      <formula2>0</formula2>
    </dataValidation>
    <dataValidation allowBlank="true" errorStyle="stop" operator="between" showDropDown="false" showErrorMessage="false" showInputMessage="false" sqref="C33:C40" type="list">
      <formula1>"نعم,لا"</formula1>
      <formula2>0</formula2>
    </dataValidation>
    <dataValidation allowBlank="true" errorStyle="stop" operator="between" showDropDown="false" showErrorMessage="false" showInputMessage="false" sqref="C46" type="list">
      <formula1>"سليمة,صالحة بملاحظات,غير صالحة / حرجة"</formula1>
      <formula2>0</formula2>
    </dataValidation>
    <dataValidation allowBlank="true" errorStyle="stop" operator="between" showDropDown="false" showErrorMessage="false" showInputMessage="false" sqref="G46" type="list">
      <formula1>"قبول فني,قبول بملاحظات,صيانة فورية,مراقبة,إصلاح جذري (عمرة),استبدال,رفض فني,بيع / تخلّص"</formula1>
      <formula2>0</formula2>
    </dataValidation>
    <dataValidation allowBlank="true" errorStyle="stop" operator="between" showDropDown="false" showErrorMessage="false" showInputMessage="false" sqref="C47" type="list">
      <formula1>"معتمدة فنيًّا,مرفوضة,بانتظار استكمال"</formula1>
      <formula2>0</formula2>
    </dataValidation>
    <dataValidation allowBlank="true" errorStyle="stop" operator="between" showDropDown="false" showErrorMessage="false" showInputMessage="false" sqref="G47" type="list">
      <formula1>"منخفض,متوسط,مرتفع,حرج"</formula1>
      <formula2>0</formula2>
    </dataValidation>
    <dataValidation allowBlank="true" errorStyle="stop" operator="between" showDropDown="false" showErrorMessage="false" showInputMessage="false" sqref="C49" type="list">
      <formula1>"صيانة,تشغيل,مورد,أسطول,مشتريات"</formula1>
      <formula2>0</formula2>
    </dataValidation>
    <dataValidation allowBlank="true" errorStyle="stop" operator="between" showDropDown="false" showErrorMessage="false" showInputMessage="false" sqref="C48" type="list">
      <formula1>"يسمح بالتشغيل,يسمح بالتشغيل مع متابعة,يسمح بالتشغيل حتى موعد محدد,يمنع التشغيل,يحتاج اعتماد استثنائي"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8" min="7" style="0" width="20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7" t="s">
        <v>40</v>
      </c>
      <c r="B2" s="17"/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A3" s="18" t="s">
        <v>439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440</v>
      </c>
      <c r="B4" s="19"/>
      <c r="C4" s="19"/>
      <c r="D4" s="19"/>
      <c r="E4" s="19"/>
      <c r="F4" s="19"/>
      <c r="G4" s="19"/>
      <c r="H4" s="19"/>
    </row>
    <row r="5" customFormat="false" ht="18" hidden="false" customHeight="true" outlineLevel="0" collapsed="false">
      <c r="A5" s="20" t="s">
        <v>74</v>
      </c>
      <c r="B5" s="20"/>
      <c r="C5" s="20"/>
      <c r="D5" s="20"/>
      <c r="E5" s="20"/>
      <c r="F5" s="20"/>
      <c r="G5" s="20"/>
      <c r="H5" s="20"/>
    </row>
    <row r="6" customFormat="false" ht="15.75" hidden="false" customHeight="true" outlineLevel="0" collapsed="false">
      <c r="A6" s="21" t="s">
        <v>75</v>
      </c>
      <c r="B6" s="22" t="s">
        <v>148</v>
      </c>
      <c r="C6" s="22"/>
      <c r="D6" s="22"/>
      <c r="E6" s="21" t="s">
        <v>149</v>
      </c>
      <c r="F6" s="22" t="s">
        <v>441</v>
      </c>
      <c r="G6" s="22"/>
      <c r="H6" s="22"/>
    </row>
    <row r="7" customFormat="false" ht="15.75" hidden="false" customHeight="true" outlineLevel="0" collapsed="false">
      <c r="A7" s="21" t="s">
        <v>79</v>
      </c>
      <c r="B7" s="22" t="s">
        <v>151</v>
      </c>
      <c r="C7" s="22"/>
      <c r="D7" s="22"/>
      <c r="E7" s="21" t="s">
        <v>142</v>
      </c>
      <c r="F7" s="22" t="s">
        <v>152</v>
      </c>
      <c r="G7" s="22"/>
      <c r="H7" s="22"/>
    </row>
    <row r="8" customFormat="false" ht="15.75" hidden="false" customHeight="true" outlineLevel="0" collapsed="false">
      <c r="A8" s="21" t="s">
        <v>153</v>
      </c>
      <c r="B8" s="22" t="s">
        <v>154</v>
      </c>
      <c r="C8" s="22"/>
      <c r="D8" s="22"/>
      <c r="E8" s="21" t="s">
        <v>87</v>
      </c>
      <c r="F8" s="22" t="s">
        <v>155</v>
      </c>
      <c r="G8" s="22"/>
      <c r="H8" s="22"/>
    </row>
    <row r="9" customFormat="false" ht="15.75" hidden="false" customHeight="true" outlineLevel="0" collapsed="false">
      <c r="A9" s="21" t="s">
        <v>83</v>
      </c>
      <c r="B9" s="22" t="s">
        <v>156</v>
      </c>
      <c r="C9" s="22"/>
      <c r="D9" s="22"/>
      <c r="E9" s="21" t="s">
        <v>157</v>
      </c>
      <c r="F9" s="22" t="s">
        <v>158</v>
      </c>
      <c r="G9" s="22"/>
      <c r="H9" s="22"/>
    </row>
    <row r="10" customFormat="false" ht="15.75" hidden="false" customHeight="true" outlineLevel="0" collapsed="false">
      <c r="A10" s="29"/>
      <c r="B10" s="29"/>
      <c r="C10" s="29"/>
      <c r="D10" s="29"/>
      <c r="E10" s="21" t="s">
        <v>159</v>
      </c>
      <c r="F10" s="22" t="s">
        <v>160</v>
      </c>
      <c r="G10" s="22"/>
      <c r="H10" s="22"/>
    </row>
    <row r="11" customFormat="false" ht="24" hidden="false" customHeight="true" outlineLevel="0" collapsed="false">
      <c r="A11" s="23" t="s">
        <v>442</v>
      </c>
      <c r="B11" s="23"/>
      <c r="C11" s="23"/>
      <c r="D11" s="23"/>
      <c r="E11" s="23"/>
      <c r="F11" s="23"/>
      <c r="G11" s="23"/>
      <c r="H11" s="23"/>
    </row>
    <row r="12" customFormat="false" ht="25.5" hidden="false" customHeight="true" outlineLevel="0" collapsed="false">
      <c r="A12" s="24" t="s">
        <v>92</v>
      </c>
      <c r="B12" s="24" t="s">
        <v>93</v>
      </c>
      <c r="C12" s="24" t="s">
        <v>94</v>
      </c>
      <c r="D12" s="24" t="s">
        <v>95</v>
      </c>
      <c r="E12" s="24" t="s">
        <v>96</v>
      </c>
      <c r="F12" s="24" t="s">
        <v>97</v>
      </c>
      <c r="G12" s="24" t="s">
        <v>98</v>
      </c>
      <c r="H12" s="24" t="s">
        <v>99</v>
      </c>
    </row>
    <row r="13" customFormat="false" ht="16.5" hidden="false" customHeight="true" outlineLevel="0" collapsed="false">
      <c r="A13" s="25" t="s">
        <v>443</v>
      </c>
      <c r="B13" s="25"/>
      <c r="C13" s="25"/>
      <c r="D13" s="25"/>
      <c r="E13" s="25"/>
      <c r="F13" s="25"/>
      <c r="G13" s="25"/>
      <c r="H13" s="25"/>
    </row>
    <row r="14" customFormat="false" ht="15" hidden="false" customHeight="true" outlineLevel="0" collapsed="false">
      <c r="A14" s="5" t="n">
        <v>1</v>
      </c>
      <c r="B14" s="26" t="s">
        <v>444</v>
      </c>
      <c r="C14" s="27" t="s">
        <v>102</v>
      </c>
      <c r="D14" s="28"/>
      <c r="E14" s="9" t="s">
        <v>445</v>
      </c>
      <c r="F14" s="28"/>
      <c r="G14" s="29"/>
      <c r="H14" s="29"/>
    </row>
    <row r="15" customFormat="false" ht="15" hidden="false" customHeight="true" outlineLevel="0" collapsed="false">
      <c r="A15" s="5" t="n">
        <v>2</v>
      </c>
      <c r="B15" s="26" t="s">
        <v>446</v>
      </c>
      <c r="C15" s="27" t="s">
        <v>102</v>
      </c>
      <c r="D15" s="28"/>
      <c r="E15" s="9" t="s">
        <v>447</v>
      </c>
      <c r="F15" s="28"/>
      <c r="G15" s="29"/>
      <c r="H15" s="29"/>
    </row>
    <row r="16" customFormat="false" ht="15" hidden="false" customHeight="true" outlineLevel="0" collapsed="false">
      <c r="A16" s="5" t="n">
        <v>3</v>
      </c>
      <c r="B16" s="26" t="s">
        <v>448</v>
      </c>
      <c r="C16" s="27" t="s">
        <v>102</v>
      </c>
      <c r="D16" s="28"/>
      <c r="E16" s="9" t="s">
        <v>449</v>
      </c>
      <c r="F16" s="28"/>
      <c r="G16" s="29"/>
      <c r="H16" s="29"/>
    </row>
    <row r="17" customFormat="false" ht="15" hidden="false" customHeight="true" outlineLevel="0" collapsed="false">
      <c r="A17" s="5" t="n">
        <v>4</v>
      </c>
      <c r="B17" s="26" t="s">
        <v>450</v>
      </c>
      <c r="C17" s="27" t="s">
        <v>102</v>
      </c>
      <c r="D17" s="28"/>
      <c r="E17" s="9" t="s">
        <v>445</v>
      </c>
      <c r="F17" s="28"/>
      <c r="G17" s="29"/>
      <c r="H17" s="29"/>
    </row>
    <row r="18" customFormat="false" ht="15" hidden="false" customHeight="true" outlineLevel="0" collapsed="false">
      <c r="A18" s="5" t="n">
        <v>5</v>
      </c>
      <c r="B18" s="26" t="s">
        <v>451</v>
      </c>
      <c r="C18" s="37" t="s">
        <v>213</v>
      </c>
      <c r="D18" s="28"/>
      <c r="E18" s="9" t="s">
        <v>452</v>
      </c>
      <c r="F18" s="28"/>
      <c r="G18" s="29"/>
      <c r="H18" s="29"/>
    </row>
    <row r="19" customFormat="false" ht="15" hidden="false" customHeight="true" outlineLevel="0" collapsed="false">
      <c r="A19" s="5" t="n">
        <v>6</v>
      </c>
      <c r="B19" s="26" t="s">
        <v>453</v>
      </c>
      <c r="C19" s="27" t="s">
        <v>102</v>
      </c>
      <c r="D19" s="28"/>
      <c r="E19" s="9" t="s">
        <v>454</v>
      </c>
      <c r="F19" s="28"/>
      <c r="G19" s="29"/>
      <c r="H19" s="29"/>
    </row>
    <row r="20" customFormat="false" ht="15" hidden="false" customHeight="true" outlineLevel="0" collapsed="false">
      <c r="A20" s="5" t="n">
        <v>7</v>
      </c>
      <c r="B20" s="26" t="s">
        <v>455</v>
      </c>
      <c r="C20" s="37" t="s">
        <v>241</v>
      </c>
      <c r="D20" s="28"/>
      <c r="E20" s="9" t="s">
        <v>456</v>
      </c>
      <c r="F20" s="28"/>
      <c r="G20" s="29"/>
      <c r="H20" s="29"/>
    </row>
    <row r="21" customFormat="false" ht="16.5" hidden="false" customHeight="true" outlineLevel="0" collapsed="false">
      <c r="A21" s="25" t="s">
        <v>457</v>
      </c>
      <c r="B21" s="25"/>
      <c r="C21" s="25"/>
      <c r="D21" s="25"/>
      <c r="E21" s="25"/>
      <c r="F21" s="25"/>
      <c r="G21" s="25"/>
      <c r="H21" s="25"/>
    </row>
    <row r="22" customFormat="false" ht="15" hidden="false" customHeight="true" outlineLevel="0" collapsed="false">
      <c r="A22" s="5" t="n">
        <v>8</v>
      </c>
      <c r="B22" s="26" t="s">
        <v>458</v>
      </c>
      <c r="C22" s="27" t="s">
        <v>102</v>
      </c>
      <c r="D22" s="28"/>
      <c r="E22" s="9" t="s">
        <v>459</v>
      </c>
      <c r="F22" s="28"/>
      <c r="G22" s="29"/>
      <c r="H22" s="29"/>
    </row>
    <row r="23" customFormat="false" ht="15" hidden="false" customHeight="true" outlineLevel="0" collapsed="false">
      <c r="A23" s="5" t="n">
        <v>9</v>
      </c>
      <c r="B23" s="26" t="s">
        <v>460</v>
      </c>
      <c r="C23" s="27" t="s">
        <v>102</v>
      </c>
      <c r="D23" s="28"/>
      <c r="E23" s="9" t="s">
        <v>459</v>
      </c>
      <c r="F23" s="28"/>
      <c r="G23" s="29"/>
      <c r="H23" s="29"/>
    </row>
    <row r="24" customFormat="false" ht="15" hidden="false" customHeight="true" outlineLevel="0" collapsed="false">
      <c r="A24" s="5" t="n">
        <v>10</v>
      </c>
      <c r="B24" s="26" t="s">
        <v>461</v>
      </c>
      <c r="C24" s="27" t="s">
        <v>102</v>
      </c>
      <c r="D24" s="28"/>
      <c r="E24" s="9" t="s">
        <v>433</v>
      </c>
      <c r="F24" s="28"/>
      <c r="G24" s="29"/>
      <c r="H24" s="29"/>
    </row>
    <row r="25" customFormat="false" ht="15" hidden="false" customHeight="true" outlineLevel="0" collapsed="false">
      <c r="A25" s="5" t="n">
        <v>11</v>
      </c>
      <c r="B25" s="26" t="s">
        <v>462</v>
      </c>
      <c r="C25" s="27" t="s">
        <v>102</v>
      </c>
      <c r="D25" s="28"/>
      <c r="E25" s="9" t="s">
        <v>363</v>
      </c>
      <c r="F25" s="28"/>
      <c r="G25" s="29"/>
      <c r="H25" s="29"/>
    </row>
    <row r="27" customFormat="false" ht="18" hidden="false" customHeight="true" outlineLevel="0" collapsed="false">
      <c r="A27" s="38" t="s">
        <v>271</v>
      </c>
      <c r="B27" s="38"/>
      <c r="C27" s="38"/>
      <c r="D27" s="38"/>
      <c r="E27" s="38"/>
      <c r="F27" s="38"/>
      <c r="G27" s="38"/>
      <c r="H27" s="38"/>
    </row>
    <row r="28" customFormat="false" ht="24" hidden="false" customHeight="true" outlineLevel="0" collapsed="false">
      <c r="A28" s="39" t="s">
        <v>272</v>
      </c>
      <c r="B28" s="39"/>
      <c r="C28" s="39" t="s">
        <v>273</v>
      </c>
      <c r="D28" s="39" t="s">
        <v>274</v>
      </c>
      <c r="E28" s="39"/>
      <c r="F28" s="39" t="s">
        <v>275</v>
      </c>
      <c r="G28" s="39" t="s">
        <v>276</v>
      </c>
      <c r="H28" s="39" t="s">
        <v>277</v>
      </c>
    </row>
    <row r="29" customFormat="false" ht="15.75" hidden="false" customHeight="true" outlineLevel="0" collapsed="false">
      <c r="A29" s="29"/>
      <c r="B29" s="29"/>
      <c r="C29" s="28"/>
      <c r="D29" s="29"/>
      <c r="E29" s="29"/>
      <c r="F29" s="29"/>
      <c r="G29" s="29"/>
      <c r="H29" s="29"/>
    </row>
    <row r="30" customFormat="false" ht="15.75" hidden="false" customHeight="true" outlineLevel="0" collapsed="false">
      <c r="A30" s="29"/>
      <c r="B30" s="29"/>
      <c r="C30" s="28"/>
      <c r="D30" s="29"/>
      <c r="E30" s="29"/>
      <c r="F30" s="29"/>
      <c r="G30" s="29"/>
      <c r="H30" s="29"/>
    </row>
    <row r="31" customFormat="false" ht="15.75" hidden="false" customHeight="true" outlineLevel="0" collapsed="false">
      <c r="A31" s="29"/>
      <c r="B31" s="29"/>
      <c r="C31" s="28"/>
      <c r="D31" s="29"/>
      <c r="E31" s="29"/>
      <c r="F31" s="29"/>
      <c r="G31" s="29"/>
      <c r="H31" s="29"/>
    </row>
    <row r="32" customFormat="false" ht="15.75" hidden="false" customHeight="true" outlineLevel="0" collapsed="false">
      <c r="A32" s="29"/>
      <c r="B32" s="29"/>
      <c r="C32" s="28"/>
      <c r="D32" s="29"/>
      <c r="E32" s="29"/>
      <c r="F32" s="29"/>
      <c r="G32" s="29"/>
      <c r="H32" s="29"/>
    </row>
    <row r="33" customFormat="false" ht="15.75" hidden="false" customHeight="true" outlineLevel="0" collapsed="false">
      <c r="A33" s="29"/>
      <c r="B33" s="29"/>
      <c r="C33" s="28"/>
      <c r="D33" s="29"/>
      <c r="E33" s="29"/>
      <c r="F33" s="29"/>
      <c r="G33" s="29"/>
      <c r="H33" s="29"/>
    </row>
    <row r="34" customFormat="false" ht="15.75" hidden="false" customHeight="true" outlineLevel="0" collapsed="false">
      <c r="A34" s="29"/>
      <c r="B34" s="29"/>
      <c r="C34" s="28"/>
      <c r="D34" s="29"/>
      <c r="E34" s="29"/>
      <c r="F34" s="29"/>
      <c r="G34" s="29"/>
      <c r="H34" s="29"/>
    </row>
    <row r="35" customFormat="false" ht="15.75" hidden="false" customHeight="true" outlineLevel="0" collapsed="false">
      <c r="A35" s="29"/>
      <c r="B35" s="29"/>
      <c r="C35" s="28"/>
      <c r="D35" s="29"/>
      <c r="E35" s="29"/>
      <c r="F35" s="29"/>
      <c r="G35" s="29"/>
      <c r="H35" s="29"/>
    </row>
    <row r="36" customFormat="false" ht="15.75" hidden="false" customHeight="true" outlineLevel="0" collapsed="false">
      <c r="A36" s="29"/>
      <c r="B36" s="29"/>
      <c r="C36" s="28"/>
      <c r="D36" s="29"/>
      <c r="E36" s="29"/>
      <c r="F36" s="29"/>
      <c r="G36" s="29"/>
      <c r="H36" s="29"/>
    </row>
    <row r="38" customFormat="false" ht="18" hidden="false" customHeight="true" outlineLevel="0" collapsed="false">
      <c r="A38" s="20" t="s">
        <v>130</v>
      </c>
      <c r="B38" s="20"/>
      <c r="C38" s="20"/>
      <c r="D38" s="20"/>
      <c r="E38" s="20"/>
      <c r="F38" s="20"/>
      <c r="G38" s="20"/>
      <c r="H38" s="20"/>
    </row>
    <row r="39" customFormat="false" ht="15.75" hidden="false" customHeight="true" outlineLevel="0" collapsed="false">
      <c r="A39" s="30" t="s">
        <v>463</v>
      </c>
      <c r="B39" s="30"/>
      <c r="C39" s="31" t="n">
        <f aca="false">COUNTIF(F14:F25,"صالح")</f>
        <v>0</v>
      </c>
      <c r="D39" s="31"/>
      <c r="E39" s="30" t="s">
        <v>245</v>
      </c>
      <c r="F39" s="30"/>
      <c r="G39" s="31" t="n">
        <f aca="false">COUNTIF(F14:F25,"تآكل ضمن الحد")</f>
        <v>0</v>
      </c>
      <c r="H39" s="31"/>
    </row>
    <row r="40" customFormat="false" ht="15.75" hidden="false" customHeight="true" outlineLevel="0" collapsed="false">
      <c r="A40" s="30" t="s">
        <v>464</v>
      </c>
      <c r="B40" s="30"/>
      <c r="C40" s="31" t="n">
        <f aca="false">COUNTIF(F14:F25,"يحتاج عمرة")</f>
        <v>0</v>
      </c>
      <c r="D40" s="31"/>
      <c r="E40" s="30" t="s">
        <v>437</v>
      </c>
      <c r="F40" s="30"/>
      <c r="G40" s="31" t="n">
        <f aca="false">COUNTIF(F14:F25,"يحتاج استبدال")</f>
        <v>0</v>
      </c>
      <c r="H40" s="31"/>
    </row>
    <row r="41" customFormat="false" ht="15.75" hidden="false" customHeight="true" outlineLevel="0" collapsed="false">
      <c r="A41" s="30" t="s">
        <v>465</v>
      </c>
      <c r="B41" s="30"/>
      <c r="C41" s="32" t="str">
        <f aca="false">IFERROR((COUNTIF(F14:F25,"صالح")+COUNTIF(F14:F25,"تآكل ضمن الحد"))/(COUNTIF(F14:F25,"صالح")+COUNTIF(F14:F25,"تآكل ضمن الحد")+COUNTIF(F14:F25,"يحتاج عمرة")+COUNTIF(F14:F25,"يحتاج استبدال")),"")</f>
        <v/>
      </c>
      <c r="D41" s="32"/>
      <c r="E41" s="30"/>
      <c r="F41" s="30"/>
      <c r="G41" s="31"/>
      <c r="H41" s="31"/>
    </row>
    <row r="42" customFormat="false" ht="15.75" hidden="false" customHeight="true" outlineLevel="0" collapsed="false">
      <c r="A42" s="30" t="s">
        <v>135</v>
      </c>
      <c r="B42" s="30"/>
      <c r="C42" s="33"/>
      <c r="D42" s="33"/>
      <c r="E42" s="30" t="s">
        <v>136</v>
      </c>
      <c r="F42" s="30"/>
      <c r="G42" s="33"/>
      <c r="H42" s="33"/>
    </row>
    <row r="43" customFormat="false" ht="15.75" hidden="false" customHeight="true" outlineLevel="0" collapsed="false">
      <c r="A43" s="30" t="s">
        <v>137</v>
      </c>
      <c r="B43" s="30"/>
      <c r="C43" s="33"/>
      <c r="D43" s="33"/>
      <c r="E43" s="30" t="s">
        <v>138</v>
      </c>
      <c r="F43" s="30"/>
      <c r="G43" s="33"/>
      <c r="H43" s="33"/>
    </row>
    <row r="44" customFormat="false" ht="19.5" hidden="false" customHeight="true" outlineLevel="0" collapsed="false">
      <c r="A44" s="34" t="s">
        <v>139</v>
      </c>
      <c r="B44" s="34"/>
      <c r="C44" s="35"/>
      <c r="D44" s="35"/>
      <c r="E44" s="35"/>
      <c r="F44" s="35"/>
      <c r="G44" s="35"/>
      <c r="H44" s="35"/>
    </row>
    <row r="45" customFormat="false" ht="15.75" hidden="false" customHeight="true" outlineLevel="0" collapsed="false">
      <c r="A45" s="30" t="s">
        <v>140</v>
      </c>
      <c r="B45" s="30"/>
      <c r="C45" s="33"/>
      <c r="D45" s="33"/>
      <c r="E45" s="30" t="s">
        <v>141</v>
      </c>
      <c r="F45" s="30"/>
      <c r="G45" s="31"/>
      <c r="H45" s="31"/>
    </row>
    <row r="46" customFormat="false" ht="15.75" hidden="false" customHeight="true" outlineLevel="0" collapsed="false">
      <c r="A46" s="30" t="s">
        <v>142</v>
      </c>
      <c r="B46" s="30"/>
      <c r="C46" s="31"/>
      <c r="D46" s="31"/>
      <c r="E46" s="30" t="s">
        <v>143</v>
      </c>
      <c r="F46" s="30"/>
      <c r="G46" s="31"/>
      <c r="H46" s="31"/>
    </row>
    <row r="48" customFormat="false" ht="19.5" hidden="false" customHeight="true" outlineLevel="0" collapsed="false">
      <c r="A48" s="36" t="s">
        <v>144</v>
      </c>
      <c r="B48" s="36"/>
      <c r="C48" s="36"/>
      <c r="D48" s="36"/>
      <c r="E48" s="36" t="s">
        <v>145</v>
      </c>
      <c r="F48" s="36"/>
      <c r="G48" s="36"/>
      <c r="H48" s="36"/>
    </row>
  </sheetData>
  <mergeCells count="70">
    <mergeCell ref="A1:H1"/>
    <mergeCell ref="A2:H2"/>
    <mergeCell ref="A3:H3"/>
    <mergeCell ref="A4:H4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1:H11"/>
    <mergeCell ref="A13:H13"/>
    <mergeCell ref="A21:H21"/>
    <mergeCell ref="A27:H27"/>
    <mergeCell ref="A28:B28"/>
    <mergeCell ref="D28:E28"/>
    <mergeCell ref="A29:B29"/>
    <mergeCell ref="D29:E29"/>
    <mergeCell ref="A30:B30"/>
    <mergeCell ref="D30:E30"/>
    <mergeCell ref="A31:B31"/>
    <mergeCell ref="D31:E31"/>
    <mergeCell ref="A32:B32"/>
    <mergeCell ref="D32:E32"/>
    <mergeCell ref="A33:B33"/>
    <mergeCell ref="D33:E33"/>
    <mergeCell ref="A34:B34"/>
    <mergeCell ref="D34:E34"/>
    <mergeCell ref="A35:B35"/>
    <mergeCell ref="D35:E35"/>
    <mergeCell ref="A36:B36"/>
    <mergeCell ref="D36:E36"/>
    <mergeCell ref="A38:H38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8:D48"/>
    <mergeCell ref="E48:H48"/>
  </mergeCells>
  <dataValidations count="10">
    <dataValidation allowBlank="true" errorStyle="stop" operator="between" showDropDown="false" showErrorMessage="false" showInputMessage="false" sqref="F14:F20 F22:F25" type="list">
      <formula1>"صالح,تآكل ضمن الحد,يحتاج عمرة,يحتاج استبدال"</formula1>
      <formula2>0</formula2>
    </dataValidation>
    <dataValidation allowBlank="true" errorStyle="stop" operator="between" showDropDown="false" showErrorMessage="false" showInputMessage="false" sqref="D14:D20 D22:D25" type="list">
      <formula1>"فحص نظري,قياس بالأجهزة,تشغيل واختبار,فحص يدوي"</formula1>
      <formula2>0</formula2>
    </dataValidation>
    <dataValidation allowBlank="true" errorStyle="stop" operator="between" showDropDown="false" showErrorMessage="false" showInputMessage="false" sqref="C14:C20 C22:C25" type="list">
      <formula1>"عام,حفّار,قلّاب,دريل,لودر"</formula1>
      <formula2>0</formula2>
    </dataValidation>
    <dataValidation allowBlank="true" errorStyle="stop" operator="between" showDropDown="false" showErrorMessage="false" showInputMessage="false" sqref="C29:C36" type="list">
      <formula1>"نعم,لا"</formula1>
      <formula2>0</formula2>
    </dataValidation>
    <dataValidation allowBlank="true" errorStyle="stop" operator="between" showDropDown="false" showErrorMessage="false" showInputMessage="false" sqref="C42" type="list">
      <formula1>"سليمة,صالحة بملاحظات,غير صالحة / حرجة"</formula1>
      <formula2>0</formula2>
    </dataValidation>
    <dataValidation allowBlank="true" errorStyle="stop" operator="between" showDropDown="false" showErrorMessage="false" showInputMessage="false" sqref="G42" type="list">
      <formula1>"قبول فني,قبول بملاحظات,صيانة فورية,مراقبة,إصلاح جذري (عمرة),استبدال,رفض فني,بيع / تخلّص"</formula1>
      <formula2>0</formula2>
    </dataValidation>
    <dataValidation allowBlank="true" errorStyle="stop" operator="between" showDropDown="false" showErrorMessage="false" showInputMessage="false" sqref="C43" type="list">
      <formula1>"معتمدة فنيًّا,مرفوضة,بانتظار استكمال"</formula1>
      <formula2>0</formula2>
    </dataValidation>
    <dataValidation allowBlank="true" errorStyle="stop" operator="between" showDropDown="false" showErrorMessage="false" showInputMessage="false" sqref="G43" type="list">
      <formula1>"منخفض,متوسط,مرتفع,حرج"</formula1>
      <formula2>0</formula2>
    </dataValidation>
    <dataValidation allowBlank="true" errorStyle="stop" operator="between" showDropDown="false" showErrorMessage="false" showInputMessage="false" sqref="C45" type="list">
      <formula1>"صيانة,تشغيل,مورد,أسطول,مشتريات"</formula1>
      <formula2>0</formula2>
    </dataValidation>
    <dataValidation allowBlank="true" errorStyle="stop" operator="between" showDropDown="false" showErrorMessage="false" showInputMessage="false" sqref="C44" type="list">
      <formula1>"يسمح بالتشغيل,يسمح بالتشغيل مع متابعة,يسمح بالتشغيل حتى موعد محدد,يمنع التشغيل,يحتاج اعتماد استثنائي"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8" min="7" style="0" width="20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7" t="s">
        <v>466</v>
      </c>
      <c r="B2" s="17"/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A3" s="18" t="s">
        <v>467</v>
      </c>
      <c r="B3" s="18"/>
      <c r="C3" s="18"/>
      <c r="D3" s="18"/>
      <c r="E3" s="18"/>
      <c r="F3" s="18"/>
      <c r="G3" s="18"/>
      <c r="H3" s="18"/>
    </row>
    <row r="4" customFormat="false" ht="30" hidden="false" customHeight="true" outlineLevel="0" collapsed="false">
      <c r="A4" s="19" t="s">
        <v>468</v>
      </c>
      <c r="B4" s="19"/>
      <c r="C4" s="19"/>
      <c r="D4" s="19"/>
      <c r="E4" s="19"/>
      <c r="F4" s="19"/>
      <c r="G4" s="19"/>
      <c r="H4" s="19"/>
    </row>
    <row r="5" customFormat="false" ht="18" hidden="false" customHeight="true" outlineLevel="0" collapsed="false">
      <c r="A5" s="20" t="s">
        <v>74</v>
      </c>
      <c r="B5" s="20"/>
      <c r="C5" s="20"/>
      <c r="D5" s="20"/>
      <c r="E5" s="20"/>
      <c r="F5" s="20"/>
      <c r="G5" s="20"/>
      <c r="H5" s="20"/>
    </row>
    <row r="6" customFormat="false" ht="15.75" hidden="false" customHeight="true" outlineLevel="0" collapsed="false">
      <c r="A6" s="21" t="s">
        <v>75</v>
      </c>
      <c r="B6" s="22" t="s">
        <v>148</v>
      </c>
      <c r="C6" s="22"/>
      <c r="D6" s="22"/>
      <c r="E6" s="21" t="s">
        <v>149</v>
      </c>
      <c r="F6" s="22" t="s">
        <v>469</v>
      </c>
      <c r="G6" s="22"/>
      <c r="H6" s="22"/>
    </row>
    <row r="7" customFormat="false" ht="15.75" hidden="false" customHeight="true" outlineLevel="0" collapsed="false">
      <c r="A7" s="21" t="s">
        <v>79</v>
      </c>
      <c r="B7" s="22" t="s">
        <v>151</v>
      </c>
      <c r="C7" s="22"/>
      <c r="D7" s="22"/>
      <c r="E7" s="21" t="s">
        <v>142</v>
      </c>
      <c r="F7" s="22" t="s">
        <v>152</v>
      </c>
      <c r="G7" s="22"/>
      <c r="H7" s="22"/>
    </row>
    <row r="8" customFormat="false" ht="15.75" hidden="false" customHeight="true" outlineLevel="0" collapsed="false">
      <c r="A8" s="21" t="s">
        <v>153</v>
      </c>
      <c r="B8" s="22" t="s">
        <v>154</v>
      </c>
      <c r="C8" s="22"/>
      <c r="D8" s="22"/>
      <c r="E8" s="21" t="s">
        <v>87</v>
      </c>
      <c r="F8" s="22" t="s">
        <v>155</v>
      </c>
      <c r="G8" s="22"/>
      <c r="H8" s="22"/>
    </row>
    <row r="9" customFormat="false" ht="15.75" hidden="false" customHeight="true" outlineLevel="0" collapsed="false">
      <c r="A9" s="21" t="s">
        <v>83</v>
      </c>
      <c r="B9" s="22" t="s">
        <v>156</v>
      </c>
      <c r="C9" s="22"/>
      <c r="D9" s="22"/>
      <c r="E9" s="21" t="s">
        <v>157</v>
      </c>
      <c r="F9" s="22" t="s">
        <v>158</v>
      </c>
      <c r="G9" s="22"/>
      <c r="H9" s="22"/>
    </row>
    <row r="10" customFormat="false" ht="15.75" hidden="false" customHeight="true" outlineLevel="0" collapsed="false">
      <c r="A10" s="29"/>
      <c r="B10" s="29"/>
      <c r="C10" s="29"/>
      <c r="D10" s="29"/>
      <c r="E10" s="21" t="s">
        <v>159</v>
      </c>
      <c r="F10" s="22" t="s">
        <v>160</v>
      </c>
      <c r="G10" s="22"/>
      <c r="H10" s="22"/>
    </row>
    <row r="11" customFormat="false" ht="24" hidden="false" customHeight="true" outlineLevel="0" collapsed="false">
      <c r="A11" s="23" t="s">
        <v>470</v>
      </c>
      <c r="B11" s="23"/>
      <c r="C11" s="23"/>
      <c r="D11" s="23"/>
      <c r="E11" s="23"/>
      <c r="F11" s="23"/>
      <c r="G11" s="23"/>
      <c r="H11" s="23"/>
    </row>
    <row r="12" customFormat="false" ht="25.5" hidden="false" customHeight="true" outlineLevel="0" collapsed="false">
      <c r="A12" s="24" t="s">
        <v>92</v>
      </c>
      <c r="B12" s="24" t="s">
        <v>93</v>
      </c>
      <c r="C12" s="24" t="s">
        <v>94</v>
      </c>
      <c r="D12" s="24" t="s">
        <v>95</v>
      </c>
      <c r="E12" s="24" t="s">
        <v>96</v>
      </c>
      <c r="F12" s="24" t="s">
        <v>97</v>
      </c>
      <c r="G12" s="24" t="s">
        <v>98</v>
      </c>
      <c r="H12" s="24" t="s">
        <v>99</v>
      </c>
    </row>
    <row r="13" customFormat="false" ht="16.5" hidden="false" customHeight="true" outlineLevel="0" collapsed="false">
      <c r="A13" s="25" t="s">
        <v>471</v>
      </c>
      <c r="B13" s="25"/>
      <c r="C13" s="25"/>
      <c r="D13" s="25"/>
      <c r="E13" s="25"/>
      <c r="F13" s="25"/>
      <c r="G13" s="25"/>
      <c r="H13" s="25"/>
    </row>
    <row r="14" customFormat="false" ht="15" hidden="false" customHeight="true" outlineLevel="0" collapsed="false">
      <c r="A14" s="5" t="n">
        <v>1</v>
      </c>
      <c r="B14" s="26" t="s">
        <v>472</v>
      </c>
      <c r="C14" s="27" t="s">
        <v>102</v>
      </c>
      <c r="D14" s="28"/>
      <c r="E14" s="9" t="s">
        <v>473</v>
      </c>
      <c r="F14" s="28"/>
      <c r="G14" s="29"/>
      <c r="H14" s="29"/>
    </row>
    <row r="15" customFormat="false" ht="15" hidden="false" customHeight="true" outlineLevel="0" collapsed="false">
      <c r="A15" s="5" t="n">
        <v>2</v>
      </c>
      <c r="B15" s="26" t="s">
        <v>474</v>
      </c>
      <c r="C15" s="27" t="s">
        <v>102</v>
      </c>
      <c r="D15" s="28"/>
      <c r="E15" s="9" t="s">
        <v>473</v>
      </c>
      <c r="F15" s="28"/>
      <c r="G15" s="29"/>
      <c r="H15" s="29"/>
    </row>
    <row r="16" customFormat="false" ht="15" hidden="false" customHeight="true" outlineLevel="0" collapsed="false">
      <c r="A16" s="5" t="n">
        <v>3</v>
      </c>
      <c r="B16" s="26" t="s">
        <v>475</v>
      </c>
      <c r="C16" s="27" t="s">
        <v>102</v>
      </c>
      <c r="D16" s="28"/>
      <c r="E16" s="9" t="s">
        <v>386</v>
      </c>
      <c r="F16" s="28"/>
      <c r="G16" s="29"/>
      <c r="H16" s="29"/>
    </row>
    <row r="17" customFormat="false" ht="16.5" hidden="false" customHeight="true" outlineLevel="0" collapsed="false">
      <c r="A17" s="25" t="s">
        <v>476</v>
      </c>
      <c r="B17" s="25"/>
      <c r="C17" s="25"/>
      <c r="D17" s="25"/>
      <c r="E17" s="25"/>
      <c r="F17" s="25"/>
      <c r="G17" s="25"/>
      <c r="H17" s="25"/>
    </row>
    <row r="18" customFormat="false" ht="15" hidden="false" customHeight="true" outlineLevel="0" collapsed="false">
      <c r="A18" s="5" t="n">
        <v>4</v>
      </c>
      <c r="B18" s="26" t="s">
        <v>477</v>
      </c>
      <c r="C18" s="27" t="s">
        <v>102</v>
      </c>
      <c r="D18" s="28"/>
      <c r="E18" s="9" t="s">
        <v>478</v>
      </c>
      <c r="F18" s="28"/>
      <c r="G18" s="29"/>
      <c r="H18" s="29"/>
    </row>
    <row r="19" customFormat="false" ht="15" hidden="false" customHeight="true" outlineLevel="0" collapsed="false">
      <c r="A19" s="5" t="n">
        <v>5</v>
      </c>
      <c r="B19" s="26" t="s">
        <v>479</v>
      </c>
      <c r="C19" s="27" t="s">
        <v>102</v>
      </c>
      <c r="D19" s="28"/>
      <c r="E19" s="9" t="s">
        <v>480</v>
      </c>
      <c r="F19" s="28"/>
      <c r="G19" s="29"/>
      <c r="H19" s="29"/>
    </row>
    <row r="20" customFormat="false" ht="15" hidden="false" customHeight="true" outlineLevel="0" collapsed="false">
      <c r="A20" s="5" t="n">
        <v>6</v>
      </c>
      <c r="B20" s="26" t="s">
        <v>481</v>
      </c>
      <c r="C20" s="27" t="s">
        <v>102</v>
      </c>
      <c r="D20" s="28"/>
      <c r="E20" s="9" t="s">
        <v>482</v>
      </c>
      <c r="F20" s="28"/>
      <c r="G20" s="29"/>
      <c r="H20" s="29"/>
    </row>
    <row r="21" customFormat="false" ht="15" hidden="false" customHeight="true" outlineLevel="0" collapsed="false">
      <c r="A21" s="5" t="n">
        <v>7</v>
      </c>
      <c r="B21" s="26" t="s">
        <v>483</v>
      </c>
      <c r="C21" s="27" t="s">
        <v>102</v>
      </c>
      <c r="D21" s="28"/>
      <c r="E21" s="9" t="s">
        <v>484</v>
      </c>
      <c r="F21" s="28"/>
      <c r="G21" s="29"/>
      <c r="H21" s="29"/>
    </row>
    <row r="22" customFormat="false" ht="15" hidden="false" customHeight="true" outlineLevel="0" collapsed="false">
      <c r="A22" s="5" t="n">
        <v>8</v>
      </c>
      <c r="B22" s="26" t="s">
        <v>485</v>
      </c>
      <c r="C22" s="27" t="s">
        <v>102</v>
      </c>
      <c r="D22" s="28"/>
      <c r="E22" s="9" t="s">
        <v>486</v>
      </c>
      <c r="F22" s="28"/>
      <c r="G22" s="29"/>
      <c r="H22" s="29"/>
    </row>
    <row r="23" customFormat="false" ht="16.5" hidden="false" customHeight="true" outlineLevel="0" collapsed="false">
      <c r="A23" s="25" t="s">
        <v>487</v>
      </c>
      <c r="B23" s="25"/>
      <c r="C23" s="25"/>
      <c r="D23" s="25"/>
      <c r="E23" s="25"/>
      <c r="F23" s="25"/>
      <c r="G23" s="25"/>
      <c r="H23" s="25"/>
    </row>
    <row r="24" customFormat="false" ht="15" hidden="false" customHeight="true" outlineLevel="0" collapsed="false">
      <c r="A24" s="5" t="n">
        <v>9</v>
      </c>
      <c r="B24" s="26" t="s">
        <v>488</v>
      </c>
      <c r="C24" s="27" t="s">
        <v>102</v>
      </c>
      <c r="D24" s="28"/>
      <c r="E24" s="9" t="s">
        <v>369</v>
      </c>
      <c r="F24" s="28"/>
      <c r="G24" s="29"/>
      <c r="H24" s="29"/>
    </row>
    <row r="25" customFormat="false" ht="15" hidden="false" customHeight="true" outlineLevel="0" collapsed="false">
      <c r="A25" s="5" t="n">
        <v>10</v>
      </c>
      <c r="B25" s="26" t="s">
        <v>489</v>
      </c>
      <c r="C25" s="27" t="s">
        <v>102</v>
      </c>
      <c r="D25" s="28"/>
      <c r="E25" s="9" t="s">
        <v>433</v>
      </c>
      <c r="F25" s="28"/>
      <c r="G25" s="29"/>
      <c r="H25" s="29"/>
    </row>
    <row r="26" customFormat="false" ht="15" hidden="false" customHeight="true" outlineLevel="0" collapsed="false">
      <c r="A26" s="5" t="n">
        <v>11</v>
      </c>
      <c r="B26" s="26" t="s">
        <v>490</v>
      </c>
      <c r="C26" s="27" t="s">
        <v>102</v>
      </c>
      <c r="D26" s="28"/>
      <c r="E26" s="9" t="s">
        <v>363</v>
      </c>
      <c r="F26" s="28"/>
      <c r="G26" s="29"/>
      <c r="H26" s="29"/>
    </row>
    <row r="28" customFormat="false" ht="18" hidden="false" customHeight="true" outlineLevel="0" collapsed="false">
      <c r="A28" s="20" t="s">
        <v>130</v>
      </c>
      <c r="B28" s="20"/>
      <c r="C28" s="20"/>
      <c r="D28" s="20"/>
      <c r="E28" s="20"/>
      <c r="F28" s="20"/>
      <c r="G28" s="20"/>
      <c r="H28" s="20"/>
    </row>
    <row r="29" customFormat="false" ht="15.75" hidden="false" customHeight="true" outlineLevel="0" collapsed="false">
      <c r="A29" s="30" t="s">
        <v>131</v>
      </c>
      <c r="B29" s="30"/>
      <c r="C29" s="31" t="n">
        <f aca="false">COUNTIF(F14:F26,"سليم")</f>
        <v>0</v>
      </c>
      <c r="D29" s="31"/>
      <c r="E29" s="30" t="s">
        <v>132</v>
      </c>
      <c r="F29" s="30"/>
      <c r="G29" s="31" t="n">
        <f aca="false">COUNTIF(F14:F26,"ملاحظة")</f>
        <v>0</v>
      </c>
      <c r="H29" s="31"/>
    </row>
    <row r="30" customFormat="false" ht="15.75" hidden="false" customHeight="true" outlineLevel="0" collapsed="false">
      <c r="A30" s="30" t="s">
        <v>133</v>
      </c>
      <c r="B30" s="30"/>
      <c r="C30" s="31" t="n">
        <f aca="false">COUNTIF(F14:F26,"حرج")</f>
        <v>0</v>
      </c>
      <c r="D30" s="31"/>
      <c r="E30" s="30" t="s">
        <v>134</v>
      </c>
      <c r="F30" s="30"/>
      <c r="G30" s="32" t="str">
        <f aca="false">IFERROR((COUNTIF(F14:F26,"سليم"))/(COUNTIF(F14:F26,"سليم")+COUNTIF(F14:F26,"ملاحظة")+COUNTIF(F14:F26,"حرج")),"")</f>
        <v/>
      </c>
      <c r="H30" s="32"/>
    </row>
    <row r="31" customFormat="false" ht="15.75" hidden="false" customHeight="true" outlineLevel="0" collapsed="false">
      <c r="A31" s="30" t="s">
        <v>135</v>
      </c>
      <c r="B31" s="30"/>
      <c r="C31" s="33"/>
      <c r="D31" s="33"/>
      <c r="E31" s="30" t="s">
        <v>136</v>
      </c>
      <c r="F31" s="30"/>
      <c r="G31" s="33"/>
      <c r="H31" s="33"/>
    </row>
    <row r="32" customFormat="false" ht="15.75" hidden="false" customHeight="true" outlineLevel="0" collapsed="false">
      <c r="A32" s="30" t="s">
        <v>137</v>
      </c>
      <c r="B32" s="30"/>
      <c r="C32" s="33"/>
      <c r="D32" s="33"/>
      <c r="E32" s="30" t="s">
        <v>138</v>
      </c>
      <c r="F32" s="30"/>
      <c r="G32" s="33"/>
      <c r="H32" s="33"/>
    </row>
    <row r="33" customFormat="false" ht="19.5" hidden="false" customHeight="true" outlineLevel="0" collapsed="false">
      <c r="A33" s="34" t="s">
        <v>139</v>
      </c>
      <c r="B33" s="34"/>
      <c r="C33" s="35"/>
      <c r="D33" s="35"/>
      <c r="E33" s="35"/>
      <c r="F33" s="35"/>
      <c r="G33" s="35"/>
      <c r="H33" s="35"/>
    </row>
    <row r="34" customFormat="false" ht="15.75" hidden="false" customHeight="true" outlineLevel="0" collapsed="false">
      <c r="A34" s="30" t="s">
        <v>140</v>
      </c>
      <c r="B34" s="30"/>
      <c r="C34" s="33"/>
      <c r="D34" s="33"/>
      <c r="E34" s="30" t="s">
        <v>141</v>
      </c>
      <c r="F34" s="30"/>
      <c r="G34" s="31"/>
      <c r="H34" s="31"/>
    </row>
    <row r="35" customFormat="false" ht="15.75" hidden="false" customHeight="true" outlineLevel="0" collapsed="false">
      <c r="A35" s="30" t="s">
        <v>142</v>
      </c>
      <c r="B35" s="30"/>
      <c r="C35" s="31"/>
      <c r="D35" s="31"/>
      <c r="E35" s="30" t="s">
        <v>143</v>
      </c>
      <c r="F35" s="30"/>
      <c r="G35" s="31"/>
      <c r="H35" s="31"/>
    </row>
    <row r="37" customFormat="false" ht="19.5" hidden="false" customHeight="true" outlineLevel="0" collapsed="false">
      <c r="A37" s="36" t="s">
        <v>144</v>
      </c>
      <c r="B37" s="36"/>
      <c r="C37" s="36"/>
      <c r="D37" s="36"/>
      <c r="E37" s="36" t="s">
        <v>145</v>
      </c>
      <c r="F37" s="36"/>
      <c r="G37" s="36"/>
      <c r="H37" s="36"/>
    </row>
  </sheetData>
  <mergeCells count="48">
    <mergeCell ref="A1:H1"/>
    <mergeCell ref="A2:H2"/>
    <mergeCell ref="A3:H3"/>
    <mergeCell ref="A4:H4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1:H11"/>
    <mergeCell ref="A13:H13"/>
    <mergeCell ref="A17:H17"/>
    <mergeCell ref="A23:H23"/>
    <mergeCell ref="A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7:D37"/>
    <mergeCell ref="E37:H37"/>
  </mergeCells>
  <dataValidations count="9">
    <dataValidation allowBlank="true" errorStyle="stop" operator="between" showDropDown="false" showErrorMessage="false" showInputMessage="false" sqref="F14:F16 F18:F22 F24:F26" type="list">
      <formula1>"سليم,ملاحظة,حرج,لا ينطبق"</formula1>
      <formula2>0</formula2>
    </dataValidation>
    <dataValidation allowBlank="true" errorStyle="stop" operator="between" showDropDown="false" showErrorMessage="false" showInputMessage="false" sqref="D14:D16 D18:D22 D24:D26" type="list">
      <formula1>"فحص نظري,قياس بالأجهزة,تشغيل واختبار,فحص يدوي"</formula1>
      <formula2>0</formula2>
    </dataValidation>
    <dataValidation allowBlank="true" errorStyle="stop" operator="between" showDropDown="false" showErrorMessage="false" showInputMessage="false" sqref="C14:C16 C18:C22 C24:C26" type="list">
      <formula1>"عام,حفّار,قلّاب,دريل,لودر"</formula1>
      <formula2>0</formula2>
    </dataValidation>
    <dataValidation allowBlank="true" errorStyle="stop" operator="between" showDropDown="false" showErrorMessage="false" showInputMessage="false" sqref="C31" type="list">
      <formula1>"سليمة,صالحة بملاحظات,غير صالحة / حرجة"</formula1>
      <formula2>0</formula2>
    </dataValidation>
    <dataValidation allowBlank="true" errorStyle="stop" operator="between" showDropDown="false" showErrorMessage="false" showInputMessage="false" sqref="G31" type="list">
      <formula1>"قبول فني,قبول بملاحظات,صيانة فورية,مراقبة,إصلاح جذري (عمرة),استبدال,رفض فني,بيع / تخلّص"</formula1>
      <formula2>0</formula2>
    </dataValidation>
    <dataValidation allowBlank="true" errorStyle="stop" operator="between" showDropDown="false" showErrorMessage="false" showInputMessage="false" sqref="C32" type="list">
      <formula1>"معتمدة فنيًّا,مرفوضة,بانتظار استكمال"</formula1>
      <formula2>0</formula2>
    </dataValidation>
    <dataValidation allowBlank="true" errorStyle="stop" operator="between" showDropDown="false" showErrorMessage="false" showInputMessage="false" sqref="G32" type="list">
      <formula1>"منخفض,متوسط,مرتفع,حرج"</formula1>
      <formula2>0</formula2>
    </dataValidation>
    <dataValidation allowBlank="true" errorStyle="stop" operator="between" showDropDown="false" showErrorMessage="false" showInputMessage="false" sqref="C34" type="list">
      <formula1>"صيانة,تشغيل,مورد,أسطول,مشتريات"</formula1>
      <formula2>0</formula2>
    </dataValidation>
    <dataValidation allowBlank="true" errorStyle="stop" operator="between" showDropDown="false" showErrorMessage="false" showInputMessage="false" sqref="C33" type="list">
      <formula1>"يسمح بالتشغيل,يسمح بالتشغيل مع متابعة,يسمح بالتشغيل حتى موعد محدد,يمنع التشغيل,يحتاج اعتماد استثنائي"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2026-06-24T06:15:57Z</dcterms:created>
  <dc:creator>openpyxl</dc:creator>
  <dc:description/>
  <dc:language>en-US</dc:language>
  <cp:lastModifiedBy/>
  <dcterms:modified xsi:type="dcterms:W3CDTF">2026-06-24T06:15:57Z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